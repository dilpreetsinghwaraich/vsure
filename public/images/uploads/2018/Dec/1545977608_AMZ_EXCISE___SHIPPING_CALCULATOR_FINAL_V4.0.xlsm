
<file path=[Content_Types].xml><?xml version="1.0" encoding="utf-8"?>
<Types xmlns="http://schemas.openxmlformats.org/package/2006/content-types">
  <Default Extension="xml" ContentType="application/xml"/>
  <Default Extension="bin" ContentType="application/vnd.ms-office.vbaProject"/>
  <Default Extension="png" ContentType="image/pn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20225" codeName="{51196F13-6AD0-C1B8-E2B4-A1F9AE17003E}"/>
  <workbookPr codeName="ThisWorkbook" autoCompressPictures="0"/>
  <bookViews>
    <workbookView xWindow="0" yWindow="0" windowWidth="28620" windowHeight="17460" tabRatio="916" activeTab="3"/>
  </bookViews>
  <sheets>
    <sheet name="Duty Calculator v2" sheetId="4" r:id="rId1"/>
    <sheet name="Calculating duty + VAT" sheetId="2" state="hidden" r:id="rId2"/>
    <sheet name="Params" sheetId="3" state="hidden" r:id="rId3"/>
    <sheet name="Shipping Calculator" sheetId="5" r:id="rId4"/>
    <sheet name="Import Calculator" sheetId="12" r:id="rId5"/>
    <sheet name="Country Tables" sheetId="6" state="hidden" r:id="rId6"/>
    <sheet name="IB COB" sheetId="7" state="hidden" r:id="rId7"/>
    <sheet name="IB DDI" sheetId="8" state="hidden" r:id="rId8"/>
    <sheet name="UK IMPORT SERVICES 1" sheetId="9" state="hidden" r:id="rId9"/>
    <sheet name="UK IMPORT SERVICES 2" sheetId="10" state="hidden" r:id="rId10"/>
    <sheet name="Summary" sheetId="11" r:id="rId11"/>
    <sheet name="PRICING SELLER CENTRAL" sheetId="13" state="hidden" r:id="rId12"/>
    <sheet name="PRICING VENDOR CENTRAL" sheetId="14" state="hidden" r:id="rId13"/>
  </sheets>
  <externalReferences>
    <externalReference r:id="rId14"/>
    <externalReference r:id="rId15"/>
    <externalReference r:id="rId16"/>
    <externalReference r:id="rId17"/>
    <externalReference r:id="rId18"/>
    <externalReference r:id="rId19"/>
  </externalReferences>
  <definedNames>
    <definedName name="____Key1" localSheetId="6" hidden="1">[1]Zones!#REF!</definedName>
    <definedName name="____Key1" localSheetId="4" hidden="1">[1]Zones!#REF!</definedName>
    <definedName name="____Key1" hidden="1">[1]Zones!#REF!</definedName>
    <definedName name="____Key2" localSheetId="6" hidden="1">[1]Zones!#REF!</definedName>
    <definedName name="____Key2" localSheetId="4" hidden="1">[1]Zones!#REF!</definedName>
    <definedName name="____Key2" hidden="1">[1]Zones!#REF!</definedName>
    <definedName name="___Key1" localSheetId="6" hidden="1">[1]Zones!#REF!</definedName>
    <definedName name="___Key1" localSheetId="4" hidden="1">[1]Zones!#REF!</definedName>
    <definedName name="___Key1" hidden="1">[1]Zones!#REF!</definedName>
    <definedName name="___Key2" localSheetId="6" hidden="1">[1]Zones!#REF!</definedName>
    <definedName name="___Key2" localSheetId="4" hidden="1">[1]Zones!#REF!</definedName>
    <definedName name="___Key2" hidden="1">[1]Zones!#REF!</definedName>
    <definedName name="__Key1" localSheetId="6" hidden="1">[1]Zones!#REF!</definedName>
    <definedName name="__Key1" localSheetId="4" hidden="1">[1]Zones!#REF!</definedName>
    <definedName name="__Key1" hidden="1">[1]Zones!#REF!</definedName>
    <definedName name="__Key2" localSheetId="6" hidden="1">[1]Zones!#REF!</definedName>
    <definedName name="__Key2" localSheetId="4" hidden="1">[1]Zones!#REF!</definedName>
    <definedName name="__Key2" hidden="1">[1]Zones!#REF!</definedName>
    <definedName name="_1__123Graph_ACHART_3" hidden="1">[2]Competitors!$E$5:$E$10</definedName>
    <definedName name="_10__123Graph_ECHART_4" hidden="1">[2]Competitors!$M$12:$M$22</definedName>
    <definedName name="_11__123Graph_FCHART_3" hidden="1">[2]Competitors!$B$5:$B$10</definedName>
    <definedName name="_12__123Graph_FCHART_4" hidden="1">[2]Competitors!$B$12:$B$22</definedName>
    <definedName name="_13__123Graph_XCHART_4" hidden="1">[2]Competitors!$A$12:$A$22</definedName>
    <definedName name="_2__123Graph_ACHART_4" hidden="1">[2]Competitors!$E$12:$E$22</definedName>
    <definedName name="_3__123Graph_BCHART_3" hidden="1">[2]Competitors!$G$5:$G$10</definedName>
    <definedName name="_4__123Graph_BCHART_4" hidden="1">[2]Competitors!$G$12:$G$22</definedName>
    <definedName name="_5__123Graph_CCHART_3" hidden="1">[2]Competitors!$I$5:$I$10</definedName>
    <definedName name="_6__123Graph_CCHART_4" hidden="1">[2]Competitors!$I$12:$I$22</definedName>
    <definedName name="_7__123Graph_DCHART_3" hidden="1">[2]Competitors!$K$5:$K$10</definedName>
    <definedName name="_8__123Graph_DCHART_4" hidden="1">[2]Competitors!$K$12:$K$22</definedName>
    <definedName name="_9__123Graph_ECHART_3" hidden="1">[2]Competitors!$M$5:$M$10</definedName>
    <definedName name="_xlnm._FilterDatabase" localSheetId="10" hidden="1">Summary!$E$16:$E$16</definedName>
    <definedName name="_Key1" localSheetId="6" hidden="1">[1]Zones!#REF!</definedName>
    <definedName name="_Key1" localSheetId="4" hidden="1">[1]Zones!#REF!</definedName>
    <definedName name="_Key1" hidden="1">[1]Zones!#REF!</definedName>
    <definedName name="_Key2" localSheetId="6" hidden="1">[1]Zones!#REF!</definedName>
    <definedName name="_Key2" localSheetId="4" hidden="1">[1]Zones!#REF!</definedName>
    <definedName name="_Key2" hidden="1">[1]Zones!#REF!</definedName>
    <definedName name="_Order1" hidden="1">255</definedName>
    <definedName name="_Order2" hidden="1">255</definedName>
    <definedName name="_Parse_Out" localSheetId="7" hidden="1">'[3]AU Zone'!$B$15:$I$222</definedName>
    <definedName name="_Parse_Out" hidden="1">'[4]AU Zone'!$B$15:$I$222</definedName>
    <definedName name="_Sort" localSheetId="6" hidden="1">#REF!</definedName>
    <definedName name="_Sort" localSheetId="4" hidden="1">#REF!</definedName>
    <definedName name="_Sort" hidden="1">#REF!</definedName>
    <definedName name="a" hidden="1">[5]Competitors!$E$5:$E$10</definedName>
    <definedName name="b" hidden="1">[5]Competitors!$G$12:$G$22</definedName>
    <definedName name="BC" localSheetId="6">'IB COB'!$CH$133:$CY$143</definedName>
    <definedName name="CC" localSheetId="6">'IB COB'!$CH$94:$CY$104</definedName>
    <definedName name="Contract10" localSheetId="6">'[6]IB DDI'!#REF!</definedName>
    <definedName name="Contract10" localSheetId="4">'IB DDI'!#REF!</definedName>
    <definedName name="Contract10">'IB DDI'!#REF!</definedName>
    <definedName name="Contract30" localSheetId="6">'[6]IB DDI'!#REF!</definedName>
    <definedName name="Contract30" localSheetId="4">'IB DDI'!#REF!</definedName>
    <definedName name="Contract30">'IB DDI'!#REF!</definedName>
    <definedName name="countries" localSheetId="6">'[6]Country Tables'!$S$6:$S$240</definedName>
    <definedName name="countries" localSheetId="7">'[6]Country Tables'!$S$6:$S$240</definedName>
    <definedName name="countries">'Country Tables'!$S$6:$S$240</definedName>
    <definedName name="d" hidden="1">[5]Competitors!$I$5:$I$10</definedName>
    <definedName name="DDIBPT" localSheetId="6">'[6]IB DDI'!#REF!</definedName>
    <definedName name="DDIBPT" localSheetId="4">'IB DDI'!#REF!</definedName>
    <definedName name="DDIBPT">'IB DDI'!#REF!</definedName>
    <definedName name="e" hidden="1">[5]Competitors!$I$12:$I$22</definedName>
    <definedName name="EC" localSheetId="6">'IB COB'!$CH$81:$CY$91</definedName>
    <definedName name="FSCA">'Shipping Calculator'!$C$13</definedName>
    <definedName name="FSCR">'Shipping Calculator'!$C$14</definedName>
    <definedName name="g" hidden="1">[5]Competitors!$K$12:$K$22</definedName>
    <definedName name="h" hidden="1">[5]Competitors!$M$5:$M$10</definedName>
    <definedName name="HC" localSheetId="6">'IB COB'!$CH$68:$CY$78</definedName>
    <definedName name="i" hidden="1">[5]Competitors!$M$12:$M$22</definedName>
    <definedName name="j" hidden="1">[5]Competitors!$B$5:$B$10</definedName>
    <definedName name="k" hidden="1">[5]Competitors!$B$12:$B$22</definedName>
    <definedName name="l" hidden="1">[5]Competitors!$A$12:$A$22</definedName>
    <definedName name="m" localSheetId="6" hidden="1">[5]Zones!#REF!</definedName>
    <definedName name="m" localSheetId="4" hidden="1">[5]Zones!#REF!</definedName>
    <definedName name="m" hidden="1">[5]Zones!#REF!</definedName>
    <definedName name="MC" localSheetId="6">'IB COB'!$CH$55:$CY$65</definedName>
    <definedName name="n" localSheetId="6" hidden="1">[5]Zones!#REF!</definedName>
    <definedName name="n" localSheetId="4" hidden="1">[5]Zones!#REF!</definedName>
    <definedName name="n" hidden="1">[5]Zones!#REF!</definedName>
    <definedName name="NC" localSheetId="6">'IB COB'!$CH$42:$CY$52</definedName>
    <definedName name="PC" localSheetId="6">'IB COB'!$CH$29:$CY$39</definedName>
    <definedName name="_xlnm.Print_Area" localSheetId="6">'IB COB'!$A$4:$AZ$638</definedName>
    <definedName name="_xlnm.Print_Area" localSheetId="7">'IB DDI'!$A$1:$AZ$327</definedName>
    <definedName name="_xlnm.Print_Titles" localSheetId="6">'IB COB'!$4:$10</definedName>
    <definedName name="_xlnm.Print_Titles" localSheetId="7">'IB DDI'!$1:$7</definedName>
    <definedName name="Pub" localSheetId="6">'[6]IB DDI'!#REF!</definedName>
    <definedName name="Pub" localSheetId="4">'IB DDI'!#REF!</definedName>
    <definedName name="Pub">'IB DDI'!#REF!</definedName>
    <definedName name="q" hidden="1">[5]Zones!$A$5:$BH$179</definedName>
    <definedName name="SC" localSheetId="6">'IB COB'!$CH$107:$CY$117</definedName>
    <definedName name="UC" localSheetId="6">'IB COB'!$CH$120:$CY$130</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E27" i="12" l="1"/>
  <c r="E26" i="12"/>
  <c r="E39" i="12"/>
  <c r="E38" i="12"/>
  <c r="E33" i="12"/>
  <c r="E32" i="12"/>
  <c r="E31" i="12"/>
  <c r="E30" i="12"/>
  <c r="E25" i="12"/>
  <c r="E24" i="12"/>
  <c r="E41" i="12"/>
  <c r="E44" i="12"/>
  <c r="I6" i="13"/>
  <c r="N6" i="13"/>
  <c r="P6" i="13"/>
  <c r="I7" i="13"/>
  <c r="N7" i="13"/>
  <c r="P7" i="13"/>
  <c r="I8" i="13"/>
  <c r="N8" i="13"/>
  <c r="P8" i="13"/>
  <c r="I9" i="13"/>
  <c r="N9" i="13"/>
  <c r="P9" i="13"/>
  <c r="I10" i="13"/>
  <c r="N10" i="13"/>
  <c r="P10" i="13"/>
  <c r="I11" i="13"/>
  <c r="N11" i="13"/>
  <c r="P11" i="13"/>
  <c r="I5" i="13"/>
  <c r="N5" i="13"/>
  <c r="P5" i="13"/>
  <c r="M5" i="14"/>
  <c r="O5" i="14"/>
  <c r="I6" i="14"/>
  <c r="G6" i="14"/>
  <c r="I7" i="14"/>
  <c r="G7" i="14"/>
  <c r="I8" i="14"/>
  <c r="G8" i="14"/>
  <c r="I9" i="14"/>
  <c r="G9" i="14"/>
  <c r="I10" i="14"/>
  <c r="G10" i="14"/>
  <c r="I11" i="14"/>
  <c r="G11" i="14"/>
  <c r="I5" i="14"/>
  <c r="G5" i="14"/>
  <c r="R6" i="13"/>
  <c r="T6" i="13"/>
  <c r="R7" i="13"/>
  <c r="T7" i="13"/>
  <c r="R8" i="13"/>
  <c r="T8" i="13"/>
  <c r="R9" i="13"/>
  <c r="T9" i="13"/>
  <c r="R10" i="13"/>
  <c r="T10" i="13"/>
  <c r="R11" i="13"/>
  <c r="T11" i="13"/>
  <c r="I12" i="13"/>
  <c r="N12" i="13"/>
  <c r="I13" i="13"/>
  <c r="N13" i="13"/>
  <c r="I14" i="13"/>
  <c r="N14" i="13"/>
  <c r="I15" i="13"/>
  <c r="N15" i="13"/>
  <c r="I16" i="13"/>
  <c r="N16" i="13"/>
  <c r="I17" i="13"/>
  <c r="N17" i="13"/>
  <c r="F6" i="14"/>
  <c r="F7" i="14"/>
  <c r="F8" i="14"/>
  <c r="F9" i="14"/>
  <c r="F10" i="14"/>
  <c r="F11" i="14"/>
  <c r="I12" i="14"/>
  <c r="F12" i="14"/>
  <c r="I13" i="14"/>
  <c r="F13" i="14"/>
  <c r="I14" i="14"/>
  <c r="F14" i="14"/>
  <c r="I15" i="14"/>
  <c r="F15" i="14"/>
  <c r="I16" i="14"/>
  <c r="F16" i="14"/>
  <c r="I17" i="14"/>
  <c r="F17" i="14"/>
  <c r="F5" i="14"/>
  <c r="M6" i="14"/>
  <c r="M7" i="14"/>
  <c r="M8" i="14"/>
  <c r="M9" i="14"/>
  <c r="M10" i="14"/>
  <c r="M11" i="14"/>
  <c r="M12" i="14"/>
  <c r="M13" i="14"/>
  <c r="M14" i="14"/>
  <c r="M15" i="14"/>
  <c r="M16" i="14"/>
  <c r="M17" i="14"/>
  <c r="P12" i="13"/>
  <c r="T12" i="13"/>
  <c r="P13" i="13"/>
  <c r="T13" i="13"/>
  <c r="P14" i="13"/>
  <c r="T14" i="13"/>
  <c r="P15" i="13"/>
  <c r="T15" i="13"/>
  <c r="P16" i="13"/>
  <c r="T16" i="13"/>
  <c r="P17" i="13"/>
  <c r="T17" i="13"/>
  <c r="O10" i="14"/>
  <c r="Q10" i="14"/>
  <c r="S10" i="14"/>
  <c r="U10" i="14"/>
  <c r="O11" i="14"/>
  <c r="Q11" i="14"/>
  <c r="S11" i="14"/>
  <c r="U11" i="14"/>
  <c r="O12" i="14"/>
  <c r="Q12" i="14"/>
  <c r="S12" i="14"/>
  <c r="U12" i="14"/>
  <c r="O13" i="14"/>
  <c r="Q13" i="14"/>
  <c r="S13" i="14"/>
  <c r="U13" i="14"/>
  <c r="O14" i="14"/>
  <c r="Q14" i="14"/>
  <c r="S14" i="14"/>
  <c r="U14" i="14"/>
  <c r="O15" i="14"/>
  <c r="Q15" i="14"/>
  <c r="S15" i="14"/>
  <c r="U15" i="14"/>
  <c r="O16" i="14"/>
  <c r="Q16" i="14"/>
  <c r="S16" i="14"/>
  <c r="U16" i="14"/>
  <c r="O17" i="14"/>
  <c r="Q17" i="14"/>
  <c r="S17" i="14"/>
  <c r="U17" i="14"/>
  <c r="U9" i="14"/>
  <c r="O9" i="14"/>
  <c r="S9" i="14"/>
  <c r="Q9" i="14"/>
  <c r="U8" i="14"/>
  <c r="O8" i="14"/>
  <c r="S8" i="14"/>
  <c r="Q8" i="14"/>
  <c r="U7" i="14"/>
  <c r="O7" i="14"/>
  <c r="S7" i="14"/>
  <c r="Q7" i="14"/>
  <c r="U6" i="14"/>
  <c r="O6" i="14"/>
  <c r="S6" i="14"/>
  <c r="Q6" i="14"/>
  <c r="U5" i="14"/>
  <c r="S5" i="14"/>
  <c r="Q5" i="14"/>
  <c r="R5" i="13"/>
  <c r="T5" i="13"/>
  <c r="R12" i="13"/>
  <c r="R13" i="13"/>
  <c r="R14" i="13"/>
  <c r="R15" i="13"/>
  <c r="R16" i="13"/>
  <c r="R17" i="13"/>
  <c r="C11" i="5"/>
  <c r="C242" i="6"/>
  <c r="N87" i="5"/>
  <c r="N91" i="5"/>
  <c r="R91" i="5"/>
  <c r="BK24" i="7"/>
  <c r="K242" i="6"/>
  <c r="K246" i="6"/>
  <c r="BK18" i="8"/>
  <c r="N94" i="5"/>
  <c r="N96" i="5"/>
  <c r="N98" i="5"/>
  <c r="BK16" i="8"/>
  <c r="BK17" i="8"/>
  <c r="BM331" i="8"/>
  <c r="BM332" i="8"/>
  <c r="BM333" i="8"/>
  <c r="BK20" i="8"/>
  <c r="E17" i="12"/>
  <c r="N93" i="5"/>
  <c r="N95" i="5"/>
  <c r="Q120" i="5"/>
  <c r="R112" i="5"/>
  <c r="E16" i="11"/>
  <c r="E29" i="12"/>
  <c r="E7" i="12"/>
  <c r="E8" i="12"/>
  <c r="E9" i="12"/>
  <c r="E10" i="12"/>
  <c r="D12" i="11"/>
  <c r="D13" i="11"/>
  <c r="B19" i="11"/>
  <c r="R111" i="5"/>
  <c r="Q119" i="5"/>
  <c r="Q96" i="5"/>
  <c r="Q95" i="5"/>
  <c r="Q94" i="5"/>
  <c r="M242" i="6"/>
  <c r="L242" i="6"/>
  <c r="N107" i="5"/>
  <c r="Q107" i="5"/>
  <c r="R107" i="5"/>
  <c r="J242" i="6"/>
  <c r="I242" i="6"/>
  <c r="H242" i="6"/>
  <c r="G242" i="6"/>
  <c r="F242" i="6"/>
  <c r="E242" i="6"/>
  <c r="N106" i="5"/>
  <c r="Q106" i="5"/>
  <c r="R106" i="5"/>
  <c r="D242" i="6"/>
  <c r="S240" i="6"/>
  <c r="S239" i="6"/>
  <c r="S238" i="6"/>
  <c r="S237" i="6"/>
  <c r="S236" i="6"/>
  <c r="S235" i="6"/>
  <c r="S234" i="6"/>
  <c r="S233" i="6"/>
  <c r="S232" i="6"/>
  <c r="S231" i="6"/>
  <c r="S230" i="6"/>
  <c r="S229" i="6"/>
  <c r="S228" i="6"/>
  <c r="S227" i="6"/>
  <c r="S226" i="6"/>
  <c r="S225" i="6"/>
  <c r="S224" i="6"/>
  <c r="S223" i="6"/>
  <c r="S222" i="6"/>
  <c r="S221" i="6"/>
  <c r="S220" i="6"/>
  <c r="S219" i="6"/>
  <c r="S218" i="6"/>
  <c r="S217" i="6"/>
  <c r="S216" i="6"/>
  <c r="S215" i="6"/>
  <c r="S214" i="6"/>
  <c r="S213" i="6"/>
  <c r="S212" i="6"/>
  <c r="S211" i="6"/>
  <c r="S210" i="6"/>
  <c r="S209" i="6"/>
  <c r="S208" i="6"/>
  <c r="S207" i="6"/>
  <c r="S206" i="6"/>
  <c r="S205" i="6"/>
  <c r="S204" i="6"/>
  <c r="S203" i="6"/>
  <c r="S202" i="6"/>
  <c r="S201" i="6"/>
  <c r="S200" i="6"/>
  <c r="S199" i="6"/>
  <c r="S198" i="6"/>
  <c r="S197" i="6"/>
  <c r="S196" i="6"/>
  <c r="S195" i="6"/>
  <c r="S194" i="6"/>
  <c r="S193" i="6"/>
  <c r="S192" i="6"/>
  <c r="S191" i="6"/>
  <c r="S190" i="6"/>
  <c r="S189" i="6"/>
  <c r="S188" i="6"/>
  <c r="S187" i="6"/>
  <c r="S186" i="6"/>
  <c r="S185" i="6"/>
  <c r="S184" i="6"/>
  <c r="S183" i="6"/>
  <c r="S182" i="6"/>
  <c r="S181" i="6"/>
  <c r="S180" i="6"/>
  <c r="S179" i="6"/>
  <c r="S178" i="6"/>
  <c r="S177" i="6"/>
  <c r="S176" i="6"/>
  <c r="S175" i="6"/>
  <c r="S174" i="6"/>
  <c r="S173" i="6"/>
  <c r="S172" i="6"/>
  <c r="S171" i="6"/>
  <c r="S170" i="6"/>
  <c r="S169" i="6"/>
  <c r="S168" i="6"/>
  <c r="S167" i="6"/>
  <c r="S166" i="6"/>
  <c r="S165" i="6"/>
  <c r="S164" i="6"/>
  <c r="S163" i="6"/>
  <c r="S162" i="6"/>
  <c r="S161" i="6"/>
  <c r="S160" i="6"/>
  <c r="S159" i="6"/>
  <c r="S158" i="6"/>
  <c r="S157" i="6"/>
  <c r="S156" i="6"/>
  <c r="S155" i="6"/>
  <c r="S154" i="6"/>
  <c r="S153" i="6"/>
  <c r="S152" i="6"/>
  <c r="S151" i="6"/>
  <c r="S150" i="6"/>
  <c r="S149" i="6"/>
  <c r="S148" i="6"/>
  <c r="S147" i="6"/>
  <c r="S146" i="6"/>
  <c r="S145" i="6"/>
  <c r="S144" i="6"/>
  <c r="S143" i="6"/>
  <c r="S142" i="6"/>
  <c r="S141" i="6"/>
  <c r="S140" i="6"/>
  <c r="S139" i="6"/>
  <c r="S138" i="6"/>
  <c r="S137" i="6"/>
  <c r="S136" i="6"/>
  <c r="S135" i="6"/>
  <c r="S134" i="6"/>
  <c r="S133" i="6"/>
  <c r="S132" i="6"/>
  <c r="S131" i="6"/>
  <c r="S130" i="6"/>
  <c r="S129" i="6"/>
  <c r="S128" i="6"/>
  <c r="S127" i="6"/>
  <c r="S126" i="6"/>
  <c r="S125" i="6"/>
  <c r="S124" i="6"/>
  <c r="S123" i="6"/>
  <c r="S122" i="6"/>
  <c r="S121" i="6"/>
  <c r="S120" i="6"/>
  <c r="S119" i="6"/>
  <c r="S118" i="6"/>
  <c r="S117" i="6"/>
  <c r="S116" i="6"/>
  <c r="S115" i="6"/>
  <c r="S114" i="6"/>
  <c r="S113" i="6"/>
  <c r="S112" i="6"/>
  <c r="S111" i="6"/>
  <c r="S110" i="6"/>
  <c r="S109" i="6"/>
  <c r="S108" i="6"/>
  <c r="S107" i="6"/>
  <c r="S106" i="6"/>
  <c r="S105" i="6"/>
  <c r="S104" i="6"/>
  <c r="S103" i="6"/>
  <c r="S102" i="6"/>
  <c r="S101" i="6"/>
  <c r="S100" i="6"/>
  <c r="S99" i="6"/>
  <c r="S98" i="6"/>
  <c r="S97" i="6"/>
  <c r="S96" i="6"/>
  <c r="S95" i="6"/>
  <c r="S94" i="6"/>
  <c r="S93" i="6"/>
  <c r="S92" i="6"/>
  <c r="S91" i="6"/>
  <c r="S90" i="6"/>
  <c r="S89" i="6"/>
  <c r="S88" i="6"/>
  <c r="S87" i="6"/>
  <c r="S86" i="6"/>
  <c r="S85" i="6"/>
  <c r="S84" i="6"/>
  <c r="S83" i="6"/>
  <c r="S82" i="6"/>
  <c r="S81" i="6"/>
  <c r="S80" i="6"/>
  <c r="S79" i="6"/>
  <c r="S78" i="6"/>
  <c r="S77" i="6"/>
  <c r="S76" i="6"/>
  <c r="S75" i="6"/>
  <c r="S74" i="6"/>
  <c r="S73" i="6"/>
  <c r="S72" i="6"/>
  <c r="S71" i="6"/>
  <c r="S70" i="6"/>
  <c r="S69" i="6"/>
  <c r="S68" i="6"/>
  <c r="S67" i="6"/>
  <c r="S66" i="6"/>
  <c r="S65" i="6"/>
  <c r="S64" i="6"/>
  <c r="S63" i="6"/>
  <c r="S62" i="6"/>
  <c r="S61" i="6"/>
  <c r="S60" i="6"/>
  <c r="S59" i="6"/>
  <c r="S58" i="6"/>
  <c r="S57" i="6"/>
  <c r="S56" i="6"/>
  <c r="S55" i="6"/>
  <c r="S54" i="6"/>
  <c r="S53" i="6"/>
  <c r="S52" i="6"/>
  <c r="S51" i="6"/>
  <c r="S50" i="6"/>
  <c r="S49" i="6"/>
  <c r="S48" i="6"/>
  <c r="S47" i="6"/>
  <c r="S46" i="6"/>
  <c r="S45" i="6"/>
  <c r="S44" i="6"/>
  <c r="S43" i="6"/>
  <c r="S42" i="6"/>
  <c r="S41" i="6"/>
  <c r="S40" i="6"/>
  <c r="S39" i="6"/>
  <c r="S38" i="6"/>
  <c r="S37" i="6"/>
  <c r="S36" i="6"/>
  <c r="S35" i="6"/>
  <c r="S34" i="6"/>
  <c r="S33" i="6"/>
  <c r="S32" i="6"/>
  <c r="S31" i="6"/>
  <c r="S30" i="6"/>
  <c r="S29" i="6"/>
  <c r="S28" i="6"/>
  <c r="S27" i="6"/>
  <c r="S26" i="6"/>
  <c r="S25" i="6"/>
  <c r="S24" i="6"/>
  <c r="S23" i="6"/>
  <c r="S22" i="6"/>
  <c r="S21" i="6"/>
  <c r="S20" i="6"/>
  <c r="S19" i="6"/>
  <c r="S18" i="6"/>
  <c r="S17" i="6"/>
  <c r="S16" i="6"/>
  <c r="S15" i="6"/>
  <c r="S14" i="6"/>
  <c r="S13" i="6"/>
  <c r="S12" i="6"/>
  <c r="S11" i="6"/>
  <c r="S10" i="6"/>
  <c r="S9" i="6"/>
  <c r="S8" i="6"/>
  <c r="S7" i="6"/>
  <c r="C18" i="3"/>
  <c r="C17" i="3"/>
  <c r="B16" i="3"/>
  <c r="C15" i="3"/>
  <c r="C14" i="3"/>
  <c r="C13" i="3"/>
  <c r="C12" i="3"/>
  <c r="C11" i="3"/>
  <c r="C10" i="3"/>
  <c r="C9" i="3"/>
  <c r="C8" i="3"/>
  <c r="C7" i="3"/>
  <c r="C6" i="3"/>
  <c r="C5" i="3"/>
  <c r="B4" i="3"/>
  <c r="B3" i="3"/>
  <c r="M124" i="5"/>
  <c r="N129" i="5"/>
  <c r="B17" i="5"/>
  <c r="R114" i="5"/>
  <c r="R113" i="5"/>
  <c r="P89" i="5"/>
  <c r="K87" i="5"/>
  <c r="B16" i="5"/>
  <c r="C56" i="2"/>
  <c r="C57" i="2"/>
  <c r="C49" i="2"/>
  <c r="C50" i="2"/>
  <c r="C42" i="2"/>
  <c r="C43" i="2"/>
  <c r="C35" i="2"/>
  <c r="C36" i="2"/>
  <c r="C28" i="2"/>
  <c r="C29" i="2"/>
  <c r="C21" i="2"/>
  <c r="C22" i="2"/>
  <c r="O20" i="2"/>
  <c r="C14" i="2"/>
  <c r="C15" i="2"/>
  <c r="O9" i="2"/>
  <c r="O10" i="2"/>
  <c r="C7" i="2"/>
  <c r="C8" i="2"/>
  <c r="K243" i="6"/>
  <c r="B4" i="5"/>
  <c r="N97" i="5"/>
  <c r="BK23" i="7"/>
  <c r="N100" i="5"/>
  <c r="E14" i="11"/>
  <c r="E20" i="12"/>
  <c r="N101" i="5"/>
  <c r="Q97" i="5"/>
  <c r="R87" i="5"/>
  <c r="N102" i="5"/>
  <c r="E19" i="11"/>
  <c r="D22" i="11"/>
  <c r="BL331" i="8"/>
  <c r="BL332" i="8"/>
  <c r="BL333" i="8"/>
  <c r="BK331" i="8"/>
  <c r="BK332" i="8"/>
  <c r="BK333" i="8"/>
  <c r="BK19" i="8"/>
  <c r="N114" i="5"/>
  <c r="Q114" i="5"/>
  <c r="S114" i="5"/>
  <c r="BN331" i="8"/>
  <c r="BN332" i="8"/>
  <c r="BN333" i="8"/>
  <c r="BO331" i="8"/>
  <c r="BO332" i="8"/>
  <c r="BO333" i="8"/>
  <c r="BU634" i="7"/>
  <c r="BU635" i="7"/>
  <c r="BU636" i="7"/>
  <c r="BW634" i="7"/>
  <c r="BW635" i="7"/>
  <c r="BW636" i="7"/>
  <c r="CA634" i="7"/>
  <c r="CA635" i="7"/>
  <c r="CA636" i="7"/>
  <c r="BX634" i="7"/>
  <c r="BX635" i="7"/>
  <c r="BX636" i="7"/>
  <c r="BR634" i="7"/>
  <c r="BR635" i="7"/>
  <c r="BR636" i="7"/>
  <c r="BM634" i="7"/>
  <c r="BM635" i="7"/>
  <c r="BM636" i="7"/>
  <c r="BK26" i="7"/>
  <c r="P113" i="5"/>
  <c r="BP634" i="7"/>
  <c r="BP635" i="7"/>
  <c r="BP636" i="7"/>
  <c r="BL634" i="7"/>
  <c r="BL635" i="7"/>
  <c r="BL636" i="7"/>
  <c r="BK25" i="7"/>
  <c r="BY634" i="7"/>
  <c r="BY635" i="7"/>
  <c r="BY636" i="7"/>
  <c r="BT634" i="7"/>
  <c r="BT635" i="7"/>
  <c r="BT636" i="7"/>
  <c r="BS634" i="7"/>
  <c r="BS635" i="7"/>
  <c r="BS636" i="7"/>
  <c r="BQ634" i="7"/>
  <c r="BQ635" i="7"/>
  <c r="BQ636" i="7"/>
  <c r="BK634" i="7"/>
  <c r="BK635" i="7"/>
  <c r="BK636" i="7"/>
  <c r="BV634" i="7"/>
  <c r="BV635" i="7"/>
  <c r="BV636" i="7"/>
  <c r="BZ634" i="7"/>
  <c r="BZ635" i="7"/>
  <c r="BZ636" i="7"/>
  <c r="BN634" i="7"/>
  <c r="BN635" i="7"/>
  <c r="BN636" i="7"/>
  <c r="BO634" i="7"/>
  <c r="BO635" i="7"/>
  <c r="BO636" i="7"/>
  <c r="N112" i="5"/>
  <c r="Q112" i="5"/>
  <c r="S112" i="5"/>
  <c r="C19" i="5"/>
  <c r="N111" i="5"/>
  <c r="Q111" i="5"/>
  <c r="S111" i="5"/>
  <c r="C18" i="5"/>
  <c r="N113" i="5"/>
  <c r="Q113" i="5"/>
  <c r="S113" i="5"/>
  <c r="C20" i="5"/>
  <c r="P112" i="5"/>
  <c r="P111" i="5"/>
</calcChain>
</file>

<file path=xl/comments1.xml><?xml version="1.0" encoding="utf-8"?>
<comments xmlns="http://schemas.openxmlformats.org/spreadsheetml/2006/main">
  <authors>
    <author>DHL User</author>
  </authors>
  <commentList>
    <comment ref="P6" authorId="0">
      <text>
        <r>
          <rPr>
            <b/>
            <sz val="8"/>
            <color indexed="81"/>
            <rFont val="Tahoma"/>
            <family val="2"/>
          </rPr>
          <t>IMPORTANT:</t>
        </r>
        <r>
          <rPr>
            <sz val="8"/>
            <color indexed="81"/>
            <rFont val="Tahoma"/>
            <family val="2"/>
          </rPr>
          <t xml:space="preserve">
Leave blank boxes in place!</t>
        </r>
      </text>
    </comment>
    <comment ref="Q6" authorId="0">
      <text>
        <r>
          <rPr>
            <b/>
            <sz val="8"/>
            <color indexed="81"/>
            <rFont val="Tahoma"/>
            <family val="2"/>
          </rPr>
          <t>IMPORTANT:</t>
        </r>
        <r>
          <rPr>
            <sz val="8"/>
            <color indexed="81"/>
            <rFont val="Tahoma"/>
            <family val="2"/>
          </rPr>
          <t xml:space="preserve">
Leave blank boxes in place!</t>
        </r>
      </text>
    </comment>
  </commentList>
</comments>
</file>

<file path=xl/sharedStrings.xml><?xml version="1.0" encoding="utf-8"?>
<sst xmlns="http://schemas.openxmlformats.org/spreadsheetml/2006/main" count="2983" uniqueCount="636">
  <si>
    <t>Insert volume (in ml)</t>
  </si>
  <si>
    <t>Insert abv (in %)</t>
  </si>
  <si>
    <t>Beer</t>
  </si>
  <si>
    <t>i.e. 440ml can - insert 440</t>
  </si>
  <si>
    <t>Spirits</t>
  </si>
  <si>
    <t>i.e. 70cl bottle - insert 700</t>
  </si>
  <si>
    <t>Still cider and perry</t>
  </si>
  <si>
    <t>Sparkling cider and perry</t>
  </si>
  <si>
    <t>Wine and made-wine</t>
  </si>
  <si>
    <t>ABV</t>
  </si>
  <si>
    <t>Factor</t>
  </si>
  <si>
    <t>i.e. 1l bottle - insert 1000</t>
  </si>
  <si>
    <t>&lt; this is a result. Do not enter a value.</t>
  </si>
  <si>
    <t>Duty + VAT floor price:</t>
  </si>
  <si>
    <r>
      <t xml:space="preserve">Low Strength Beer  </t>
    </r>
    <r>
      <rPr>
        <b/>
        <sz val="11"/>
        <rFont val="Arial"/>
        <family val="2"/>
      </rPr>
      <t>(exceeding 1.2% abv, not exceeding 2.8% abv)</t>
    </r>
  </si>
  <si>
    <t>Duty + VAT floor price calculator 2013</t>
  </si>
  <si>
    <t xml:space="preserve">Sparkling wine and made-wine </t>
  </si>
  <si>
    <r>
      <t xml:space="preserve">High Strength Beer </t>
    </r>
    <r>
      <rPr>
        <b/>
        <sz val="11"/>
        <rFont val="Arial"/>
        <family val="2"/>
      </rPr>
      <t>(exceeding 7.5% abv)</t>
    </r>
  </si>
  <si>
    <t>e.g. 4.4% abv - insert '4.4'</t>
  </si>
  <si>
    <t>e.g. 5.5% abv - insert '5.5'</t>
  </si>
  <si>
    <t>e.g. 13.5% abv - insert '13.5'</t>
  </si>
  <si>
    <t>e.g. 37.5% abv - insert '37.5'</t>
  </si>
  <si>
    <t>Spirits-based - Ready-to-drinks</t>
  </si>
  <si>
    <t>Beer - high strength + 7.5% abv</t>
  </si>
  <si>
    <t>Beer - lower strength 1.2% - 2.8% abv</t>
  </si>
  <si>
    <t>Still cider and perry 7.5% - 8.5%</t>
  </si>
  <si>
    <t>Wine and made-wine 1.2% - 4% abv</t>
  </si>
  <si>
    <t>Wine and made-wine 4% - 5.5% abv</t>
  </si>
  <si>
    <t>Wine and made-wine 5.5% - 15% abv</t>
  </si>
  <si>
    <t>Beer 2.8% - 7.5%</t>
  </si>
  <si>
    <t>Wine and made-wine 15% - 22% abv</t>
  </si>
  <si>
    <t>Wine and made-wine + 22% abv</t>
  </si>
  <si>
    <t>Sparkling wine and made-wine 5.5% - 8.5% abv</t>
  </si>
  <si>
    <t>Sparkling wine and made-wine 8.5% - 15% abv</t>
  </si>
  <si>
    <t>Type</t>
  </si>
  <si>
    <t>Alc %:</t>
  </si>
  <si>
    <t>Amount:</t>
  </si>
  <si>
    <t>Size (ml):</t>
  </si>
  <si>
    <t>% LL</t>
  </si>
  <si>
    <t>% UL</t>
  </si>
  <si>
    <t>Rate per litre</t>
  </si>
  <si>
    <t>Rate per hectolitre</t>
  </si>
  <si>
    <t>Still cider and perry 1.2% - 7.5%</t>
  </si>
  <si>
    <t>Duty:</t>
  </si>
  <si>
    <t>VAT:</t>
  </si>
  <si>
    <t>TOTAL:</t>
  </si>
  <si>
    <t>**Based on March 2017 Budget</t>
  </si>
  <si>
    <t>Sparkling cider and perry 1.2% - 5.5%</t>
  </si>
  <si>
    <t>Sparkling cider and perry 5.5% - 8.5%</t>
  </si>
  <si>
    <t>Height of shipment (cm)</t>
  </si>
  <si>
    <t>Length of shipment (cm)</t>
  </si>
  <si>
    <t>Width of shipment (cm)</t>
  </si>
  <si>
    <t>Volumetric Weight (kg)</t>
  </si>
  <si>
    <t>Aviation Fuel Surcharge</t>
  </si>
  <si>
    <t>DHL Express 9:00 Import</t>
  </si>
  <si>
    <t>DHL Express 12:00 Import</t>
  </si>
  <si>
    <t>DHL Express Worldwide Import</t>
  </si>
  <si>
    <t>Road Fuel Surcharge</t>
  </si>
  <si>
    <t>Multi Piece</t>
  </si>
  <si>
    <t xml:space="preserve"> </t>
  </si>
  <si>
    <t>No</t>
  </si>
  <si>
    <t>Yes</t>
  </si>
  <si>
    <t>DDI Capability (for conditional formatting)</t>
  </si>
  <si>
    <t>TDI Zone:</t>
  </si>
  <si>
    <t>(for dutiable / non-dutiable)</t>
  </si>
  <si>
    <t>Import</t>
  </si>
  <si>
    <t>Document</t>
  </si>
  <si>
    <t>Domestic</t>
  </si>
  <si>
    <t>Non-Document</t>
  </si>
  <si>
    <t>TDI offset, taking DOX/WPX into consideration.</t>
  </si>
  <si>
    <t>Plus Zone = TD Offset&gt;&gt;&gt;</t>
  </si>
  <si>
    <t>TDI Dead weight</t>
  </si>
  <si>
    <t>DDI Dead weight</t>
  </si>
  <si>
    <t>H</t>
  </si>
  <si>
    <t>TDI Vol Weight</t>
  </si>
  <si>
    <t>L</t>
  </si>
  <si>
    <t>There may be different TDI vs DDI volumetric weights, due to rounding to nearest 0.5kg or 1kg.</t>
  </si>
  <si>
    <t>DDI Vol Weight</t>
  </si>
  <si>
    <t>W</t>
  </si>
  <si>
    <t>TD Inv Weight</t>
  </si>
  <si>
    <t>DDI Inv Weight</t>
  </si>
  <si>
    <t>Intl &amp; not matching</t>
  </si>
  <si>
    <t>Dom or matching</t>
  </si>
  <si>
    <t>Export</t>
  </si>
  <si>
    <t>Transit Times</t>
  </si>
  <si>
    <t>TDI</t>
  </si>
  <si>
    <t>DDI</t>
  </si>
  <si>
    <t>Prices</t>
  </si>
  <si>
    <t>FSC</t>
  </si>
  <si>
    <t>Total</t>
  </si>
  <si>
    <t>Pre 9</t>
  </si>
  <si>
    <t>Pre 12</t>
  </si>
  <si>
    <t>COB</t>
  </si>
  <si>
    <t>Output</t>
  </si>
  <si>
    <t>OSP/OWP Message (to change as of 1st Jan 2017)</t>
  </si>
  <si>
    <t>&lt;&lt;&lt;Todays date converted into number format</t>
  </si>
  <si>
    <t>&lt;&lt;&lt;1st Jan 2016 converted into number format</t>
  </si>
  <si>
    <t>Your shipment will incur either an Over Weight Piece surcharge of £35 or an Over Sized Piece surcharge of £35 as applicable. Neither of these surcharges are included in the prices displayed below.</t>
  </si>
  <si>
    <t>Q4 2016</t>
  </si>
  <si>
    <t>You will incur either an Over Weight Piece surcharge of £30* or an Over Sized Piece surcharge of £30* as applicable. These surcharges are not included in the prices below. *£35 from 1st Jan 2017.</t>
  </si>
  <si>
    <t>Transit Table</t>
  </si>
  <si>
    <t>Published tariff</t>
  </si>
  <si>
    <t>ECX/DOX</t>
  </si>
  <si>
    <t>Country</t>
  </si>
  <si>
    <t>TDI Zone</t>
  </si>
  <si>
    <t>TDI Offset</t>
  </si>
  <si>
    <t>IB TT</t>
  </si>
  <si>
    <t>OB 12</t>
  </si>
  <si>
    <t>OB 9</t>
  </si>
  <si>
    <t>IB 12</t>
  </si>
  <si>
    <t>IB 9</t>
  </si>
  <si>
    <t>DDI Zone</t>
  </si>
  <si>
    <t>DDI OB TT</t>
  </si>
  <si>
    <t>DDI IB TT</t>
  </si>
  <si>
    <t>Output for Calculator list</t>
  </si>
  <si>
    <t>Click here for countries</t>
  </si>
  <si>
    <t>n/a</t>
  </si>
  <si>
    <t>Import Country List</t>
  </si>
  <si>
    <t>DDI OB Country List</t>
  </si>
  <si>
    <t>DDI IB Country List</t>
  </si>
  <si>
    <t>Afghanistan</t>
  </si>
  <si>
    <t>4-6</t>
  </si>
  <si>
    <t>No OB12</t>
  </si>
  <si>
    <t>No OB9</t>
  </si>
  <si>
    <t>2-4</t>
  </si>
  <si>
    <t>No IB12</t>
  </si>
  <si>
    <t>No IB9</t>
  </si>
  <si>
    <t>Austria</t>
  </si>
  <si>
    <t>Albania</t>
  </si>
  <si>
    <t>1-2</t>
  </si>
  <si>
    <t>Yes IB12</t>
  </si>
  <si>
    <t>Yes IB9</t>
  </si>
  <si>
    <t>Belgium</t>
  </si>
  <si>
    <t>Algeria</t>
  </si>
  <si>
    <t>1-3</t>
  </si>
  <si>
    <t>2-3</t>
  </si>
  <si>
    <t>Bulgaria</t>
  </si>
  <si>
    <t>American Samoa</t>
  </si>
  <si>
    <t>4-5</t>
  </si>
  <si>
    <t>Channel Islands</t>
  </si>
  <si>
    <t>Croatia</t>
  </si>
  <si>
    <t>Andorra</t>
  </si>
  <si>
    <t>Yes OB12</t>
  </si>
  <si>
    <t>Yes OB9</t>
  </si>
  <si>
    <t>Czech Republic</t>
  </si>
  <si>
    <t>Angola</t>
  </si>
  <si>
    <t>3-5</t>
  </si>
  <si>
    <t>3-4</t>
  </si>
  <si>
    <t>Denmark</t>
  </si>
  <si>
    <t>Anguilla</t>
  </si>
  <si>
    <t>Estonia</t>
  </si>
  <si>
    <t>Antigua</t>
  </si>
  <si>
    <t>Finland</t>
  </si>
  <si>
    <t>Argentina</t>
  </si>
  <si>
    <t>France - All Other Locations</t>
  </si>
  <si>
    <t>Armenia</t>
  </si>
  <si>
    <t>France - Paris</t>
  </si>
  <si>
    <t>Aruba</t>
  </si>
  <si>
    <t>Germany - All Other Locations</t>
  </si>
  <si>
    <t>Australia</t>
  </si>
  <si>
    <t>Germany - Cologne</t>
  </si>
  <si>
    <t>Germany - Frankfurt</t>
  </si>
  <si>
    <t>Azerbaijan</t>
  </si>
  <si>
    <t>Hungary</t>
  </si>
  <si>
    <t>Bahamas</t>
  </si>
  <si>
    <t>Gibraltar</t>
  </si>
  <si>
    <t>Ireland Republic of</t>
  </si>
  <si>
    <t>Bahrain</t>
  </si>
  <si>
    <t>Greece</t>
  </si>
  <si>
    <t>Italy</t>
  </si>
  <si>
    <t>Bangladesh</t>
  </si>
  <si>
    <t>Latvia</t>
  </si>
  <si>
    <t>Barbados</t>
  </si>
  <si>
    <t>Liechtenstein</t>
  </si>
  <si>
    <t>Belarus</t>
  </si>
  <si>
    <t>Lithuania</t>
  </si>
  <si>
    <t>Luxembourg</t>
  </si>
  <si>
    <t>Belize</t>
  </si>
  <si>
    <t>Netherlands</t>
  </si>
  <si>
    <t>Benin</t>
  </si>
  <si>
    <t>Norway</t>
  </si>
  <si>
    <t>Bermuda</t>
  </si>
  <si>
    <t>Poland</t>
  </si>
  <si>
    <t>Bhutan</t>
  </si>
  <si>
    <t>Portugal</t>
  </si>
  <si>
    <t>Bolivia</t>
  </si>
  <si>
    <t>Romania</t>
  </si>
  <si>
    <t>Bonaire</t>
  </si>
  <si>
    <t>5-6</t>
  </si>
  <si>
    <t>Slovakia</t>
  </si>
  <si>
    <t>Bosnia Herzegovina</t>
  </si>
  <si>
    <t>Slovenia</t>
  </si>
  <si>
    <t>Botswana</t>
  </si>
  <si>
    <t>Spain</t>
  </si>
  <si>
    <t>Brazil</t>
  </si>
  <si>
    <t>San Marino</t>
  </si>
  <si>
    <t>Sweden</t>
  </si>
  <si>
    <t>Brunei</t>
  </si>
  <si>
    <t>Switzerland</t>
  </si>
  <si>
    <t>Burkina Faso</t>
  </si>
  <si>
    <t>Burundi</t>
  </si>
  <si>
    <t>Cambodia</t>
  </si>
  <si>
    <t>Cameroon</t>
  </si>
  <si>
    <t>Canada</t>
  </si>
  <si>
    <t>Canary Islands</t>
  </si>
  <si>
    <t>Cape Verde Islands</t>
  </si>
  <si>
    <t>2-5</t>
  </si>
  <si>
    <t>Cayman Islands</t>
  </si>
  <si>
    <t>Central African Rep.</t>
  </si>
  <si>
    <t>Chad</t>
  </si>
  <si>
    <t>3-6</t>
  </si>
  <si>
    <t>Chile</t>
  </si>
  <si>
    <t>China, Peoples Rep.</t>
  </si>
  <si>
    <t>Colombia</t>
  </si>
  <si>
    <t>Comoros Islands</t>
  </si>
  <si>
    <t>Congo</t>
  </si>
  <si>
    <t>Congo, Dem. Rep.</t>
  </si>
  <si>
    <t>Cook Islands</t>
  </si>
  <si>
    <t>Costa Rica</t>
  </si>
  <si>
    <t>Curacao</t>
  </si>
  <si>
    <t>Cuba</t>
  </si>
  <si>
    <t>Cyprus</t>
  </si>
  <si>
    <t>Djibouti</t>
  </si>
  <si>
    <t>Dominica</t>
  </si>
  <si>
    <t>Dominican Rep.</t>
  </si>
  <si>
    <t>East Timor</t>
  </si>
  <si>
    <t>Ecuador</t>
  </si>
  <si>
    <t>Egypt</t>
  </si>
  <si>
    <t>El Salvador</t>
  </si>
  <si>
    <t>Equatorial Guinea</t>
  </si>
  <si>
    <t>Eritrea</t>
  </si>
  <si>
    <t>Ethiopia</t>
  </si>
  <si>
    <t>Fiji</t>
  </si>
  <si>
    <t>Falkland Islands</t>
  </si>
  <si>
    <t>Faroe Islands</t>
  </si>
  <si>
    <t>French Guiana</t>
  </si>
  <si>
    <t>4</t>
  </si>
  <si>
    <t>Gabon</t>
  </si>
  <si>
    <t>Gambia</t>
  </si>
  <si>
    <t>Georgia</t>
  </si>
  <si>
    <t>Ghana</t>
  </si>
  <si>
    <t>Grenada</t>
  </si>
  <si>
    <t>Guadeloupe</t>
  </si>
  <si>
    <t>Guam</t>
  </si>
  <si>
    <t>5</t>
  </si>
  <si>
    <t>Guatemala</t>
  </si>
  <si>
    <t>Greenland</t>
  </si>
  <si>
    <t>Guinea Rep.</t>
  </si>
  <si>
    <t>Guinea-Bissau</t>
  </si>
  <si>
    <t>Guyana</t>
  </si>
  <si>
    <t>Haiti</t>
  </si>
  <si>
    <t>Honduras Rep.</t>
  </si>
  <si>
    <t>Hong Kong</t>
  </si>
  <si>
    <t>Iceland</t>
  </si>
  <si>
    <t>India</t>
  </si>
  <si>
    <t>Indonesia</t>
  </si>
  <si>
    <t>Israel</t>
  </si>
  <si>
    <t>Ivory Coast</t>
  </si>
  <si>
    <t>Jamaica</t>
  </si>
  <si>
    <t>Iran</t>
  </si>
  <si>
    <t>Japan</t>
  </si>
  <si>
    <t>Iraq</t>
  </si>
  <si>
    <t>Jordan</t>
  </si>
  <si>
    <t>Kazakhstan</t>
  </si>
  <si>
    <t>Kenya</t>
  </si>
  <si>
    <t>Kiribati</t>
  </si>
  <si>
    <t>Korea, Rep of (South)</t>
  </si>
  <si>
    <t>Kosovo</t>
  </si>
  <si>
    <t>Kuwait</t>
  </si>
  <si>
    <t>Kyrgyzstan</t>
  </si>
  <si>
    <t>Laos Peoples Dem. Rep</t>
  </si>
  <si>
    <t>Lebanon</t>
  </si>
  <si>
    <t>Korea, D.P.R of (North)</t>
  </si>
  <si>
    <t>Lesotho</t>
  </si>
  <si>
    <t>Libya</t>
  </si>
  <si>
    <t>Macau</t>
  </si>
  <si>
    <t>Macedonia</t>
  </si>
  <si>
    <t>Madagascar</t>
  </si>
  <si>
    <t>Malawi</t>
  </si>
  <si>
    <t>Liberia</t>
  </si>
  <si>
    <t>Malaysia</t>
  </si>
  <si>
    <t>Maldives</t>
  </si>
  <si>
    <t>Mali</t>
  </si>
  <si>
    <t>Malta</t>
  </si>
  <si>
    <t>Marshall Islands</t>
  </si>
  <si>
    <t>Martinique</t>
  </si>
  <si>
    <t>Mauritania</t>
  </si>
  <si>
    <t>Mauritius</t>
  </si>
  <si>
    <t>Mayotte</t>
  </si>
  <si>
    <t>Mexico</t>
  </si>
  <si>
    <t>Micronesia, Fed States Of</t>
  </si>
  <si>
    <t>Moldova, Rep of</t>
  </si>
  <si>
    <t>Monaco</t>
  </si>
  <si>
    <t>Mongolia</t>
  </si>
  <si>
    <t>Montenegro</t>
  </si>
  <si>
    <t>Montserrat</t>
  </si>
  <si>
    <t>Morocco</t>
  </si>
  <si>
    <t>Mozambique</t>
  </si>
  <si>
    <t>Namibia</t>
  </si>
  <si>
    <t>Nauru, Rep of</t>
  </si>
  <si>
    <t>Nepal</t>
  </si>
  <si>
    <t>Netherlands Antilles</t>
  </si>
  <si>
    <t>Nevis</t>
  </si>
  <si>
    <t>New Caledonia</t>
  </si>
  <si>
    <t>New Zealand</t>
  </si>
  <si>
    <t>Nicaragua</t>
  </si>
  <si>
    <t>Myanmar (Burma)</t>
  </si>
  <si>
    <t>Niger</t>
  </si>
  <si>
    <t>Nigeria</t>
  </si>
  <si>
    <t>Niue</t>
  </si>
  <si>
    <t>Oman</t>
  </si>
  <si>
    <t>Pakistan</t>
  </si>
  <si>
    <t>Palau</t>
  </si>
  <si>
    <t>Panama</t>
  </si>
  <si>
    <t>Papua New Guinea</t>
  </si>
  <si>
    <t>Paraguay</t>
  </si>
  <si>
    <t>Peru</t>
  </si>
  <si>
    <t>Philippines</t>
  </si>
  <si>
    <t>Puerto Rico</t>
  </si>
  <si>
    <t>Qatar</t>
  </si>
  <si>
    <t>Reunion, Island of</t>
  </si>
  <si>
    <t>Russian Federation</t>
  </si>
  <si>
    <t>Rwanda</t>
  </si>
  <si>
    <t>Saipan</t>
  </si>
  <si>
    <t>Samoa</t>
  </si>
  <si>
    <t>Saudi Arabia</t>
  </si>
  <si>
    <t>Senegal</t>
  </si>
  <si>
    <t>Serbia</t>
  </si>
  <si>
    <t>Seychelles</t>
  </si>
  <si>
    <t>Singapore</t>
  </si>
  <si>
    <t>Solomon Islands</t>
  </si>
  <si>
    <t>Somalia</t>
  </si>
  <si>
    <t>South Africa</t>
  </si>
  <si>
    <t>Sao Tome &amp; Principe</t>
  </si>
  <si>
    <t>South Sudan</t>
  </si>
  <si>
    <t>Sri Lanka</t>
  </si>
  <si>
    <t>St Barthelemy</t>
  </si>
  <si>
    <t>St Eustatius</t>
  </si>
  <si>
    <t>Sierra Leone</t>
  </si>
  <si>
    <t>St Kitts</t>
  </si>
  <si>
    <t>St Lucia</t>
  </si>
  <si>
    <t>St Maarten</t>
  </si>
  <si>
    <t>St Vincent</t>
  </si>
  <si>
    <t>Suriname</t>
  </si>
  <si>
    <t>Swaziland</t>
  </si>
  <si>
    <t>Somaliland Rep. Of</t>
  </si>
  <si>
    <t>Syria</t>
  </si>
  <si>
    <t>Tahiti</t>
  </si>
  <si>
    <t>Taiwan</t>
  </si>
  <si>
    <t>Tajikistan</t>
  </si>
  <si>
    <t>Tanzania</t>
  </si>
  <si>
    <t>St Helena</t>
  </si>
  <si>
    <t>+6</t>
  </si>
  <si>
    <t>Thailand</t>
  </si>
  <si>
    <t>Togo</t>
  </si>
  <si>
    <t>Tonga</t>
  </si>
  <si>
    <t>Trinidad &amp; Tobago</t>
  </si>
  <si>
    <t>Turkey</t>
  </si>
  <si>
    <t>Sudan</t>
  </si>
  <si>
    <t>Turks &amp; Caicos Islands</t>
  </si>
  <si>
    <t>Tuvalu</t>
  </si>
  <si>
    <t>Uganda</t>
  </si>
  <si>
    <t>3</t>
  </si>
  <si>
    <t>Ukraine</t>
  </si>
  <si>
    <t>United Arab Emirates</t>
  </si>
  <si>
    <t>Uruguay</t>
  </si>
  <si>
    <t>USA</t>
  </si>
  <si>
    <t>Uzbekistan</t>
  </si>
  <si>
    <t>Vanuatu</t>
  </si>
  <si>
    <t>Venezuela</t>
  </si>
  <si>
    <t>Vietnam</t>
  </si>
  <si>
    <t>Virgin Islands, British</t>
  </si>
  <si>
    <t>Virgin Islands, US</t>
  </si>
  <si>
    <t>Yemen</t>
  </si>
  <si>
    <t>Tunisia</t>
  </si>
  <si>
    <t>Zambia</t>
  </si>
  <si>
    <t>Zimbabwe</t>
  </si>
  <si>
    <t>2-2</t>
  </si>
  <si>
    <t>OB TT</t>
  </si>
  <si>
    <t>Compare TDI vs. DDI</t>
  </si>
  <si>
    <t>DDI Offset</t>
  </si>
  <si>
    <t>Multi-piece?</t>
  </si>
  <si>
    <t>Tariff:</t>
  </si>
  <si>
    <t>0 - 0.5 Kg</t>
  </si>
  <si>
    <t>1.0 Kg</t>
  </si>
  <si>
    <t>1.5 - 2.0 Kg</t>
  </si>
  <si>
    <t>2.5 Kg</t>
  </si>
  <si>
    <t>3.0 - 5.0 Kg</t>
  </si>
  <si>
    <t>5.5 - 10 Kg</t>
  </si>
  <si>
    <t>10.5 - 20 Kg</t>
  </si>
  <si>
    <t>20.5 - 30 Kg</t>
  </si>
  <si>
    <t>30.5 - 70 Kg</t>
  </si>
  <si>
    <t>70.5 - 300 Kg</t>
  </si>
  <si>
    <t>300.5 + Kg</t>
  </si>
  <si>
    <t>TDI Rate</t>
  </si>
  <si>
    <t>Weight</t>
  </si>
  <si>
    <t>Offset</t>
  </si>
  <si>
    <t>Price</t>
  </si>
  <si>
    <r>
      <rPr>
        <b/>
        <sz val="10"/>
        <rFont val="Frutiger"/>
        <family val="2"/>
      </rPr>
      <t>TDD</t>
    </r>
    <r>
      <rPr>
        <sz val="10"/>
        <rFont val="Frutiger"/>
        <family val="2"/>
      </rPr>
      <t xml:space="preserve"> Price&gt;&gt;</t>
    </r>
  </si>
  <si>
    <t>Dom</t>
  </si>
  <si>
    <t>European Union</t>
  </si>
  <si>
    <t>Documents</t>
  </si>
  <si>
    <t>Non-Documents</t>
  </si>
  <si>
    <t>Pub Tariff</t>
  </si>
  <si>
    <t>PC</t>
  </si>
  <si>
    <t>KG</t>
  </si>
  <si>
    <t xml:space="preserve">0 - 0.5  </t>
  </si>
  <si>
    <t>1.0</t>
  </si>
  <si>
    <t>1.5 - 2.0</t>
  </si>
  <si>
    <t>3.0 - 5.0</t>
  </si>
  <si>
    <t>5.5 - 10</t>
  </si>
  <si>
    <t>10.5 - 20</t>
  </si>
  <si>
    <t>20.5 - 30</t>
  </si>
  <si>
    <t>30.5 - 70</t>
  </si>
  <si>
    <t>&lt;&lt;&lt; 1kg Adder</t>
  </si>
  <si>
    <t>70.5 - 300</t>
  </si>
  <si>
    <t>300.5 - 9999</t>
  </si>
  <si>
    <t>"N"</t>
  </si>
  <si>
    <t>NC</t>
  </si>
  <si>
    <t>"M"</t>
  </si>
  <si>
    <t>MC</t>
  </si>
  <si>
    <t>"H"</t>
  </si>
  <si>
    <t>HC</t>
  </si>
  <si>
    <t>ecom</t>
  </si>
  <si>
    <t>EC</t>
  </si>
  <si>
    <t>Charity</t>
  </si>
  <si>
    <t>CC</t>
  </si>
  <si>
    <t>SBT</t>
  </si>
  <si>
    <t>SC</t>
  </si>
  <si>
    <t>UKTI</t>
  </si>
  <si>
    <t>UC</t>
  </si>
  <si>
    <t>BPT</t>
  </si>
  <si>
    <t>BC</t>
  </si>
  <si>
    <t>300 before BL disc</t>
  </si>
  <si>
    <t>300+ Adder before BL disc</t>
  </si>
  <si>
    <t>BL Discount</t>
  </si>
  <si>
    <t>Additional rate for over 300kg</t>
  </si>
  <si>
    <t>Rate for total weight, before BL disc</t>
  </si>
  <si>
    <t>Rate</t>
  </si>
  <si>
    <t>Cust weight</t>
  </si>
  <si>
    <t>Price up to 300kg</t>
  </si>
  <si>
    <t>&lt;&lt;&lt;This links to the Calc sheet.</t>
  </si>
  <si>
    <t>Price over 300</t>
  </si>
  <si>
    <t>Rates inclusive BL Discount</t>
  </si>
  <si>
    <t>&lt;&lt;&lt; 5kg adder</t>
  </si>
  <si>
    <t>UK ALCOHOL EXCISE DUTY CALCULATOR</t>
  </si>
  <si>
    <r>
      <rPr>
        <sz val="10"/>
        <color indexed="60"/>
        <rFont val="Avenir Book"/>
        <family val="2"/>
      </rPr>
      <t>April 2015</t>
    </r>
    <r>
      <rPr>
        <sz val="10"/>
        <rFont val="Avenir Book"/>
        <family val="2"/>
      </rPr>
      <t>: TDX Premiums (from the Start page):</t>
    </r>
  </si>
  <si>
    <t>Weight of shipment (kg)</t>
  </si>
  <si>
    <t>beer, spirits, wine, cider and more.</t>
  </si>
  <si>
    <t>If the duty &amp; VAT exceeds £ 10,000, then the above percentage is reduced to 2.0% and</t>
  </si>
  <si>
    <t>if the duty &amp; VAT exceeds £ 20,000, then the above percentage is reduces to 1.5% + VAT</t>
  </si>
  <si>
    <t>Other possible charges:</t>
  </si>
  <si>
    <t>CODE</t>
  </si>
  <si>
    <t>REFERENCE</t>
  </si>
  <si>
    <t>DESCRIPTION</t>
  </si>
  <si>
    <t>COST</t>
  </si>
  <si>
    <t>[7001]</t>
  </si>
  <si>
    <t>[7039]</t>
  </si>
  <si>
    <t xml:space="preserve">Customs Clearance (Commercial) </t>
  </si>
  <si>
    <t xml:space="preserve">Direct Trader Input Fee (Software charge) </t>
  </si>
  <si>
    <t>[7022]</t>
  </si>
  <si>
    <t>Advance D&amp;V Payment,( if applicable)</t>
  </si>
  <si>
    <t>2.5% of duty &amp; VAT or Min. GB£ 30.00</t>
  </si>
  <si>
    <t>[7048]</t>
  </si>
  <si>
    <t>Freight Collect Charge</t>
  </si>
  <si>
    <t xml:space="preserve">[7045] </t>
  </si>
  <si>
    <t>PIN</t>
  </si>
  <si>
    <t xml:space="preserve">Collection PIN / Release (Southampton only) </t>
  </si>
  <si>
    <t>[7035]</t>
  </si>
  <si>
    <t>XTH</t>
  </si>
  <si>
    <t>FCC</t>
  </si>
  <si>
    <t>Extra Tariff Headings / Commodity code</t>
  </si>
  <si>
    <t>per item</t>
  </si>
  <si>
    <t>[7064]</t>
  </si>
  <si>
    <t>DDP</t>
  </si>
  <si>
    <t>Delivery Duty Paid Surcharge</t>
  </si>
  <si>
    <t>per shipment</t>
  </si>
  <si>
    <t>[8001]</t>
  </si>
  <si>
    <t>HAU</t>
  </si>
  <si>
    <t>UK Haulage / Delivery ... (if required)</t>
  </si>
  <si>
    <t>[8029]</t>
  </si>
  <si>
    <t>TLV</t>
  </si>
  <si>
    <t>Tail-Lift Vehicle &amp; Pump Truck</t>
  </si>
  <si>
    <t>[8024]</t>
  </si>
  <si>
    <t>Delivery Booking Fee</t>
  </si>
  <si>
    <t xml:space="preserve">[8040] </t>
  </si>
  <si>
    <t>TMD</t>
  </si>
  <si>
    <t>BKF</t>
  </si>
  <si>
    <t>Timed Delivery Surcharge</t>
  </si>
  <si>
    <t xml:space="preserve">NOTE: ALL PRICES IN GBP </t>
  </si>
  <si>
    <t>Select Type</t>
  </si>
  <si>
    <t>[7027]</t>
  </si>
  <si>
    <t>VAT</t>
  </si>
  <si>
    <t>VAT  20%</t>
  </si>
  <si>
    <t>Based on value of drinks</t>
  </si>
  <si>
    <t>UOD</t>
  </si>
  <si>
    <t>DTI</t>
  </si>
  <si>
    <t xml:space="preserve">CCP </t>
  </si>
  <si>
    <t>if applicable</t>
  </si>
  <si>
    <t xml:space="preserve"> (10.0% of total freight)</t>
  </si>
  <si>
    <t>Upon Request</t>
  </si>
  <si>
    <t>if required</t>
  </si>
  <si>
    <t>UK IMPORT SERVICES FEE'S - FROM OUTSIDE EU</t>
  </si>
  <si>
    <r>
      <t xml:space="preserve">Optional delivery extras (which will apply to </t>
    </r>
    <r>
      <rPr>
        <b/>
        <i/>
        <u/>
        <sz val="12"/>
        <rFont val="Calibri"/>
        <family val="2"/>
        <scheme val="minor"/>
      </rPr>
      <t>Amazon</t>
    </r>
    <r>
      <rPr>
        <b/>
        <i/>
        <sz val="12"/>
        <rFont val="Calibri"/>
        <family val="2"/>
        <scheme val="minor"/>
      </rPr>
      <t xml:space="preserve"> warehouses):</t>
    </r>
  </si>
  <si>
    <t>[6028]</t>
  </si>
  <si>
    <t>HM4</t>
  </si>
  <si>
    <t>Stamped HM4 Using DDA/ADD/SAAD)</t>
  </si>
  <si>
    <t>[6021]</t>
  </si>
  <si>
    <t>REDS</t>
  </si>
  <si>
    <t>Reds Declaration</t>
  </si>
  <si>
    <t>[6026]</t>
  </si>
  <si>
    <t>DEFRMNT</t>
  </si>
  <si>
    <t>Use of Deferment</t>
  </si>
  <si>
    <t>UK IMPORT</t>
  </si>
  <si>
    <t>FEE</t>
  </si>
  <si>
    <t>Service Charge</t>
  </si>
  <si>
    <t>UK IMPORT SERVICES FEE'S -  INSIDE EU</t>
  </si>
  <si>
    <t>Fixed</t>
  </si>
  <si>
    <t>Base</t>
  </si>
  <si>
    <t>DUTIES</t>
  </si>
  <si>
    <t>SHIPPING</t>
  </si>
  <si>
    <t>Select a shipping option</t>
  </si>
  <si>
    <t>IMPORT</t>
  </si>
  <si>
    <t xml:space="preserve">Optional delivery extras </t>
  </si>
  <si>
    <t>(which will apply to Amazon warehouses):</t>
  </si>
  <si>
    <t>Enter total value of drinks</t>
  </si>
  <si>
    <t>Are you import from outside/inside EU?</t>
  </si>
  <si>
    <t>VAT 20%</t>
  </si>
  <si>
    <t>TOTAL IMPORT FEES (From Outside EU)</t>
  </si>
  <si>
    <t>Inside EU</t>
  </si>
  <si>
    <t>Outside EU</t>
  </si>
  <si>
    <t xml:space="preserve">If your goods also require clearance by another Government agency, such as DEFRA,
</t>
  </si>
  <si>
    <t>The Port Health Authority, Forestry Commission etc., then additional charges may</t>
  </si>
  <si>
    <t>also apply. For example, when documents have to be sent to the Port Health Authority</t>
  </si>
  <si>
    <t>for any food products, the following will also apply:</t>
  </si>
  <si>
    <t>Port Health Declaration</t>
  </si>
  <si>
    <t>TOTAL</t>
  </si>
  <si>
    <t>TOTAL IMPORT FEES (Inside EU)</t>
  </si>
  <si>
    <t>My own shipping</t>
  </si>
  <si>
    <t>Calculate your shipping costs</t>
  </si>
  <si>
    <t>25ml</t>
  </si>
  <si>
    <t>35ml</t>
  </si>
  <si>
    <t>50ml</t>
  </si>
  <si>
    <t>150ml</t>
  </si>
  <si>
    <t>175ml</t>
  </si>
  <si>
    <t>250ml</t>
  </si>
  <si>
    <t>275ml</t>
  </si>
  <si>
    <t>284ml (1/2 pint)</t>
  </si>
  <si>
    <t>300ml</t>
  </si>
  <si>
    <t>350ml</t>
  </si>
  <si>
    <t>375ml</t>
  </si>
  <si>
    <t>440ml</t>
  </si>
  <si>
    <t>500ml</t>
  </si>
  <si>
    <t>568ml (1 pint)</t>
  </si>
  <si>
    <t>660ml</t>
  </si>
  <si>
    <t>700ml</t>
  </si>
  <si>
    <t>750ml (bottle wine)</t>
  </si>
  <si>
    <t>1 litre</t>
  </si>
  <si>
    <t>1.5 litres</t>
  </si>
  <si>
    <t>2 litres</t>
  </si>
  <si>
    <t>3 litres</t>
  </si>
  <si>
    <t>Size Display</t>
  </si>
  <si>
    <t>Actual Value</t>
  </si>
  <si>
    <t xml:space="preserve">             THIS IS THE TOTAL ESTIMATED COSTS FOR YOUR SHIPMENT </t>
  </si>
  <si>
    <t xml:space="preserve">               UK IMPORT SERVICES FEE'S</t>
  </si>
  <si>
    <t xml:space="preserve">Calculate how much duty for 
</t>
  </si>
  <si>
    <t xml:space="preserve">                         SUMMARY</t>
  </si>
  <si>
    <t xml:space="preserve">    SHIPPING CALCULATOR</t>
  </si>
  <si>
    <t xml:space="preserve">By Amz Unlimited. </t>
  </si>
  <si>
    <t>The current fuel surcharge percentages can be located on the DHL website via this link:</t>
  </si>
  <si>
    <t>Click here</t>
  </si>
  <si>
    <t>Select Response</t>
  </si>
  <si>
    <t>TARGET</t>
  </si>
  <si>
    <t>[7026]</t>
  </si>
  <si>
    <t>FBA</t>
  </si>
  <si>
    <t xml:space="preserve">SUGGESTED </t>
  </si>
  <si>
    <t>AVERAGE</t>
  </si>
  <si>
    <t>ALCOHOL</t>
  </si>
  <si>
    <t>ALCOHOL %</t>
  </si>
  <si>
    <t>BOTTLE</t>
  </si>
  <si>
    <t>HARD COST</t>
  </si>
  <si>
    <t xml:space="preserve"> PROFIT</t>
  </si>
  <si>
    <t>CASE</t>
  </si>
  <si>
    <t>No. of</t>
  </si>
  <si>
    <t xml:space="preserve">No. </t>
  </si>
  <si>
    <t xml:space="preserve">EXCISE DUTY </t>
  </si>
  <si>
    <t xml:space="preserve">SHIPPING COST </t>
  </si>
  <si>
    <t>FEE'S</t>
  </si>
  <si>
    <t>AMZ</t>
  </si>
  <si>
    <t xml:space="preserve">RRP </t>
  </si>
  <si>
    <t xml:space="preserve">PRICE ON </t>
  </si>
  <si>
    <t>TAKE HOME</t>
  </si>
  <si>
    <t>PRODUCT</t>
  </si>
  <si>
    <t>TYPE</t>
  </si>
  <si>
    <t xml:space="preserve"> SIZE (ml)</t>
  </si>
  <si>
    <t>PER UNIT</t>
  </si>
  <si>
    <t xml:space="preserve"> QTY</t>
  </si>
  <si>
    <t>Cases</t>
  </si>
  <si>
    <t>Of Bottles</t>
  </si>
  <si>
    <t>SERVICES</t>
  </si>
  <si>
    <t>/Bottle</t>
  </si>
  <si>
    <t>/UNIT</t>
  </si>
  <si>
    <t>COMM</t>
  </si>
  <si>
    <t>ON AMAZON</t>
  </si>
  <si>
    <t xml:space="preserve">RETAIL </t>
  </si>
  <si>
    <t>DIFFERENCE</t>
  </si>
  <si>
    <t>AMAZON</t>
  </si>
  <si>
    <t>AFTER COSTS</t>
  </si>
  <si>
    <t>Mar Azul Flavoured Almond</t>
  </si>
  <si>
    <t>Mar Azul Flavoured Banana</t>
  </si>
  <si>
    <t>Mar Azul Flavoured Chocolate</t>
  </si>
  <si>
    <t>Mar Azul Flavoured Coconut</t>
  </si>
  <si>
    <t>Mar Azul Flavoured Coffee</t>
  </si>
  <si>
    <t>Mar Azul Flavoured Mint</t>
  </si>
  <si>
    <t>Mar Azul Flavoured Pomegranate</t>
  </si>
  <si>
    <t>Mar Azul Premium Habanero</t>
  </si>
  <si>
    <t>Mar Azul Premium Reposado</t>
  </si>
  <si>
    <t>Mar Azul Premium Anejo</t>
  </si>
  <si>
    <t>Mar Azul Premium Silver</t>
  </si>
  <si>
    <t>Bohica Tequila Reposado</t>
  </si>
  <si>
    <t>Bohica Tequila Blanco</t>
  </si>
  <si>
    <t>MAR AZUL (USA/MEXICO) SELLER CENTRAL (OUTSIDE EU)</t>
  </si>
  <si>
    <t>COST / CASE</t>
  </si>
  <si>
    <t>RRP / UNIT</t>
  </si>
  <si>
    <t>% INCREASE</t>
  </si>
  <si>
    <t>AMZ PROFIT</t>
  </si>
  <si>
    <t xml:space="preserve">PER CASE </t>
  </si>
  <si>
    <t>TO AMAZON</t>
  </si>
  <si>
    <t>ON TOTAL COST</t>
  </si>
  <si>
    <t>/ CASE</t>
  </si>
  <si>
    <t>MAR AZUL (USA/MEXICO) VENDOR CENTRAL (OUTSIDE EU)</t>
  </si>
  <si>
    <t>PROFIT/CASE</t>
  </si>
  <si>
    <t>HARDOCST</t>
  </si>
  <si>
    <t>PER CASE</t>
  </si>
  <si>
    <t>Select an option</t>
  </si>
  <si>
    <t>Non-document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</si>
</sst>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_(* \(#,##0.00\);_(* &quot;-&quot;??_);_(@_)"/>
    <numFmt numFmtId="165" formatCode="&quot;£&quot;#,##0.00"/>
    <numFmt numFmtId="166" formatCode="[$£-809]#,##0.00;\-[$£-809]#,##0.00"/>
    <numFmt numFmtId="167" formatCode="0.0%"/>
    <numFmt numFmtId="168" formatCode="0.0"/>
    <numFmt numFmtId="169" formatCode="0.0000000000000%"/>
    <numFmt numFmtId="170" formatCode="[$£-809]#,##0.00"/>
  </numFmts>
  <fonts count="113" x14ac:knownFonts="1">
    <font>
      <sz val="10"/>
      <name val="Arial"/>
    </font>
    <font>
      <sz val="10"/>
      <name val="Arial"/>
      <family val="2"/>
    </font>
    <font>
      <sz val="10"/>
      <name val="Arial"/>
      <family val="2"/>
    </font>
    <font>
      <sz val="8"/>
      <name val="Arial"/>
      <family val="2"/>
    </font>
    <font>
      <sz val="14"/>
      <name val="Arial"/>
      <family val="2"/>
    </font>
    <font>
      <sz val="16"/>
      <name val="Arial"/>
      <family val="2"/>
    </font>
    <font>
      <sz val="14"/>
      <name val="Arial"/>
      <family val="2"/>
    </font>
    <font>
      <b/>
      <sz val="14"/>
      <name val="Arial"/>
      <family val="2"/>
    </font>
    <font>
      <b/>
      <sz val="11"/>
      <name val="Arial"/>
      <family val="2"/>
    </font>
    <font>
      <sz val="12"/>
      <name val="Arial"/>
      <family val="2"/>
    </font>
    <font>
      <sz val="14"/>
      <color theme="0"/>
      <name val="Arial"/>
      <family val="2"/>
    </font>
    <font>
      <b/>
      <sz val="14"/>
      <color theme="1"/>
      <name val="Arial"/>
      <family val="2"/>
    </font>
    <font>
      <sz val="10"/>
      <color theme="0"/>
      <name val="Arial"/>
      <family val="2"/>
    </font>
    <font>
      <sz val="16"/>
      <color theme="0"/>
      <name val="Arial"/>
      <family val="2"/>
    </font>
    <font>
      <b/>
      <sz val="20"/>
      <color theme="0"/>
      <name val="Century Gothic"/>
      <family val="2"/>
    </font>
    <font>
      <sz val="10"/>
      <color theme="0"/>
      <name val="Century Gothic"/>
      <family val="2"/>
    </font>
    <font>
      <sz val="10"/>
      <name val="Century Gothic"/>
      <family val="2"/>
    </font>
    <font>
      <sz val="10"/>
      <name val="Frutiger"/>
      <family val="2"/>
    </font>
    <font>
      <b/>
      <sz val="10"/>
      <name val="Frutiger"/>
      <family val="2"/>
    </font>
    <font>
      <b/>
      <sz val="10"/>
      <name val="Arial"/>
      <family val="2"/>
    </font>
    <font>
      <b/>
      <sz val="10"/>
      <color indexed="8"/>
      <name val="Frutiger"/>
      <family val="2"/>
    </font>
    <font>
      <sz val="10"/>
      <color indexed="8"/>
      <name val="Frutiger"/>
      <family val="2"/>
    </font>
    <font>
      <sz val="10"/>
      <color indexed="9"/>
      <name val="Frutiger"/>
      <family val="2"/>
    </font>
    <font>
      <b/>
      <sz val="18"/>
      <name val="Frutiger"/>
      <family val="2"/>
    </font>
    <font>
      <b/>
      <sz val="14"/>
      <name val="Frutiger"/>
      <family val="2"/>
    </font>
    <font>
      <b/>
      <sz val="12"/>
      <name val="Frutiger"/>
      <family val="2"/>
    </font>
    <font>
      <sz val="10"/>
      <color indexed="9"/>
      <name val="Arial"/>
      <family val="2"/>
    </font>
    <font>
      <sz val="10"/>
      <color indexed="10"/>
      <name val="Arial"/>
      <family val="2"/>
    </font>
    <font>
      <b/>
      <sz val="8"/>
      <color indexed="9"/>
      <name val="Frutiger"/>
      <family val="2"/>
    </font>
    <font>
      <b/>
      <sz val="10"/>
      <color indexed="9"/>
      <name val="Frutiger"/>
      <family val="2"/>
    </font>
    <font>
      <sz val="10"/>
      <color indexed="10"/>
      <name val="Frutiger"/>
      <family val="2"/>
    </font>
    <font>
      <b/>
      <sz val="8"/>
      <color indexed="81"/>
      <name val="Tahoma"/>
      <family val="2"/>
    </font>
    <font>
      <sz val="8"/>
      <color indexed="81"/>
      <name val="Tahoma"/>
      <family val="2"/>
    </font>
    <font>
      <sz val="11"/>
      <color indexed="8"/>
      <name val="Calibri"/>
      <family val="2"/>
    </font>
    <font>
      <sz val="11"/>
      <color indexed="8"/>
      <name val="Frutiger"/>
      <family val="2"/>
    </font>
    <font>
      <b/>
      <sz val="11"/>
      <color indexed="9"/>
      <name val="Frutiger"/>
      <family val="2"/>
    </font>
    <font>
      <b/>
      <sz val="12"/>
      <color indexed="9"/>
      <name val="Frutiger"/>
      <family val="2"/>
    </font>
    <font>
      <sz val="8"/>
      <name val="Frutiger"/>
      <family val="2"/>
    </font>
    <font>
      <sz val="8"/>
      <color indexed="9"/>
      <name val="Frutiger"/>
      <family val="2"/>
    </font>
    <font>
      <b/>
      <sz val="10"/>
      <color rgb="FFFF0000"/>
      <name val="Frutiger"/>
      <family val="2"/>
    </font>
    <font>
      <sz val="10"/>
      <color rgb="FFFF0000"/>
      <name val="Frutiger"/>
      <family val="2"/>
    </font>
    <font>
      <b/>
      <sz val="11"/>
      <color rgb="FFFF0000"/>
      <name val="Calibri"/>
      <family val="2"/>
    </font>
    <font>
      <sz val="10"/>
      <color indexed="8"/>
      <name val="Arial"/>
      <family val="2"/>
    </font>
    <font>
      <b/>
      <sz val="9"/>
      <name val="Frutiger"/>
      <family val="2"/>
    </font>
    <font>
      <sz val="9"/>
      <color indexed="8"/>
      <name val="Frutiger"/>
      <family val="2"/>
    </font>
    <font>
      <sz val="9"/>
      <name val="Frutiger"/>
      <family val="2"/>
    </font>
    <font>
      <b/>
      <sz val="10"/>
      <color indexed="8"/>
      <name val="Arial"/>
      <family val="2"/>
    </font>
    <font>
      <b/>
      <sz val="11"/>
      <color rgb="FFFF0000"/>
      <name val="Frutiger"/>
      <family val="2"/>
    </font>
    <font>
      <sz val="20"/>
      <color theme="0"/>
      <name val="Avenir Book"/>
      <family val="2"/>
    </font>
    <font>
      <sz val="10"/>
      <color theme="0"/>
      <name val="Avenir Book"/>
      <family val="2"/>
    </font>
    <font>
      <sz val="10"/>
      <name val="Avenir Book"/>
      <family val="2"/>
    </font>
    <font>
      <sz val="10"/>
      <color indexed="8"/>
      <name val="Avenir Book"/>
      <family val="2"/>
    </font>
    <font>
      <sz val="10"/>
      <color indexed="9"/>
      <name val="Avenir Book"/>
      <family val="2"/>
    </font>
    <font>
      <sz val="10"/>
      <color indexed="10"/>
      <name val="Avenir Book"/>
      <family val="2"/>
    </font>
    <font>
      <sz val="10"/>
      <color indexed="60"/>
      <name val="Avenir Book"/>
      <family val="2"/>
    </font>
    <font>
      <sz val="20"/>
      <color rgb="FF000090"/>
      <name val="Avenir Book"/>
      <family val="2"/>
    </font>
    <font>
      <sz val="16"/>
      <color rgb="FF000090"/>
      <name val="Avenir Book"/>
      <family val="2"/>
    </font>
    <font>
      <b/>
      <sz val="9"/>
      <color rgb="FFFEC309"/>
      <name val="Avenir Book"/>
      <family val="2"/>
    </font>
    <font>
      <u/>
      <sz val="10"/>
      <color theme="10"/>
      <name val="Arial"/>
      <family val="2"/>
    </font>
    <font>
      <u/>
      <sz val="10"/>
      <color theme="11"/>
      <name val="Arial"/>
      <family val="2"/>
    </font>
    <font>
      <sz val="16"/>
      <color rgb="FFFEC309"/>
      <name val="Avenir Book"/>
      <family val="2"/>
    </font>
    <font>
      <sz val="20"/>
      <name val="Avenir Book"/>
      <family val="2"/>
    </font>
    <font>
      <b/>
      <sz val="18"/>
      <name val="Arial"/>
      <family val="2"/>
    </font>
    <font>
      <sz val="10"/>
      <color rgb="FFFEC309"/>
      <name val="Arial"/>
      <family val="2"/>
    </font>
    <font>
      <sz val="12"/>
      <name val="Calibri"/>
      <family val="2"/>
      <scheme val="minor"/>
    </font>
    <font>
      <u/>
      <sz val="12"/>
      <name val="Calibri"/>
      <family val="2"/>
      <scheme val="minor"/>
    </font>
    <font>
      <sz val="12"/>
      <name val="Calibri"/>
      <family val="2"/>
    </font>
    <font>
      <b/>
      <sz val="12"/>
      <name val="Calibri"/>
      <family val="2"/>
      <scheme val="minor"/>
    </font>
    <font>
      <b/>
      <i/>
      <sz val="12"/>
      <name val="Calibri"/>
      <family val="2"/>
      <scheme val="minor"/>
    </font>
    <font>
      <b/>
      <i/>
      <u/>
      <sz val="12"/>
      <name val="Calibri"/>
      <family val="2"/>
      <scheme val="minor"/>
    </font>
    <font>
      <i/>
      <sz val="10"/>
      <name val="Arial"/>
      <family val="2"/>
    </font>
    <font>
      <sz val="10"/>
      <color rgb="FFFEC309"/>
      <name val="Arial"/>
      <family val="2"/>
    </font>
    <font>
      <b/>
      <sz val="12"/>
      <color rgb="FFFEC309"/>
      <name val="Arial"/>
      <family val="2"/>
    </font>
    <font>
      <sz val="10"/>
      <color rgb="FF6335B5"/>
      <name val="Avenir Book"/>
      <family val="2"/>
    </font>
    <font>
      <b/>
      <sz val="10"/>
      <color rgb="FF6335B5"/>
      <name val="Avenir Book"/>
      <family val="2"/>
    </font>
    <font>
      <sz val="10"/>
      <color rgb="FFFEC309"/>
      <name val="Avenir Book"/>
      <family val="2"/>
    </font>
    <font>
      <sz val="12"/>
      <color rgb="FFFEC309"/>
      <name val="Avenir Book"/>
      <family val="2"/>
    </font>
    <font>
      <sz val="16"/>
      <color rgb="FF4633C6"/>
      <name val="Avenir Book"/>
      <family val="2"/>
    </font>
    <font>
      <sz val="20"/>
      <color rgb="FFFEC309"/>
      <name val="Avenir Book"/>
      <family val="2"/>
    </font>
    <font>
      <sz val="16"/>
      <color rgb="FF4F1CA6"/>
      <name val="Avenir Book"/>
      <family val="2"/>
    </font>
    <font>
      <b/>
      <sz val="6"/>
      <color rgb="FFFEC309"/>
      <name val="Avenir Book"/>
      <family val="2"/>
    </font>
    <font>
      <sz val="12"/>
      <color rgb="FF4F1CA6"/>
      <name val="Avenir Book"/>
      <family val="2"/>
    </font>
    <font>
      <sz val="20"/>
      <color rgb="FF4F1CA6"/>
      <name val="Avenir Book"/>
      <family val="2"/>
    </font>
    <font>
      <sz val="12"/>
      <color rgb="FF6335B5"/>
      <name val="Avenir Book"/>
      <family val="2"/>
    </font>
    <font>
      <sz val="26"/>
      <color rgb="FF000090"/>
      <name val="Avenir Book"/>
      <family val="2"/>
    </font>
    <font>
      <sz val="11"/>
      <color rgb="FF6335B5"/>
      <name val="Avenir Book"/>
      <family val="2"/>
    </font>
    <font>
      <sz val="14"/>
      <color rgb="FFFEC309"/>
      <name val="Avenir Roman"/>
    </font>
    <font>
      <sz val="18"/>
      <color rgb="FFFEC309"/>
      <name val="Avenir Book"/>
      <family val="2"/>
    </font>
    <font>
      <sz val="14"/>
      <color rgb="FFFEC309"/>
      <name val="Avenir Book"/>
      <family val="2"/>
    </font>
    <font>
      <sz val="14"/>
      <color theme="0"/>
      <name val="Avenir Book"/>
      <family val="2"/>
    </font>
    <font>
      <sz val="14"/>
      <color rgb="FF000090"/>
      <name val="Avenir Book"/>
      <family val="2"/>
    </font>
    <font>
      <sz val="10"/>
      <color rgb="FF4F1CA6"/>
      <name val="Avenir Book"/>
      <family val="2"/>
    </font>
    <font>
      <sz val="8"/>
      <color rgb="FF4F1CA6"/>
      <name val="Avenir Book"/>
      <family val="2"/>
    </font>
    <font>
      <sz val="8"/>
      <color rgb="FFFEC309"/>
      <name val="Avenir Book"/>
      <family val="2"/>
    </font>
    <font>
      <b/>
      <sz val="8"/>
      <color rgb="FFFEC309"/>
      <name val="Avenir Book"/>
      <family val="2"/>
    </font>
    <font>
      <b/>
      <sz val="8"/>
      <color rgb="FF4F1CA6"/>
      <name val="Avenir Book"/>
      <family val="2"/>
    </font>
    <font>
      <i/>
      <sz val="18"/>
      <color rgb="FFFEC309"/>
      <name val="Avenir Book"/>
      <family val="2"/>
    </font>
    <font>
      <sz val="18"/>
      <color rgb="FF6335B5"/>
      <name val="Avenir Book"/>
      <family val="2"/>
    </font>
    <font>
      <sz val="10"/>
      <color rgb="FFFF0000"/>
      <name val="Arial"/>
      <family val="2"/>
    </font>
    <font>
      <sz val="10"/>
      <color rgb="FFFF0000"/>
      <name val="Arial Unicode MS"/>
      <family val="2"/>
    </font>
    <font>
      <sz val="12"/>
      <color rgb="FFFF0000"/>
      <name val="Calibri"/>
      <family val="2"/>
      <charset val="136"/>
      <scheme val="minor"/>
    </font>
    <font>
      <sz val="12"/>
      <color theme="0"/>
      <name val="Calibri"/>
      <family val="2"/>
      <charset val="136"/>
      <scheme val="minor"/>
    </font>
    <font>
      <sz val="12"/>
      <color rgb="FF000000"/>
      <name val="Calibri"/>
      <family val="2"/>
      <scheme val="minor"/>
    </font>
    <font>
      <sz val="10"/>
      <name val="Calibri"/>
      <scheme val="minor"/>
    </font>
    <font>
      <sz val="12"/>
      <color rgb="FFFEC309"/>
      <name val="Calibri"/>
      <scheme val="minor"/>
    </font>
    <font>
      <b/>
      <sz val="20"/>
      <color rgb="FF4F1CA6"/>
      <name val="Calibri"/>
      <scheme val="minor"/>
    </font>
    <font>
      <sz val="10"/>
      <color rgb="FF4F1CA6"/>
      <name val="Arial"/>
    </font>
    <font>
      <b/>
      <sz val="10"/>
      <name val="Calibri"/>
      <scheme val="minor"/>
    </font>
    <font>
      <b/>
      <sz val="9"/>
      <name val="Calibri"/>
      <scheme val="minor"/>
    </font>
    <font>
      <b/>
      <sz val="20"/>
      <color rgb="FFFEC309"/>
      <name val="Calibri"/>
      <scheme val="minor"/>
    </font>
    <font>
      <sz val="10"/>
      <color rgb="FFFEC309"/>
      <name val="Calibri"/>
      <scheme val="minor"/>
    </font>
    <font>
      <b/>
      <sz val="10"/>
      <color rgb="FFFEC309"/>
      <name val="Calibri"/>
      <scheme val="minor"/>
    </font>
    <font>
      <b/>
      <sz val="12"/>
      <color rgb="FFFEC309"/>
      <name val="Calibri"/>
      <family val="2"/>
      <scheme val="minor"/>
    </font>
  </fonts>
  <fills count="43">
    <fill>
      <patternFill patternType="none"/>
    </fill>
    <fill>
      <patternFill patternType="gray125"/>
    </fill>
    <fill>
      <patternFill patternType="solid">
        <fgColor indexed="9"/>
        <bgColor indexed="64"/>
      </patternFill>
    </fill>
    <fill>
      <patternFill patternType="solid">
        <fgColor theme="0" tint="-0.14996795556505021"/>
        <bgColor indexed="64"/>
      </patternFill>
    </fill>
    <fill>
      <patternFill patternType="solid">
        <fgColor theme="0"/>
        <bgColor indexed="64"/>
      </patternFill>
    </fill>
    <fill>
      <patternFill patternType="solid">
        <fgColor rgb="FFFFFF00"/>
        <bgColor indexed="64"/>
      </patternFill>
    </fill>
    <fill>
      <patternFill patternType="solid">
        <fgColor theme="3"/>
        <bgColor indexed="64"/>
      </patternFill>
    </fill>
    <fill>
      <patternFill patternType="solid">
        <fgColor theme="1"/>
        <bgColor indexed="64"/>
      </patternFill>
    </fill>
    <fill>
      <patternFill patternType="solid">
        <fgColor rgb="FF6335B5"/>
        <bgColor indexed="64"/>
      </patternFill>
    </fill>
    <fill>
      <patternFill patternType="solid">
        <fgColor rgb="FF7C50CC"/>
        <bgColor indexed="64"/>
      </patternFill>
    </fill>
    <fill>
      <patternFill patternType="solid">
        <fgColor indexed="42"/>
        <bgColor indexed="64"/>
      </patternFill>
    </fill>
    <fill>
      <patternFill patternType="solid">
        <fgColor theme="0" tint="-0.14999847407452621"/>
        <bgColor indexed="64"/>
      </patternFill>
    </fill>
    <fill>
      <patternFill patternType="solid">
        <fgColor indexed="22"/>
        <bgColor indexed="64"/>
      </patternFill>
    </fill>
    <fill>
      <patternFill patternType="solid">
        <fgColor indexed="10"/>
        <bgColor indexed="64"/>
      </patternFill>
    </fill>
    <fill>
      <patternFill patternType="solid">
        <fgColor indexed="18"/>
        <bgColor indexed="64"/>
      </patternFill>
    </fill>
    <fill>
      <patternFill patternType="solid">
        <fgColor indexed="51"/>
        <bgColor indexed="64"/>
      </patternFill>
    </fill>
    <fill>
      <patternFill patternType="solid">
        <fgColor rgb="FFCCFFCC"/>
        <bgColor indexed="64"/>
      </patternFill>
    </fill>
    <fill>
      <patternFill patternType="solid">
        <fgColor indexed="20"/>
        <bgColor indexed="64"/>
      </patternFill>
    </fill>
    <fill>
      <patternFill patternType="solid">
        <fgColor indexed="52"/>
        <bgColor indexed="64"/>
      </patternFill>
    </fill>
    <fill>
      <patternFill patternType="solid">
        <fgColor indexed="61"/>
        <bgColor indexed="64"/>
      </patternFill>
    </fill>
    <fill>
      <patternFill patternType="solid">
        <fgColor indexed="13"/>
        <bgColor indexed="64"/>
      </patternFill>
    </fill>
    <fill>
      <patternFill patternType="solid">
        <fgColor indexed="11"/>
        <bgColor indexed="64"/>
      </patternFill>
    </fill>
    <fill>
      <patternFill patternType="solid">
        <fgColor indexed="44"/>
        <bgColor indexed="64"/>
      </patternFill>
    </fill>
    <fill>
      <patternFill patternType="solid">
        <fgColor indexed="62"/>
        <bgColor indexed="64"/>
      </patternFill>
    </fill>
    <fill>
      <patternFill patternType="solid">
        <fgColor indexed="46"/>
        <bgColor indexed="64"/>
      </patternFill>
    </fill>
    <fill>
      <patternFill patternType="solid">
        <fgColor indexed="43"/>
        <bgColor indexed="64"/>
      </patternFill>
    </fill>
    <fill>
      <patternFill patternType="solid">
        <fgColor indexed="8"/>
        <bgColor indexed="64"/>
      </patternFill>
    </fill>
    <fill>
      <patternFill patternType="solid">
        <fgColor indexed="41"/>
        <bgColor indexed="64"/>
      </patternFill>
    </fill>
    <fill>
      <patternFill patternType="solid">
        <fgColor theme="0" tint="-0.249977111117893"/>
        <bgColor indexed="64"/>
      </patternFill>
    </fill>
    <fill>
      <patternFill patternType="solid">
        <fgColor indexed="14"/>
        <bgColor indexed="64"/>
      </patternFill>
    </fill>
    <fill>
      <patternFill patternType="solid">
        <fgColor rgb="FFFEC309"/>
        <bgColor indexed="64"/>
      </patternFill>
    </fill>
    <fill>
      <patternFill patternType="solid">
        <fgColor rgb="FFFEC309"/>
        <bgColor rgb="FF000000"/>
      </patternFill>
    </fill>
    <fill>
      <patternFill patternType="solid">
        <fgColor rgb="FF4633C6"/>
        <bgColor indexed="64"/>
      </patternFill>
    </fill>
    <fill>
      <patternFill patternType="solid">
        <fgColor rgb="FF4633C6"/>
        <bgColor rgb="FF000000"/>
      </patternFill>
    </fill>
    <fill>
      <patternFill patternType="solid">
        <fgColor rgb="FFFF0000"/>
        <bgColor indexed="64"/>
      </patternFill>
    </fill>
    <fill>
      <patternFill patternType="solid">
        <fgColor rgb="FFFF6600"/>
        <bgColor indexed="64"/>
      </patternFill>
    </fill>
    <fill>
      <patternFill patternType="solid">
        <fgColor rgb="FF23AAF4"/>
        <bgColor indexed="64"/>
      </patternFill>
    </fill>
    <fill>
      <patternFill patternType="solid">
        <fgColor rgb="FFFD8608"/>
        <bgColor indexed="64"/>
      </patternFill>
    </fill>
    <fill>
      <patternFill patternType="solid">
        <fgColor rgb="FF008000"/>
        <bgColor indexed="64"/>
      </patternFill>
    </fill>
    <fill>
      <patternFill patternType="solid">
        <fgColor theme="0" tint="-0.499984740745262"/>
        <bgColor indexed="64"/>
      </patternFill>
    </fill>
    <fill>
      <patternFill patternType="solid">
        <fgColor rgb="FFFF00FF"/>
        <bgColor indexed="64"/>
      </patternFill>
    </fill>
    <fill>
      <patternFill patternType="solid">
        <fgColor rgb="FF4F1CA6"/>
        <bgColor indexed="64"/>
      </patternFill>
    </fill>
    <fill>
      <patternFill patternType="solid">
        <fgColor rgb="FFFC0006"/>
        <bgColor indexed="64"/>
      </patternFill>
    </fill>
  </fills>
  <borders count="75">
    <border>
      <left/>
      <right/>
      <top/>
      <bottom/>
      <diagonal/>
    </border>
    <border>
      <left style="thick">
        <color auto="1"/>
      </left>
      <right/>
      <top/>
      <bottom/>
      <diagonal/>
    </border>
    <border>
      <left/>
      <right style="thick">
        <color auto="1"/>
      </right>
      <top/>
      <bottom/>
      <diagonal/>
    </border>
    <border>
      <left style="thick">
        <color auto="1"/>
      </left>
      <right style="thick">
        <color auto="1"/>
      </right>
      <top style="thick">
        <color auto="1"/>
      </top>
      <bottom style="thick">
        <color auto="1"/>
      </bottom>
      <diagonal/>
    </border>
    <border>
      <left/>
      <right style="thick">
        <color auto="1"/>
      </right>
      <top/>
      <bottom style="thick">
        <color auto="1"/>
      </bottom>
      <diagonal/>
    </border>
    <border>
      <left style="thick">
        <color auto="1"/>
      </left>
      <right/>
      <top/>
      <bottom style="thick">
        <color auto="1"/>
      </bottom>
      <diagonal/>
    </border>
    <border>
      <left/>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top style="thin">
        <color rgb="FF7C50CC"/>
      </top>
      <bottom style="thin">
        <color rgb="FF7C50CC"/>
      </bottom>
      <diagonal/>
    </border>
    <border>
      <left/>
      <right/>
      <top style="thin">
        <color rgb="FF6335B5"/>
      </top>
      <bottom style="thin">
        <color rgb="FF6335B5"/>
      </bottom>
      <diagonal/>
    </border>
    <border>
      <left/>
      <right/>
      <top style="thin">
        <color rgb="FF7C50CC"/>
      </top>
      <bottom/>
      <diagonal/>
    </border>
    <border>
      <left/>
      <right/>
      <top/>
      <bottom style="thin">
        <color rgb="FF7C50CC"/>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medium">
        <color auto="1"/>
      </left>
      <right style="medium">
        <color auto="1"/>
      </right>
      <top style="medium">
        <color auto="1"/>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hair">
        <color auto="1"/>
      </top>
      <bottom style="hair">
        <color auto="1"/>
      </bottom>
      <diagonal/>
    </border>
    <border>
      <left style="thin">
        <color indexed="9"/>
      </left>
      <right style="thin">
        <color indexed="9"/>
      </right>
      <top style="thin">
        <color indexed="9"/>
      </top>
      <bottom/>
      <diagonal/>
    </border>
    <border>
      <left style="thin">
        <color indexed="9"/>
      </left>
      <right/>
      <top style="thin">
        <color indexed="9"/>
      </top>
      <bottom/>
      <diagonal/>
    </border>
    <border>
      <left style="medium">
        <color indexed="9"/>
      </left>
      <right style="medium">
        <color indexed="9"/>
      </right>
      <top style="thin">
        <color indexed="9"/>
      </top>
      <bottom/>
      <diagonal/>
    </border>
    <border>
      <left/>
      <right style="thin">
        <color indexed="9"/>
      </right>
      <top/>
      <bottom/>
      <diagonal/>
    </border>
    <border>
      <left style="thin">
        <color indexed="9"/>
      </left>
      <right style="thin">
        <color indexed="9"/>
      </right>
      <top/>
      <bottom/>
      <diagonal/>
    </border>
    <border>
      <left style="thin">
        <color indexed="9"/>
      </left>
      <right/>
      <top/>
      <bottom/>
      <diagonal/>
    </border>
    <border>
      <left style="medium">
        <color indexed="9"/>
      </left>
      <right style="medium">
        <color indexed="9"/>
      </right>
      <top/>
      <bottom/>
      <diagonal/>
    </border>
    <border>
      <left style="thin">
        <color indexed="9"/>
      </left>
      <right style="thin">
        <color indexed="9"/>
      </right>
      <top style="thin">
        <color indexed="9"/>
      </top>
      <bottom style="thin">
        <color indexed="9"/>
      </bottom>
      <diagonal/>
    </border>
    <border>
      <left style="thin">
        <color indexed="9"/>
      </left>
      <right/>
      <top style="thin">
        <color indexed="9"/>
      </top>
      <bottom style="thin">
        <color indexed="9"/>
      </bottom>
      <diagonal/>
    </border>
    <border>
      <left/>
      <right/>
      <top style="thin">
        <color indexed="9"/>
      </top>
      <bottom style="thin">
        <color indexed="9"/>
      </bottom>
      <diagonal/>
    </border>
    <border>
      <left/>
      <right style="thin">
        <color indexed="9"/>
      </right>
      <top style="thin">
        <color indexed="9"/>
      </top>
      <bottom style="thin">
        <color indexed="9"/>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right style="medium">
        <color auto="1"/>
      </right>
      <top style="thin">
        <color auto="1"/>
      </top>
      <bottom style="medium">
        <color auto="1"/>
      </bottom>
      <diagonal/>
    </border>
    <border>
      <left/>
      <right/>
      <top style="thin">
        <color indexed="9"/>
      </top>
      <bottom/>
      <diagonal/>
    </border>
    <border>
      <left/>
      <right/>
      <top/>
      <bottom style="thin">
        <color indexed="9"/>
      </bottom>
      <diagonal/>
    </border>
    <border>
      <left/>
      <right/>
      <top style="thin">
        <color auto="1"/>
      </top>
      <bottom style="thin">
        <color auto="1"/>
      </bottom>
      <diagonal/>
    </border>
    <border>
      <left style="thin">
        <color auto="1"/>
      </left>
      <right style="thin">
        <color auto="1"/>
      </right>
      <top style="thin">
        <color rgb="FF7C50CC"/>
      </top>
      <bottom style="thin">
        <color auto="1"/>
      </bottom>
      <diagonal/>
    </border>
    <border>
      <left/>
      <right style="thin">
        <color auto="1"/>
      </right>
      <top style="thin">
        <color auto="1"/>
      </top>
      <bottom/>
      <diagonal/>
    </border>
    <border>
      <left style="thin">
        <color auto="1"/>
      </left>
      <right style="thin">
        <color auto="1"/>
      </right>
      <top/>
      <bottom/>
      <diagonal/>
    </border>
    <border>
      <left/>
      <right/>
      <top/>
      <bottom style="thin">
        <color auto="1"/>
      </bottom>
      <diagonal/>
    </border>
    <border>
      <left/>
      <right style="thin">
        <color auto="1"/>
      </right>
      <top/>
      <bottom/>
      <diagonal/>
    </border>
    <border>
      <left/>
      <right style="thin">
        <color auto="1"/>
      </right>
      <top/>
      <bottom style="thin">
        <color auto="1"/>
      </bottom>
      <diagonal/>
    </border>
    <border>
      <left/>
      <right/>
      <top style="thin">
        <color auto="1"/>
      </top>
      <bottom/>
      <diagonal/>
    </border>
  </borders>
  <cellStyleXfs count="43">
    <xf numFmtId="0" fontId="0" fillId="0" borderId="0"/>
    <xf numFmtId="164"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33"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33" fillId="0" borderId="0"/>
    <xf numFmtId="164" fontId="1" fillId="0" borderId="0" applyFon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8"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cellStyleXfs>
  <cellXfs count="602">
    <xf numFmtId="0" fontId="0" fillId="0" borderId="0" xfId="0"/>
    <xf numFmtId="0" fontId="0" fillId="3" borderId="0" xfId="0" applyFill="1"/>
    <xf numFmtId="165" fontId="0" fillId="3" borderId="0" xfId="0" applyNumberFormat="1" applyFill="1"/>
    <xf numFmtId="0" fontId="0" fillId="4" borderId="1" xfId="0" applyFill="1" applyBorder="1"/>
    <xf numFmtId="0" fontId="0" fillId="4" borderId="0" xfId="0" applyFill="1" applyBorder="1"/>
    <xf numFmtId="0" fontId="0" fillId="4" borderId="2" xfId="0" applyFill="1" applyBorder="1"/>
    <xf numFmtId="0" fontId="0" fillId="4" borderId="0" xfId="0" applyFill="1"/>
    <xf numFmtId="0" fontId="4" fillId="4" borderId="1" xfId="0" applyFont="1" applyFill="1" applyBorder="1"/>
    <xf numFmtId="0" fontId="4" fillId="4" borderId="3" xfId="0" applyFont="1" applyFill="1" applyBorder="1"/>
    <xf numFmtId="0" fontId="5" fillId="4" borderId="0" xfId="0" applyFont="1" applyFill="1" applyBorder="1"/>
    <xf numFmtId="0" fontId="4" fillId="4" borderId="0" xfId="0" applyFont="1" applyFill="1" applyBorder="1"/>
    <xf numFmtId="0" fontId="0" fillId="4" borderId="4" xfId="0" applyFill="1" applyBorder="1"/>
    <xf numFmtId="0" fontId="5" fillId="4" borderId="1" xfId="0" applyFont="1" applyFill="1" applyBorder="1"/>
    <xf numFmtId="0" fontId="1" fillId="4" borderId="1" xfId="0" applyFont="1" applyFill="1" applyBorder="1"/>
    <xf numFmtId="0" fontId="6" fillId="4" borderId="3" xfId="0" applyFont="1" applyFill="1" applyBorder="1"/>
    <xf numFmtId="0" fontId="0" fillId="4" borderId="5" xfId="0" applyFill="1" applyBorder="1"/>
    <xf numFmtId="0" fontId="0" fillId="4" borderId="6" xfId="0" applyFill="1" applyBorder="1"/>
    <xf numFmtId="0" fontId="2" fillId="4" borderId="6" xfId="0" applyFont="1" applyFill="1" applyBorder="1"/>
    <xf numFmtId="165" fontId="4" fillId="5" borderId="3" xfId="0" applyNumberFormat="1" applyFont="1" applyFill="1" applyBorder="1"/>
    <xf numFmtId="0" fontId="10" fillId="6" borderId="3" xfId="0" applyFont="1" applyFill="1" applyBorder="1"/>
    <xf numFmtId="0" fontId="11" fillId="4" borderId="7" xfId="0" applyFont="1" applyFill="1" applyBorder="1"/>
    <xf numFmtId="0" fontId="0" fillId="4" borderId="8" xfId="0" applyFill="1" applyBorder="1"/>
    <xf numFmtId="0" fontId="0" fillId="4" borderId="9" xfId="0" applyFill="1" applyBorder="1"/>
    <xf numFmtId="0" fontId="5" fillId="4" borderId="8" xfId="0" applyFont="1" applyFill="1" applyBorder="1"/>
    <xf numFmtId="0" fontId="4" fillId="4" borderId="8" xfId="0" applyFont="1" applyFill="1" applyBorder="1"/>
    <xf numFmtId="0" fontId="2" fillId="3" borderId="0" xfId="0" applyFont="1" applyFill="1"/>
    <xf numFmtId="0" fontId="6" fillId="3" borderId="0" xfId="0" applyFont="1" applyFill="1"/>
    <xf numFmtId="0" fontId="10" fillId="7" borderId="7" xfId="0" applyFont="1" applyFill="1" applyBorder="1"/>
    <xf numFmtId="0" fontId="7" fillId="2" borderId="7" xfId="0" applyFont="1" applyFill="1" applyBorder="1"/>
    <xf numFmtId="0" fontId="12" fillId="4" borderId="0" xfId="0" applyFont="1" applyFill="1" applyBorder="1"/>
    <xf numFmtId="0" fontId="12" fillId="4" borderId="0" xfId="0" applyFont="1" applyFill="1"/>
    <xf numFmtId="0" fontId="13" fillId="4" borderId="0" xfId="0" applyFont="1" applyFill="1" applyBorder="1"/>
    <xf numFmtId="0" fontId="10" fillId="4" borderId="0" xfId="0" applyFont="1" applyFill="1" applyBorder="1"/>
    <xf numFmtId="0" fontId="9" fillId="3" borderId="0" xfId="0" applyFont="1" applyFill="1"/>
    <xf numFmtId="0" fontId="9" fillId="4" borderId="1" xfId="0" applyFont="1" applyFill="1" applyBorder="1"/>
    <xf numFmtId="0" fontId="9" fillId="4" borderId="0" xfId="0" applyFont="1" applyFill="1" applyBorder="1"/>
    <xf numFmtId="0" fontId="9" fillId="4" borderId="2" xfId="0" applyFont="1" applyFill="1" applyBorder="1"/>
    <xf numFmtId="165" fontId="9" fillId="3" borderId="0" xfId="0" applyNumberFormat="1" applyFont="1" applyFill="1"/>
    <xf numFmtId="0" fontId="9" fillId="4" borderId="0" xfId="0" applyFont="1" applyFill="1"/>
    <xf numFmtId="0" fontId="1" fillId="0" borderId="0" xfId="0" applyFont="1"/>
    <xf numFmtId="10" fontId="0" fillId="0" borderId="0" xfId="0" applyNumberFormat="1"/>
    <xf numFmtId="9" fontId="0" fillId="0" borderId="0" xfId="0" applyNumberFormat="1"/>
    <xf numFmtId="0" fontId="17" fillId="0" borderId="0" xfId="3" applyFont="1" applyBorder="1" applyProtection="1"/>
    <xf numFmtId="0" fontId="17" fillId="0" borderId="0" xfId="3" applyFont="1" applyBorder="1" applyAlignment="1" applyProtection="1">
      <alignment horizontal="center"/>
    </xf>
    <xf numFmtId="0" fontId="17" fillId="0" borderId="0" xfId="3" applyFont="1" applyFill="1" applyBorder="1" applyProtection="1"/>
    <xf numFmtId="0" fontId="1" fillId="0" borderId="0" xfId="4"/>
    <xf numFmtId="0" fontId="22" fillId="0" borderId="0" xfId="5" applyNumberFormat="1" applyFont="1" applyBorder="1" applyProtection="1"/>
    <xf numFmtId="0" fontId="23" fillId="0" borderId="0" xfId="4" applyFont="1" applyFill="1" applyAlignment="1">
      <alignment vertical="center"/>
    </xf>
    <xf numFmtId="0" fontId="24" fillId="0" borderId="0" xfId="3" applyFont="1" applyFill="1" applyBorder="1" applyAlignment="1" applyProtection="1">
      <alignment vertical="center"/>
    </xf>
    <xf numFmtId="0" fontId="24" fillId="0" borderId="0" xfId="3" applyFont="1" applyFill="1" applyBorder="1" applyAlignment="1" applyProtection="1">
      <alignment horizontal="center" vertical="center"/>
    </xf>
    <xf numFmtId="0" fontId="25" fillId="0" borderId="0" xfId="4" applyFont="1" applyFill="1" applyAlignment="1">
      <alignment vertical="center"/>
    </xf>
    <xf numFmtId="0" fontId="18" fillId="0" borderId="0" xfId="6" applyFont="1" applyBorder="1"/>
    <xf numFmtId="0" fontId="26" fillId="0" borderId="0" xfId="5" applyNumberFormat="1" applyFont="1" applyBorder="1" applyProtection="1"/>
    <xf numFmtId="0" fontId="27" fillId="0" borderId="0" xfId="5" applyNumberFormat="1" applyFont="1" applyBorder="1" applyProtection="1"/>
    <xf numFmtId="0" fontId="26" fillId="0" borderId="0" xfId="5" applyNumberFormat="1" applyFont="1" applyBorder="1" applyAlignment="1" applyProtection="1">
      <alignment horizontal="center"/>
    </xf>
    <xf numFmtId="0" fontId="27" fillId="0" borderId="0" xfId="5" applyNumberFormat="1" applyFont="1" applyFill="1" applyBorder="1" applyProtection="1"/>
    <xf numFmtId="0" fontId="17" fillId="0" borderId="14" xfId="3" applyFont="1" applyBorder="1" applyProtection="1"/>
    <xf numFmtId="0" fontId="28" fillId="13" borderId="22" xfId="3" applyFont="1" applyFill="1" applyBorder="1" applyAlignment="1" applyProtection="1"/>
    <xf numFmtId="0" fontId="28" fillId="13" borderId="22" xfId="3" applyFont="1" applyFill="1" applyBorder="1" applyAlignment="1" applyProtection="1">
      <alignment horizontal="center"/>
    </xf>
    <xf numFmtId="0" fontId="28" fillId="14" borderId="22" xfId="3" applyFont="1" applyFill="1" applyBorder="1" applyAlignment="1" applyProtection="1">
      <alignment horizontal="center"/>
    </xf>
    <xf numFmtId="0" fontId="28" fillId="13" borderId="23" xfId="3" applyFont="1" applyFill="1" applyBorder="1" applyAlignment="1" applyProtection="1">
      <alignment horizontal="center"/>
    </xf>
    <xf numFmtId="1" fontId="18" fillId="15" borderId="24" xfId="4" applyNumberFormat="1" applyFont="1" applyFill="1" applyBorder="1" applyAlignment="1">
      <alignment horizontal="center" vertical="center" wrapText="1"/>
    </xf>
    <xf numFmtId="0" fontId="18" fillId="15" borderId="25" xfId="4" applyFont="1" applyFill="1" applyBorder="1" applyAlignment="1">
      <alignment horizontal="center" vertical="center" wrapText="1"/>
    </xf>
    <xf numFmtId="0" fontId="22" fillId="0" borderId="0" xfId="3" applyNumberFormat="1" applyFont="1" applyFill="1" applyBorder="1" applyProtection="1"/>
    <xf numFmtId="0" fontId="17" fillId="12" borderId="14" xfId="3" applyFont="1" applyFill="1" applyBorder="1" applyAlignment="1" applyProtection="1">
      <alignment horizontal="center"/>
    </xf>
    <xf numFmtId="0" fontId="22" fillId="0" borderId="0" xfId="3" applyNumberFormat="1" applyFont="1" applyBorder="1" applyProtection="1"/>
    <xf numFmtId="0" fontId="17" fillId="0" borderId="14" xfId="6" applyFont="1" applyFill="1" applyBorder="1" applyAlignment="1">
      <alignment vertical="center"/>
    </xf>
    <xf numFmtId="0" fontId="17" fillId="0" borderId="14" xfId="3" applyFont="1" applyFill="1" applyBorder="1" applyAlignment="1" applyProtection="1">
      <alignment horizontal="center"/>
    </xf>
    <xf numFmtId="0" fontId="17" fillId="0" borderId="14" xfId="3" applyFont="1" applyBorder="1" applyAlignment="1" applyProtection="1">
      <alignment horizontal="center"/>
    </xf>
    <xf numFmtId="0" fontId="17" fillId="0" borderId="14" xfId="6" applyFont="1" applyFill="1" applyBorder="1" applyAlignment="1">
      <alignment horizontal="center" vertical="center"/>
    </xf>
    <xf numFmtId="0" fontId="17" fillId="0" borderId="17" xfId="3" applyFont="1" applyFill="1" applyBorder="1" applyAlignment="1" applyProtection="1">
      <alignment horizontal="center"/>
    </xf>
    <xf numFmtId="0" fontId="17" fillId="0" borderId="14" xfId="4" applyFont="1" applyFill="1" applyBorder="1" applyAlignment="1">
      <alignment horizontal="center" vertical="center" wrapText="1"/>
    </xf>
    <xf numFmtId="0" fontId="17" fillId="0" borderId="14" xfId="4" applyFont="1" applyFill="1" applyBorder="1" applyAlignment="1">
      <alignment horizontal="center" vertical="center"/>
    </xf>
    <xf numFmtId="0" fontId="17" fillId="0" borderId="14" xfId="3" applyFont="1" applyFill="1" applyBorder="1" applyProtection="1"/>
    <xf numFmtId="0" fontId="29" fillId="13" borderId="14" xfId="3" applyFont="1" applyFill="1" applyBorder="1" applyAlignment="1" applyProtection="1">
      <alignment horizontal="center"/>
    </xf>
    <xf numFmtId="0" fontId="17" fillId="12" borderId="17" xfId="3" applyFont="1" applyFill="1" applyBorder="1" applyAlignment="1" applyProtection="1">
      <alignment horizontal="center"/>
    </xf>
    <xf numFmtId="0" fontId="17" fillId="0" borderId="14" xfId="4" quotePrefix="1" applyFont="1" applyFill="1" applyBorder="1" applyAlignment="1">
      <alignment horizontal="center" vertical="center"/>
    </xf>
    <xf numFmtId="0" fontId="17" fillId="4" borderId="14" xfId="3" applyFont="1" applyFill="1" applyBorder="1" applyAlignment="1" applyProtection="1">
      <alignment horizontal="center"/>
    </xf>
    <xf numFmtId="0" fontId="17" fillId="0" borderId="14" xfId="3" quotePrefix="1" applyFont="1" applyFill="1" applyBorder="1" applyAlignment="1" applyProtection="1">
      <alignment horizontal="center"/>
    </xf>
    <xf numFmtId="0" fontId="28" fillId="13" borderId="26" xfId="3" applyFont="1" applyFill="1" applyBorder="1" applyAlignment="1" applyProtection="1">
      <alignment horizontal="center"/>
    </xf>
    <xf numFmtId="0" fontId="28" fillId="13" borderId="27" xfId="3" applyFont="1" applyFill="1" applyBorder="1" applyAlignment="1" applyProtection="1">
      <alignment horizontal="center"/>
    </xf>
    <xf numFmtId="1" fontId="18" fillId="15" borderId="28" xfId="4" applyNumberFormat="1" applyFont="1" applyFill="1" applyBorder="1" applyAlignment="1">
      <alignment horizontal="center" vertical="center" wrapText="1"/>
    </xf>
    <xf numFmtId="0" fontId="18" fillId="0" borderId="14" xfId="3" applyFont="1" applyBorder="1" applyAlignment="1" applyProtection="1">
      <alignment horizontal="center"/>
    </xf>
    <xf numFmtId="0" fontId="30" fillId="0" borderId="0" xfId="3" applyFont="1" applyBorder="1" applyProtection="1"/>
    <xf numFmtId="0" fontId="30" fillId="0" borderId="0" xfId="3" applyFont="1" applyFill="1" applyBorder="1" applyProtection="1"/>
    <xf numFmtId="0" fontId="28" fillId="14" borderId="26" xfId="3" applyFont="1" applyFill="1" applyBorder="1" applyAlignment="1" applyProtection="1">
      <alignment horizontal="center"/>
    </xf>
    <xf numFmtId="0" fontId="18" fillId="0" borderId="14" xfId="3" applyFont="1" applyFill="1" applyBorder="1" applyAlignment="1" applyProtection="1">
      <alignment horizontal="center"/>
    </xf>
    <xf numFmtId="0" fontId="34" fillId="0" borderId="0" xfId="7" applyFont="1"/>
    <xf numFmtId="0" fontId="33" fillId="10" borderId="0" xfId="7" applyFill="1" applyProtection="1">
      <protection hidden="1"/>
    </xf>
    <xf numFmtId="0" fontId="1" fillId="10" borderId="0" xfId="4" applyFill="1" applyProtection="1">
      <protection hidden="1"/>
    </xf>
    <xf numFmtId="0" fontId="34" fillId="16" borderId="0" xfId="4" applyFont="1" applyFill="1"/>
    <xf numFmtId="0" fontId="34" fillId="16" borderId="0" xfId="7" applyFont="1" applyFill="1"/>
    <xf numFmtId="0" fontId="21" fillId="0" borderId="0" xfId="7" applyFont="1" applyAlignment="1">
      <alignment vertical="center"/>
    </xf>
    <xf numFmtId="0" fontId="17" fillId="10" borderId="0" xfId="7" applyFont="1" applyFill="1" applyProtection="1">
      <protection hidden="1"/>
    </xf>
    <xf numFmtId="0" fontId="17" fillId="10" borderId="0" xfId="7" applyFont="1" applyFill="1" applyBorder="1" applyAlignment="1" applyProtection="1">
      <alignment horizontal="right"/>
      <protection hidden="1"/>
    </xf>
    <xf numFmtId="0" fontId="34" fillId="17" borderId="0" xfId="7" applyFont="1" applyFill="1"/>
    <xf numFmtId="0" fontId="18" fillId="17" borderId="0" xfId="8" applyNumberFormat="1" applyFont="1" applyFill="1" applyAlignment="1">
      <alignment vertical="center"/>
    </xf>
    <xf numFmtId="0" fontId="34" fillId="17" borderId="0" xfId="7" applyFont="1" applyFill="1" applyAlignment="1">
      <alignment vertical="center"/>
    </xf>
    <xf numFmtId="0" fontId="18" fillId="17" borderId="0" xfId="9" applyNumberFormat="1" applyFont="1" applyFill="1" applyAlignment="1">
      <alignment horizontal="right" vertical="center"/>
    </xf>
    <xf numFmtId="0" fontId="17" fillId="10" borderId="0" xfId="4" applyFont="1" applyFill="1" applyAlignment="1" applyProtection="1">
      <alignment horizontal="right"/>
      <protection hidden="1"/>
    </xf>
    <xf numFmtId="0" fontId="36" fillId="13" borderId="0" xfId="8" applyNumberFormat="1" applyFont="1" applyFill="1"/>
    <xf numFmtId="0" fontId="36" fillId="13" borderId="0" xfId="8" applyNumberFormat="1" applyFont="1" applyFill="1" applyAlignment="1">
      <alignment vertical="center"/>
    </xf>
    <xf numFmtId="0" fontId="34" fillId="13" borderId="0" xfId="7" applyFont="1" applyFill="1"/>
    <xf numFmtId="0" fontId="18" fillId="0" borderId="0" xfId="10" applyNumberFormat="1" applyFont="1" applyFill="1"/>
    <xf numFmtId="0" fontId="37" fillId="13" borderId="17" xfId="7" applyFont="1" applyFill="1" applyBorder="1" applyProtection="1">
      <protection hidden="1"/>
    </xf>
    <xf numFmtId="0" fontId="34" fillId="0" borderId="0" xfId="7" applyFont="1" applyFill="1"/>
    <xf numFmtId="0" fontId="37" fillId="18" borderId="17" xfId="7" quotePrefix="1" applyFont="1" applyFill="1" applyBorder="1" applyProtection="1">
      <protection hidden="1"/>
    </xf>
    <xf numFmtId="0" fontId="34" fillId="0" borderId="0" xfId="7" applyFont="1" applyFill="1" applyBorder="1" applyAlignment="1"/>
    <xf numFmtId="0" fontId="37" fillId="20" borderId="17" xfId="7" applyFont="1" applyFill="1" applyBorder="1" applyProtection="1">
      <protection hidden="1"/>
    </xf>
    <xf numFmtId="0" fontId="37" fillId="21" borderId="17" xfId="7" quotePrefix="1" applyFont="1" applyFill="1" applyBorder="1" applyProtection="1">
      <protection hidden="1"/>
    </xf>
    <xf numFmtId="0" fontId="37" fillId="22" borderId="17" xfId="7" applyFont="1" applyFill="1" applyBorder="1" applyProtection="1">
      <protection hidden="1"/>
    </xf>
    <xf numFmtId="0" fontId="17" fillId="0" borderId="29" xfId="10" applyNumberFormat="1" applyFont="1" applyFill="1" applyBorder="1" applyAlignment="1">
      <alignment horizontal="center"/>
    </xf>
    <xf numFmtId="0" fontId="38" fillId="23" borderId="17" xfId="7" quotePrefix="1" applyFont="1" applyFill="1" applyBorder="1" applyProtection="1">
      <protection hidden="1"/>
    </xf>
    <xf numFmtId="0" fontId="34" fillId="0" borderId="30" xfId="7" applyFont="1" applyFill="1" applyBorder="1" applyAlignment="1"/>
    <xf numFmtId="0" fontId="34" fillId="0" borderId="31" xfId="7" applyFont="1" applyFill="1" applyBorder="1" applyAlignment="1"/>
    <xf numFmtId="0" fontId="34" fillId="0" borderId="32" xfId="7" applyFont="1" applyFill="1" applyBorder="1" applyAlignment="1"/>
    <xf numFmtId="2" fontId="37" fillId="24" borderId="17" xfId="7" applyNumberFormat="1" applyFont="1" applyFill="1" applyBorder="1" applyProtection="1">
      <protection hidden="1"/>
    </xf>
    <xf numFmtId="2" fontId="37" fillId="18" borderId="17" xfId="7" applyNumberFormat="1" applyFont="1" applyFill="1" applyBorder="1" applyProtection="1">
      <protection hidden="1"/>
    </xf>
    <xf numFmtId="0" fontId="37" fillId="21" borderId="17" xfId="7" applyFont="1" applyFill="1" applyBorder="1" applyProtection="1">
      <protection hidden="1"/>
    </xf>
    <xf numFmtId="0" fontId="1" fillId="10" borderId="0" xfId="4" applyFont="1" applyFill="1" applyProtection="1">
      <protection hidden="1"/>
    </xf>
    <xf numFmtId="0" fontId="39" fillId="10" borderId="0" xfId="7" applyFont="1" applyFill="1" applyProtection="1">
      <protection hidden="1"/>
    </xf>
    <xf numFmtId="0" fontId="40" fillId="0" borderId="14" xfId="4" applyFont="1" applyFill="1" applyBorder="1" applyProtection="1">
      <protection hidden="1"/>
    </xf>
    <xf numFmtId="2" fontId="17" fillId="0" borderId="14" xfId="4" applyNumberFormat="1" applyFont="1" applyFill="1" applyBorder="1" applyProtection="1">
      <protection hidden="1"/>
    </xf>
    <xf numFmtId="0" fontId="17" fillId="0" borderId="14" xfId="4" applyFont="1" applyFill="1" applyBorder="1" applyProtection="1">
      <protection hidden="1"/>
    </xf>
    <xf numFmtId="0" fontId="17" fillId="5" borderId="14" xfId="7" applyFont="1" applyFill="1" applyBorder="1" applyProtection="1">
      <protection hidden="1"/>
    </xf>
    <xf numFmtId="0" fontId="17" fillId="5" borderId="14" xfId="4" applyFont="1" applyFill="1" applyBorder="1" applyProtection="1">
      <protection hidden="1"/>
    </xf>
    <xf numFmtId="0" fontId="17" fillId="10" borderId="0" xfId="7" applyFont="1" applyFill="1" applyBorder="1" applyProtection="1">
      <protection hidden="1"/>
    </xf>
    <xf numFmtId="0" fontId="18" fillId="25" borderId="16" xfId="7" applyFont="1" applyFill="1" applyBorder="1" applyAlignment="1" applyProtection="1">
      <alignment horizontal="center" vertical="center"/>
      <protection hidden="1"/>
    </xf>
    <xf numFmtId="0" fontId="17" fillId="10" borderId="0" xfId="7" applyFont="1" applyFill="1" applyAlignment="1" applyProtection="1">
      <alignment horizontal="center"/>
      <protection hidden="1"/>
    </xf>
    <xf numFmtId="0" fontId="18" fillId="2" borderId="18" xfId="4" applyFont="1" applyFill="1" applyBorder="1" applyAlignment="1">
      <alignment horizontal="center" vertical="center"/>
    </xf>
    <xf numFmtId="0" fontId="36" fillId="26" borderId="36" xfId="4" applyFont="1" applyFill="1" applyBorder="1" applyAlignment="1">
      <alignment horizontal="center" vertical="center"/>
    </xf>
    <xf numFmtId="0" fontId="18" fillId="25" borderId="36" xfId="4" applyFont="1" applyFill="1" applyBorder="1" applyAlignment="1" applyProtection="1">
      <alignment horizontal="center" vertical="center"/>
      <protection hidden="1"/>
    </xf>
    <xf numFmtId="0" fontId="18" fillId="25" borderId="37" xfId="4" applyFont="1" applyFill="1" applyBorder="1" applyAlignment="1" applyProtection="1">
      <alignment horizontal="center" vertical="center"/>
      <protection hidden="1"/>
    </xf>
    <xf numFmtId="0" fontId="18" fillId="25" borderId="38" xfId="4" applyFont="1" applyFill="1" applyBorder="1" applyAlignment="1" applyProtection="1">
      <alignment horizontal="center" vertical="center"/>
      <protection hidden="1"/>
    </xf>
    <xf numFmtId="0" fontId="18" fillId="25" borderId="39" xfId="4" applyFont="1" applyFill="1" applyBorder="1" applyAlignment="1" applyProtection="1">
      <alignment horizontal="center" vertical="center"/>
      <protection hidden="1"/>
    </xf>
    <xf numFmtId="0" fontId="18" fillId="25" borderId="40" xfId="4" applyFont="1" applyFill="1" applyBorder="1" applyAlignment="1" applyProtection="1">
      <alignment horizontal="center" vertical="center"/>
      <protection hidden="1"/>
    </xf>
    <xf numFmtId="0" fontId="17" fillId="10" borderId="0" xfId="4" applyFont="1" applyFill="1" applyBorder="1" applyProtection="1">
      <protection hidden="1"/>
    </xf>
    <xf numFmtId="0" fontId="18" fillId="10" borderId="0" xfId="7" applyFont="1" applyFill="1" applyBorder="1" applyAlignment="1" applyProtection="1">
      <alignment horizontal="center" vertical="center"/>
      <protection hidden="1"/>
    </xf>
    <xf numFmtId="0" fontId="18" fillId="25" borderId="41" xfId="7" applyFont="1" applyFill="1" applyBorder="1" applyAlignment="1" applyProtection="1">
      <alignment horizontal="center" vertical="center"/>
      <protection hidden="1"/>
    </xf>
    <xf numFmtId="0" fontId="18" fillId="25" borderId="42" xfId="7" applyFont="1" applyFill="1" applyBorder="1" applyAlignment="1" applyProtection="1">
      <alignment horizontal="center" vertical="center"/>
      <protection hidden="1"/>
    </xf>
    <xf numFmtId="0" fontId="18" fillId="25" borderId="43" xfId="7" applyFont="1" applyFill="1" applyBorder="1" applyAlignment="1" applyProtection="1">
      <alignment horizontal="center" vertical="center"/>
      <protection hidden="1"/>
    </xf>
    <xf numFmtId="0" fontId="18" fillId="25" borderId="44" xfId="7" applyFont="1" applyFill="1" applyBorder="1" applyAlignment="1" applyProtection="1">
      <alignment horizontal="center" vertical="center"/>
      <protection hidden="1"/>
    </xf>
    <xf numFmtId="0" fontId="18" fillId="25" borderId="45" xfId="7" applyFont="1" applyFill="1" applyBorder="1" applyAlignment="1" applyProtection="1">
      <alignment horizontal="center" vertical="center"/>
      <protection hidden="1"/>
    </xf>
    <xf numFmtId="0" fontId="17" fillId="10" borderId="0" xfId="7" applyFont="1" applyFill="1" applyBorder="1" applyAlignment="1" applyProtection="1">
      <alignment horizontal="center"/>
      <protection hidden="1"/>
    </xf>
    <xf numFmtId="0" fontId="17" fillId="13" borderId="46" xfId="4" applyFont="1" applyFill="1" applyBorder="1" applyAlignment="1" applyProtection="1">
      <alignment horizontal="center" vertical="center"/>
      <protection hidden="1"/>
    </xf>
    <xf numFmtId="1" fontId="17" fillId="13" borderId="47" xfId="4" applyNumberFormat="1" applyFont="1" applyFill="1" applyBorder="1" applyAlignment="1" applyProtection="1">
      <alignment horizontal="center"/>
      <protection hidden="1"/>
    </xf>
    <xf numFmtId="2" fontId="17" fillId="11" borderId="48" xfId="4" applyNumberFormat="1" applyFont="1" applyFill="1" applyBorder="1" applyAlignment="1" applyProtection="1">
      <alignment horizontal="center" vertical="center"/>
      <protection hidden="1"/>
    </xf>
    <xf numFmtId="2" fontId="17" fillId="0" borderId="46" xfId="4" applyNumberFormat="1" applyFont="1" applyFill="1" applyBorder="1" applyAlignment="1" applyProtection="1">
      <alignment horizontal="center" vertical="center"/>
      <protection hidden="1"/>
    </xf>
    <xf numFmtId="2" fontId="17" fillId="0" borderId="49" xfId="4" applyNumberFormat="1" applyFont="1" applyFill="1" applyBorder="1" applyAlignment="1" applyProtection="1">
      <alignment horizontal="center" vertical="center"/>
      <protection hidden="1"/>
    </xf>
    <xf numFmtId="2" fontId="17" fillId="0" borderId="50" xfId="4" applyNumberFormat="1" applyFont="1" applyFill="1" applyBorder="1" applyAlignment="1" applyProtection="1">
      <alignment horizontal="center" vertical="center"/>
      <protection hidden="1"/>
    </xf>
    <xf numFmtId="2" fontId="17" fillId="0" borderId="51" xfId="4" applyNumberFormat="1" applyFont="1" applyFill="1" applyBorder="1" applyAlignment="1" applyProtection="1">
      <alignment horizontal="center" vertical="center"/>
      <protection hidden="1"/>
    </xf>
    <xf numFmtId="1" fontId="17" fillId="13" borderId="52" xfId="4" applyNumberFormat="1" applyFont="1" applyFill="1" applyBorder="1" applyAlignment="1" applyProtection="1">
      <alignment horizontal="center"/>
      <protection hidden="1"/>
    </xf>
    <xf numFmtId="168" fontId="18" fillId="13" borderId="14" xfId="7" applyNumberFormat="1" applyFont="1" applyFill="1" applyBorder="1" applyAlignment="1" applyProtection="1">
      <alignment horizontal="center" vertical="center"/>
      <protection hidden="1"/>
    </xf>
    <xf numFmtId="2" fontId="18" fillId="4" borderId="53" xfId="7" applyNumberFormat="1" applyFont="1" applyFill="1" applyBorder="1" applyAlignment="1" applyProtection="1">
      <alignment horizontal="center" vertical="center"/>
      <protection hidden="1"/>
    </xf>
    <xf numFmtId="2" fontId="18" fillId="0" borderId="53" xfId="7" applyNumberFormat="1" applyFont="1" applyFill="1" applyBorder="1" applyAlignment="1" applyProtection="1">
      <alignment horizontal="center" vertical="center"/>
      <protection hidden="1"/>
    </xf>
    <xf numFmtId="0" fontId="17" fillId="18" borderId="54" xfId="4" quotePrefix="1" applyFont="1" applyFill="1" applyBorder="1" applyAlignment="1" applyProtection="1">
      <alignment horizontal="center" vertical="center"/>
      <protection hidden="1"/>
    </xf>
    <xf numFmtId="1" fontId="17" fillId="18" borderId="17" xfId="4" quotePrefix="1" applyNumberFormat="1" applyFont="1" applyFill="1" applyBorder="1" applyAlignment="1" applyProtection="1">
      <alignment horizontal="center"/>
      <protection hidden="1"/>
    </xf>
    <xf numFmtId="2" fontId="17" fillId="11" borderId="55" xfId="4" applyNumberFormat="1" applyFont="1" applyFill="1" applyBorder="1" applyAlignment="1" applyProtection="1">
      <alignment horizontal="center" vertical="center"/>
      <protection hidden="1"/>
    </xf>
    <xf numFmtId="2" fontId="17" fillId="0" borderId="54" xfId="4" applyNumberFormat="1" applyFont="1" applyFill="1" applyBorder="1" applyAlignment="1" applyProtection="1">
      <alignment horizontal="center" vertical="center"/>
      <protection hidden="1"/>
    </xf>
    <xf numFmtId="2" fontId="17" fillId="0" borderId="14" xfId="4" applyNumberFormat="1" applyFont="1" applyFill="1" applyBorder="1" applyAlignment="1" applyProtection="1">
      <alignment horizontal="center" vertical="center"/>
      <protection hidden="1"/>
    </xf>
    <xf numFmtId="2" fontId="17" fillId="0" borderId="56" xfId="4" applyNumberFormat="1" applyFont="1" applyFill="1" applyBorder="1" applyAlignment="1" applyProtection="1">
      <alignment horizontal="center" vertical="center"/>
      <protection hidden="1"/>
    </xf>
    <xf numFmtId="2" fontId="17" fillId="0" borderId="19" xfId="4" applyNumberFormat="1" applyFont="1" applyFill="1" applyBorder="1" applyAlignment="1" applyProtection="1">
      <alignment horizontal="center" vertical="center"/>
      <protection hidden="1"/>
    </xf>
    <xf numFmtId="1" fontId="17" fillId="18" borderId="57" xfId="4" quotePrefix="1" applyNumberFormat="1" applyFont="1" applyFill="1" applyBorder="1" applyAlignment="1" applyProtection="1">
      <alignment horizontal="center"/>
      <protection hidden="1"/>
    </xf>
    <xf numFmtId="168" fontId="18" fillId="18" borderId="14" xfId="7" applyNumberFormat="1" applyFont="1" applyFill="1" applyBorder="1" applyAlignment="1" applyProtection="1">
      <alignment horizontal="center" vertical="center"/>
      <protection hidden="1"/>
    </xf>
    <xf numFmtId="2" fontId="18" fillId="4" borderId="14" xfId="7" applyNumberFormat="1" applyFont="1" applyFill="1" applyBorder="1" applyAlignment="1" applyProtection="1">
      <alignment horizontal="center" vertical="center"/>
      <protection hidden="1"/>
    </xf>
    <xf numFmtId="2" fontId="18" fillId="0" borderId="14" xfId="7" applyNumberFormat="1" applyFont="1" applyFill="1" applyBorder="1" applyAlignment="1" applyProtection="1">
      <alignment horizontal="center" vertical="center"/>
      <protection hidden="1"/>
    </xf>
    <xf numFmtId="0" fontId="17" fillId="20" borderId="54" xfId="4" applyFont="1" applyFill="1" applyBorder="1" applyAlignment="1" applyProtection="1">
      <alignment horizontal="center" vertical="center"/>
      <protection hidden="1"/>
    </xf>
    <xf numFmtId="1" fontId="17" fillId="20" borderId="17" xfId="4" applyNumberFormat="1" applyFont="1" applyFill="1" applyBorder="1" applyAlignment="1" applyProtection="1">
      <alignment horizontal="center"/>
      <protection hidden="1"/>
    </xf>
    <xf numFmtId="1" fontId="17" fillId="20" borderId="57" xfId="4" applyNumberFormat="1" applyFont="1" applyFill="1" applyBorder="1" applyAlignment="1" applyProtection="1">
      <alignment horizontal="center"/>
      <protection hidden="1"/>
    </xf>
    <xf numFmtId="168" fontId="18" fillId="20" borderId="14" xfId="7" applyNumberFormat="1" applyFont="1" applyFill="1" applyBorder="1" applyAlignment="1" applyProtection="1">
      <alignment horizontal="center" vertical="center"/>
      <protection hidden="1"/>
    </xf>
    <xf numFmtId="0" fontId="17" fillId="21" borderId="54" xfId="4" quotePrefix="1" applyFont="1" applyFill="1" applyBorder="1" applyAlignment="1" applyProtection="1">
      <alignment horizontal="center" vertical="center"/>
      <protection hidden="1"/>
    </xf>
    <xf numFmtId="1" fontId="17" fillId="21" borderId="17" xfId="4" quotePrefix="1" applyNumberFormat="1" applyFont="1" applyFill="1" applyBorder="1" applyAlignment="1" applyProtection="1">
      <alignment horizontal="center"/>
      <protection hidden="1"/>
    </xf>
    <xf numFmtId="1" fontId="17" fillId="21" borderId="57" xfId="4" quotePrefix="1" applyNumberFormat="1" applyFont="1" applyFill="1" applyBorder="1" applyAlignment="1" applyProtection="1">
      <alignment horizontal="center"/>
      <protection hidden="1"/>
    </xf>
    <xf numFmtId="0" fontId="17" fillId="22" borderId="54" xfId="4" applyFont="1" applyFill="1" applyBorder="1" applyAlignment="1" applyProtection="1">
      <alignment horizontal="center" vertical="center"/>
      <protection hidden="1"/>
    </xf>
    <xf numFmtId="1" fontId="17" fillId="22" borderId="17" xfId="4" applyNumberFormat="1" applyFont="1" applyFill="1" applyBorder="1" applyAlignment="1" applyProtection="1">
      <alignment horizontal="center"/>
      <protection hidden="1"/>
    </xf>
    <xf numFmtId="1" fontId="17" fillId="22" borderId="57" xfId="4" applyNumberFormat="1" applyFont="1" applyFill="1" applyBorder="1" applyAlignment="1" applyProtection="1">
      <alignment horizontal="center"/>
      <protection hidden="1"/>
    </xf>
    <xf numFmtId="168" fontId="20" fillId="21" borderId="14" xfId="7" applyNumberFormat="1" applyFont="1" applyFill="1" applyBorder="1" applyAlignment="1" applyProtection="1">
      <alignment horizontal="center" vertical="center"/>
      <protection hidden="1"/>
    </xf>
    <xf numFmtId="0" fontId="22" fillId="23" borderId="54" xfId="4" quotePrefix="1" applyFont="1" applyFill="1" applyBorder="1" applyAlignment="1" applyProtection="1">
      <alignment horizontal="center" vertical="center"/>
      <protection hidden="1"/>
    </xf>
    <xf numFmtId="1" fontId="22" fillId="23" borderId="17" xfId="4" quotePrefix="1" applyNumberFormat="1" applyFont="1" applyFill="1" applyBorder="1" applyAlignment="1" applyProtection="1">
      <alignment horizontal="center"/>
      <protection hidden="1"/>
    </xf>
    <xf numFmtId="1" fontId="22" fillId="23" borderId="57" xfId="4" quotePrefix="1" applyNumberFormat="1" applyFont="1" applyFill="1" applyBorder="1" applyAlignment="1" applyProtection="1">
      <alignment horizontal="center"/>
      <protection hidden="1"/>
    </xf>
    <xf numFmtId="168" fontId="20" fillId="22" borderId="14" xfId="7" applyNumberFormat="1" applyFont="1" applyFill="1" applyBorder="1" applyAlignment="1" applyProtection="1">
      <alignment horizontal="center" vertical="center"/>
      <protection hidden="1"/>
    </xf>
    <xf numFmtId="2" fontId="17" fillId="24" borderId="54" xfId="4" applyNumberFormat="1" applyFont="1" applyFill="1" applyBorder="1" applyAlignment="1" applyProtection="1">
      <alignment horizontal="center" vertical="center"/>
      <protection hidden="1"/>
    </xf>
    <xf numFmtId="1" fontId="17" fillId="24" borderId="17" xfId="4" applyNumberFormat="1" applyFont="1" applyFill="1" applyBorder="1" applyAlignment="1" applyProtection="1">
      <alignment horizontal="center"/>
      <protection hidden="1"/>
    </xf>
    <xf numFmtId="1" fontId="17" fillId="24" borderId="57" xfId="4" applyNumberFormat="1" applyFont="1" applyFill="1" applyBorder="1" applyAlignment="1" applyProtection="1">
      <alignment horizontal="center"/>
      <protection hidden="1"/>
    </xf>
    <xf numFmtId="0" fontId="17" fillId="18" borderId="54" xfId="4" applyFont="1" applyFill="1" applyBorder="1" applyAlignment="1" applyProtection="1">
      <alignment horizontal="center" vertical="center"/>
      <protection hidden="1"/>
    </xf>
    <xf numFmtId="1" fontId="17" fillId="18" borderId="17" xfId="4" applyNumberFormat="1" applyFont="1" applyFill="1" applyBorder="1" applyAlignment="1" applyProtection="1">
      <alignment horizontal="center"/>
      <protection hidden="1"/>
    </xf>
    <xf numFmtId="1" fontId="17" fillId="18" borderId="57" xfId="4" applyNumberFormat="1" applyFont="1" applyFill="1" applyBorder="1" applyAlignment="1" applyProtection="1">
      <alignment horizontal="center"/>
      <protection hidden="1"/>
    </xf>
    <xf numFmtId="0" fontId="41" fillId="10" borderId="0" xfId="7" applyFont="1" applyFill="1" applyBorder="1" applyAlignment="1" applyProtection="1">
      <alignment horizontal="left" vertical="center"/>
      <protection hidden="1"/>
    </xf>
    <xf numFmtId="0" fontId="17" fillId="21" borderId="54" xfId="4" applyFont="1" applyFill="1" applyBorder="1" applyAlignment="1" applyProtection="1">
      <alignment horizontal="center" vertical="center"/>
      <protection hidden="1"/>
    </xf>
    <xf numFmtId="1" fontId="17" fillId="21" borderId="17" xfId="4" applyNumberFormat="1" applyFont="1" applyFill="1" applyBorder="1" applyAlignment="1" applyProtection="1">
      <alignment horizontal="center"/>
      <protection hidden="1"/>
    </xf>
    <xf numFmtId="1" fontId="17" fillId="21" borderId="57" xfId="4" applyNumberFormat="1" applyFont="1" applyFill="1" applyBorder="1" applyAlignment="1" applyProtection="1">
      <alignment horizontal="center"/>
      <protection hidden="1"/>
    </xf>
    <xf numFmtId="0" fontId="17" fillId="22" borderId="58" xfId="4" applyFont="1" applyFill="1" applyBorder="1" applyAlignment="1" applyProtection="1">
      <alignment horizontal="center" vertical="center"/>
      <protection hidden="1"/>
    </xf>
    <xf numFmtId="1" fontId="17" fillId="22" borderId="59" xfId="4" applyNumberFormat="1" applyFont="1" applyFill="1" applyBorder="1" applyAlignment="1" applyProtection="1">
      <alignment horizontal="center"/>
      <protection hidden="1"/>
    </xf>
    <xf numFmtId="2" fontId="17" fillId="11" borderId="60" xfId="4" applyNumberFormat="1" applyFont="1" applyFill="1" applyBorder="1" applyAlignment="1" applyProtection="1">
      <alignment horizontal="center" vertical="center"/>
      <protection hidden="1"/>
    </xf>
    <xf numFmtId="2" fontId="17" fillId="0" borderId="58" xfId="4" applyNumberFormat="1" applyFont="1" applyFill="1" applyBorder="1" applyAlignment="1" applyProtection="1">
      <alignment horizontal="center" vertical="center"/>
      <protection hidden="1"/>
    </xf>
    <xf numFmtId="2" fontId="17" fillId="0" borderId="61" xfId="4" applyNumberFormat="1" applyFont="1" applyFill="1" applyBorder="1" applyAlignment="1" applyProtection="1">
      <alignment horizontal="center" vertical="center"/>
      <protection hidden="1"/>
    </xf>
    <xf numFmtId="2" fontId="17" fillId="0" borderId="62" xfId="4" applyNumberFormat="1" applyFont="1" applyFill="1" applyBorder="1" applyAlignment="1" applyProtection="1">
      <alignment horizontal="center" vertical="center"/>
      <protection hidden="1"/>
    </xf>
    <xf numFmtId="2" fontId="17" fillId="0" borderId="63" xfId="4" applyNumberFormat="1" applyFont="1" applyFill="1" applyBorder="1" applyAlignment="1" applyProtection="1">
      <alignment horizontal="center" vertical="center"/>
      <protection hidden="1"/>
    </xf>
    <xf numFmtId="1" fontId="17" fillId="22" borderId="64" xfId="4" applyNumberFormat="1" applyFont="1" applyFill="1" applyBorder="1" applyAlignment="1" applyProtection="1">
      <alignment horizontal="center"/>
      <protection hidden="1"/>
    </xf>
    <xf numFmtId="168" fontId="29" fillId="23" borderId="14" xfId="7" applyNumberFormat="1" applyFont="1" applyFill="1" applyBorder="1" applyAlignment="1" applyProtection="1">
      <alignment horizontal="center" vertical="center"/>
      <protection hidden="1"/>
    </xf>
    <xf numFmtId="168" fontId="20" fillId="24" borderId="14" xfId="7" applyNumberFormat="1" applyFont="1" applyFill="1" applyBorder="1" applyAlignment="1" applyProtection="1">
      <alignment horizontal="center" vertical="center"/>
      <protection hidden="1"/>
    </xf>
    <xf numFmtId="0" fontId="42" fillId="27" borderId="0" xfId="4" applyFont="1" applyFill="1" applyBorder="1" applyProtection="1">
      <protection hidden="1"/>
    </xf>
    <xf numFmtId="0" fontId="19" fillId="10" borderId="0" xfId="4" applyFont="1" applyFill="1" applyProtection="1">
      <protection hidden="1"/>
    </xf>
    <xf numFmtId="168" fontId="20" fillId="18" borderId="14" xfId="7" applyNumberFormat="1" applyFont="1" applyFill="1" applyBorder="1" applyAlignment="1" applyProtection="1">
      <alignment horizontal="center" vertical="center"/>
      <protection hidden="1"/>
    </xf>
    <xf numFmtId="168" fontId="20" fillId="20" borderId="14" xfId="7" applyNumberFormat="1" applyFont="1" applyFill="1" applyBorder="1" applyAlignment="1" applyProtection="1">
      <alignment horizontal="center" vertical="center"/>
      <protection hidden="1"/>
    </xf>
    <xf numFmtId="2" fontId="17" fillId="11" borderId="46" xfId="4" applyNumberFormat="1" applyFont="1" applyFill="1" applyBorder="1" applyAlignment="1" applyProtection="1">
      <alignment horizontal="center" vertical="center"/>
      <protection hidden="1"/>
    </xf>
    <xf numFmtId="2" fontId="17" fillId="11" borderId="49" xfId="4" applyNumberFormat="1" applyFont="1" applyFill="1" applyBorder="1" applyAlignment="1" applyProtection="1">
      <alignment horizontal="center" vertical="center"/>
      <protection hidden="1"/>
    </xf>
    <xf numFmtId="2" fontId="17" fillId="11" borderId="50" xfId="4" applyNumberFormat="1" applyFont="1" applyFill="1" applyBorder="1" applyAlignment="1" applyProtection="1">
      <alignment horizontal="center" vertical="center"/>
      <protection hidden="1"/>
    </xf>
    <xf numFmtId="2" fontId="17" fillId="11" borderId="51" xfId="4" applyNumberFormat="1" applyFont="1" applyFill="1" applyBorder="1" applyAlignment="1" applyProtection="1">
      <alignment horizontal="center" vertical="center"/>
      <protection hidden="1"/>
    </xf>
    <xf numFmtId="2" fontId="17" fillId="11" borderId="54" xfId="4" applyNumberFormat="1" applyFont="1" applyFill="1" applyBorder="1" applyAlignment="1" applyProtection="1">
      <alignment horizontal="center" vertical="center"/>
      <protection hidden="1"/>
    </xf>
    <xf numFmtId="2" fontId="17" fillId="11" borderId="14" xfId="4" applyNumberFormat="1" applyFont="1" applyFill="1" applyBorder="1" applyAlignment="1" applyProtection="1">
      <alignment horizontal="center" vertical="center"/>
      <protection hidden="1"/>
    </xf>
    <xf numFmtId="2" fontId="17" fillId="11" borderId="56" xfId="4" applyNumberFormat="1" applyFont="1" applyFill="1" applyBorder="1" applyAlignment="1" applyProtection="1">
      <alignment horizontal="center" vertical="center"/>
      <protection hidden="1"/>
    </xf>
    <xf numFmtId="2" fontId="17" fillId="11" borderId="19" xfId="4" applyNumberFormat="1" applyFont="1" applyFill="1" applyBorder="1" applyAlignment="1" applyProtection="1">
      <alignment horizontal="center" vertical="center"/>
      <protection hidden="1"/>
    </xf>
    <xf numFmtId="2" fontId="17" fillId="11" borderId="58" xfId="4" applyNumberFormat="1" applyFont="1" applyFill="1" applyBorder="1" applyAlignment="1" applyProtection="1">
      <alignment horizontal="center" vertical="center"/>
      <protection hidden="1"/>
    </xf>
    <xf numFmtId="2" fontId="17" fillId="11" borderId="61" xfId="4" applyNumberFormat="1" applyFont="1" applyFill="1" applyBorder="1" applyAlignment="1" applyProtection="1">
      <alignment horizontal="center" vertical="center"/>
      <protection hidden="1"/>
    </xf>
    <xf numFmtId="2" fontId="17" fillId="11" borderId="62" xfId="4" applyNumberFormat="1" applyFont="1" applyFill="1" applyBorder="1" applyAlignment="1" applyProtection="1">
      <alignment horizontal="center" vertical="center"/>
      <protection hidden="1"/>
    </xf>
    <xf numFmtId="2" fontId="17" fillId="11" borderId="63" xfId="4" applyNumberFormat="1" applyFont="1" applyFill="1" applyBorder="1" applyAlignment="1" applyProtection="1">
      <alignment horizontal="center" vertical="center"/>
      <protection hidden="1"/>
    </xf>
    <xf numFmtId="168" fontId="20" fillId="28" borderId="14" xfId="7" applyNumberFormat="1" applyFont="1" applyFill="1" applyBorder="1" applyAlignment="1" applyProtection="1">
      <alignment horizontal="center" vertical="center"/>
      <protection hidden="1"/>
    </xf>
    <xf numFmtId="0" fontId="17" fillId="10" borderId="0" xfId="7" applyFont="1" applyFill="1" applyAlignment="1" applyProtection="1">
      <alignment vertical="center" wrapText="1"/>
      <protection hidden="1"/>
    </xf>
    <xf numFmtId="0" fontId="17" fillId="10" borderId="0" xfId="7" applyFont="1" applyFill="1" applyBorder="1" applyAlignment="1" applyProtection="1">
      <alignment vertical="center" wrapText="1"/>
      <protection hidden="1"/>
    </xf>
    <xf numFmtId="0" fontId="17" fillId="10" borderId="0" xfId="7" applyFont="1" applyFill="1" applyBorder="1" applyAlignment="1" applyProtection="1">
      <alignment horizontal="center" vertical="center" wrapText="1"/>
      <protection hidden="1"/>
    </xf>
    <xf numFmtId="0" fontId="34" fillId="0" borderId="0" xfId="7" applyFont="1" applyBorder="1"/>
    <xf numFmtId="0" fontId="43" fillId="0" borderId="65" xfId="10" applyNumberFormat="1" applyFont="1" applyFill="1" applyBorder="1" applyAlignment="1"/>
    <xf numFmtId="0" fontId="44" fillId="0" borderId="0" xfId="7" applyFont="1"/>
    <xf numFmtId="0" fontId="45" fillId="0" borderId="0" xfId="9" applyNumberFormat="1" applyFont="1" applyAlignment="1">
      <alignment horizontal="right"/>
    </xf>
    <xf numFmtId="0" fontId="45" fillId="0" borderId="0" xfId="10" applyNumberFormat="1" applyFont="1" applyFill="1" applyAlignment="1"/>
    <xf numFmtId="2" fontId="18" fillId="4" borderId="15" xfId="7" applyNumberFormat="1" applyFont="1" applyFill="1" applyBorder="1" applyAlignment="1" applyProtection="1">
      <alignment horizontal="center" vertical="center"/>
      <protection hidden="1"/>
    </xf>
    <xf numFmtId="2" fontId="18" fillId="0" borderId="15" xfId="7" applyNumberFormat="1" applyFont="1" applyFill="1" applyBorder="1" applyAlignment="1" applyProtection="1">
      <alignment horizontal="center" vertical="center"/>
      <protection hidden="1"/>
    </xf>
    <xf numFmtId="0" fontId="18" fillId="25" borderId="14" xfId="7" applyFont="1" applyFill="1" applyBorder="1" applyAlignment="1" applyProtection="1">
      <alignment horizontal="center" vertical="center"/>
      <protection hidden="1"/>
    </xf>
    <xf numFmtId="0" fontId="45" fillId="0" borderId="0" xfId="10" applyNumberFormat="1" applyFont="1" applyFill="1" applyAlignment="1">
      <alignment wrapText="1"/>
    </xf>
    <xf numFmtId="0" fontId="45" fillId="0" borderId="0" xfId="10" applyNumberFormat="1" applyFont="1" applyFill="1" applyBorder="1" applyAlignment="1">
      <alignment wrapText="1"/>
    </xf>
    <xf numFmtId="0" fontId="33" fillId="0" borderId="17" xfId="7" applyFont="1" applyFill="1" applyBorder="1" applyProtection="1">
      <protection hidden="1"/>
    </xf>
    <xf numFmtId="2" fontId="33" fillId="0" borderId="53" xfId="7" applyNumberFormat="1" applyFill="1" applyBorder="1" applyAlignment="1" applyProtection="1">
      <alignment horizontal="center" vertical="center"/>
      <protection hidden="1"/>
    </xf>
    <xf numFmtId="2" fontId="33" fillId="0" borderId="14" xfId="7" applyNumberFormat="1" applyFill="1" applyBorder="1" applyAlignment="1" applyProtection="1">
      <alignment horizontal="center" vertical="center"/>
      <protection hidden="1"/>
    </xf>
    <xf numFmtId="9" fontId="17" fillId="0" borderId="14" xfId="7" applyNumberFormat="1" applyFont="1" applyBorder="1" applyAlignment="1">
      <alignment horizontal="center" vertical="center"/>
    </xf>
    <xf numFmtId="0" fontId="46" fillId="21" borderId="17" xfId="4" applyFont="1" applyFill="1" applyBorder="1" applyAlignment="1" applyProtection="1">
      <protection hidden="1"/>
    </xf>
    <xf numFmtId="2" fontId="17" fillId="0" borderId="14" xfId="4" applyNumberFormat="1" applyFont="1" applyFill="1" applyBorder="1" applyAlignment="1" applyProtection="1">
      <alignment horizontal="center"/>
      <protection hidden="1"/>
    </xf>
    <xf numFmtId="0" fontId="44" fillId="0" borderId="0" xfId="7" applyFont="1" applyBorder="1"/>
    <xf numFmtId="0" fontId="33" fillId="12" borderId="14" xfId="7" applyFill="1" applyBorder="1" applyAlignment="1" applyProtection="1">
      <alignment horizontal="center"/>
      <protection hidden="1"/>
    </xf>
    <xf numFmtId="2" fontId="33" fillId="0" borderId="14" xfId="7" applyNumberFormat="1" applyFill="1" applyBorder="1" applyAlignment="1" applyProtection="1">
      <alignment horizontal="center"/>
      <protection hidden="1"/>
    </xf>
    <xf numFmtId="0" fontId="33" fillId="0" borderId="0" xfId="7" applyProtection="1">
      <protection hidden="1"/>
    </xf>
    <xf numFmtId="0" fontId="34" fillId="0" borderId="0" xfId="11" applyFont="1"/>
    <xf numFmtId="0" fontId="17" fillId="10" borderId="0" xfId="11" applyFont="1" applyFill="1" applyBorder="1" applyAlignment="1" applyProtection="1">
      <alignment horizontal="right"/>
      <protection hidden="1"/>
    </xf>
    <xf numFmtId="0" fontId="17" fillId="10" borderId="0" xfId="11" applyFont="1" applyFill="1" applyProtection="1">
      <protection hidden="1"/>
    </xf>
    <xf numFmtId="0" fontId="34" fillId="10" borderId="0" xfId="11" applyFont="1" applyFill="1"/>
    <xf numFmtId="0" fontId="34" fillId="17" borderId="0" xfId="11" applyFont="1" applyFill="1"/>
    <xf numFmtId="0" fontId="18" fillId="17" borderId="0" xfId="12" applyNumberFormat="1" applyFont="1" applyFill="1" applyAlignment="1">
      <alignment vertical="center"/>
    </xf>
    <xf numFmtId="0" fontId="34" fillId="17" borderId="0" xfId="11" applyFont="1" applyFill="1" applyAlignment="1">
      <alignment vertical="center"/>
    </xf>
    <xf numFmtId="0" fontId="36" fillId="13" borderId="0" xfId="12" applyNumberFormat="1" applyFont="1" applyFill="1"/>
    <xf numFmtId="0" fontId="36" fillId="13" borderId="0" xfId="12" applyNumberFormat="1" applyFont="1" applyFill="1" applyAlignment="1">
      <alignment vertical="center"/>
    </xf>
    <xf numFmtId="0" fontId="34" fillId="13" borderId="0" xfId="11" applyFont="1" applyFill="1"/>
    <xf numFmtId="0" fontId="34" fillId="0" borderId="0" xfId="11" applyFont="1" applyFill="1" applyBorder="1" applyAlignment="1"/>
    <xf numFmtId="0" fontId="18" fillId="0" borderId="0" xfId="10" applyNumberFormat="1" applyFont="1" applyFill="1" applyBorder="1"/>
    <xf numFmtId="0" fontId="34" fillId="0" borderId="66" xfId="11" applyFont="1" applyFill="1" applyBorder="1" applyAlignment="1"/>
    <xf numFmtId="0" fontId="34" fillId="0" borderId="0" xfId="11" applyFont="1" applyFill="1" applyBorder="1"/>
    <xf numFmtId="0" fontId="20" fillId="0" borderId="30" xfId="11" applyFont="1" applyFill="1" applyBorder="1" applyAlignment="1">
      <alignment vertical="center"/>
    </xf>
    <xf numFmtId="0" fontId="20" fillId="0" borderId="31" xfId="11" applyFont="1" applyFill="1" applyBorder="1" applyAlignment="1">
      <alignment vertical="center"/>
    </xf>
    <xf numFmtId="0" fontId="20" fillId="0" borderId="32" xfId="11" applyFont="1" applyFill="1" applyBorder="1" applyAlignment="1">
      <alignment vertical="center"/>
    </xf>
    <xf numFmtId="4" fontId="21" fillId="0" borderId="30" xfId="11" applyNumberFormat="1" applyFont="1" applyFill="1" applyBorder="1" applyAlignment="1">
      <alignment vertical="center"/>
    </xf>
    <xf numFmtId="4" fontId="21" fillId="0" borderId="31" xfId="11" applyNumberFormat="1" applyFont="1" applyFill="1" applyBorder="1" applyAlignment="1">
      <alignment vertical="center"/>
    </xf>
    <xf numFmtId="4" fontId="21" fillId="0" borderId="32" xfId="11" applyNumberFormat="1" applyFont="1" applyFill="1" applyBorder="1" applyAlignment="1">
      <alignment vertical="center"/>
    </xf>
    <xf numFmtId="0" fontId="34" fillId="0" borderId="0" xfId="11" applyFont="1" applyFill="1"/>
    <xf numFmtId="0" fontId="17" fillId="10" borderId="14" xfId="11" applyFont="1" applyFill="1" applyBorder="1" applyProtection="1">
      <protection hidden="1"/>
    </xf>
    <xf numFmtId="2" fontId="17" fillId="10" borderId="14" xfId="11" applyNumberFormat="1" applyFont="1" applyFill="1" applyBorder="1" applyProtection="1">
      <protection hidden="1"/>
    </xf>
    <xf numFmtId="0" fontId="33" fillId="10" borderId="0" xfId="11" applyFill="1" applyProtection="1">
      <protection hidden="1"/>
    </xf>
    <xf numFmtId="0" fontId="17" fillId="0" borderId="14" xfId="11" applyFont="1" applyFill="1" applyBorder="1" applyProtection="1">
      <protection hidden="1"/>
    </xf>
    <xf numFmtId="0" fontId="17" fillId="10" borderId="0" xfId="11" applyFont="1" applyFill="1" applyBorder="1" applyProtection="1">
      <protection hidden="1"/>
    </xf>
    <xf numFmtId="0" fontId="17" fillId="10" borderId="0" xfId="11" applyFont="1" applyFill="1" applyAlignment="1" applyProtection="1">
      <alignment horizontal="center"/>
      <protection hidden="1"/>
    </xf>
    <xf numFmtId="0" fontId="18" fillId="10" borderId="0" xfId="11" applyFont="1" applyFill="1" applyBorder="1" applyAlignment="1" applyProtection="1">
      <alignment horizontal="center" vertical="center"/>
      <protection hidden="1"/>
    </xf>
    <xf numFmtId="0" fontId="18" fillId="25" borderId="14" xfId="11" applyFont="1" applyFill="1" applyBorder="1" applyAlignment="1" applyProtection="1">
      <alignment horizontal="center" vertical="center"/>
      <protection hidden="1"/>
    </xf>
    <xf numFmtId="0" fontId="17" fillId="10" borderId="0" xfId="11" applyFont="1" applyFill="1" applyBorder="1" applyAlignment="1" applyProtection="1">
      <alignment horizontal="center"/>
      <protection hidden="1"/>
    </xf>
    <xf numFmtId="168" fontId="18" fillId="13" borderId="14" xfId="11" applyNumberFormat="1" applyFont="1" applyFill="1" applyBorder="1" applyAlignment="1" applyProtection="1">
      <alignment horizontal="center" vertical="center"/>
      <protection hidden="1"/>
    </xf>
    <xf numFmtId="2" fontId="18" fillId="0" borderId="53" xfId="11" applyNumberFormat="1" applyFont="1" applyFill="1" applyBorder="1" applyAlignment="1" applyProtection="1">
      <alignment horizontal="center" vertical="center"/>
      <protection hidden="1"/>
    </xf>
    <xf numFmtId="168" fontId="18" fillId="18" borderId="14" xfId="11" applyNumberFormat="1" applyFont="1" applyFill="1" applyBorder="1" applyAlignment="1" applyProtection="1">
      <alignment horizontal="center" vertical="center"/>
      <protection hidden="1"/>
    </xf>
    <xf numFmtId="2" fontId="18" fillId="0" borderId="14" xfId="11" applyNumberFormat="1" applyFont="1" applyFill="1" applyBorder="1" applyAlignment="1" applyProtection="1">
      <alignment horizontal="center" vertical="center"/>
      <protection hidden="1"/>
    </xf>
    <xf numFmtId="168" fontId="18" fillId="20" borderId="14" xfId="11" applyNumberFormat="1" applyFont="1" applyFill="1" applyBorder="1" applyAlignment="1" applyProtection="1">
      <alignment horizontal="center" vertical="center"/>
      <protection hidden="1"/>
    </xf>
    <xf numFmtId="168" fontId="20" fillId="20" borderId="14" xfId="11" applyNumberFormat="1" applyFont="1" applyFill="1" applyBorder="1" applyAlignment="1" applyProtection="1">
      <alignment horizontal="center" vertical="center"/>
      <protection hidden="1"/>
    </xf>
    <xf numFmtId="168" fontId="20" fillId="21" borderId="14" xfId="11" applyNumberFormat="1" applyFont="1" applyFill="1" applyBorder="1" applyAlignment="1" applyProtection="1">
      <alignment horizontal="center" vertical="center"/>
      <protection hidden="1"/>
    </xf>
    <xf numFmtId="168" fontId="20" fillId="22" borderId="14" xfId="11" applyNumberFormat="1" applyFont="1" applyFill="1" applyBorder="1" applyAlignment="1" applyProtection="1">
      <alignment horizontal="center" vertical="center"/>
      <protection hidden="1"/>
    </xf>
    <xf numFmtId="168" fontId="29" fillId="23" borderId="14" xfId="11" applyNumberFormat="1" applyFont="1" applyFill="1" applyBorder="1" applyAlignment="1" applyProtection="1">
      <alignment horizontal="center" vertical="center"/>
      <protection hidden="1"/>
    </xf>
    <xf numFmtId="168" fontId="20" fillId="29" borderId="14" xfId="11" applyNumberFormat="1" applyFont="1" applyFill="1" applyBorder="1" applyAlignment="1" applyProtection="1">
      <alignment horizontal="center" vertical="center"/>
      <protection hidden="1"/>
    </xf>
    <xf numFmtId="168" fontId="29" fillId="13" borderId="14" xfId="11" applyNumberFormat="1" applyFont="1" applyFill="1" applyBorder="1" applyAlignment="1" applyProtection="1">
      <alignment horizontal="center" vertical="center"/>
      <protection hidden="1"/>
    </xf>
    <xf numFmtId="168" fontId="29" fillId="11" borderId="14" xfId="11" applyNumberFormat="1" applyFont="1" applyFill="1" applyBorder="1" applyAlignment="1" applyProtection="1">
      <alignment horizontal="center" vertical="center"/>
      <protection hidden="1"/>
    </xf>
    <xf numFmtId="2" fontId="17" fillId="11" borderId="14" xfId="11" applyNumberFormat="1" applyFont="1" applyFill="1" applyBorder="1" applyAlignment="1" applyProtection="1">
      <alignment horizontal="center" vertical="center"/>
      <protection hidden="1"/>
    </xf>
    <xf numFmtId="0" fontId="44" fillId="0" borderId="0" xfId="11" applyFont="1"/>
    <xf numFmtId="0" fontId="44" fillId="0" borderId="0" xfId="11" applyFont="1" applyBorder="1"/>
    <xf numFmtId="0" fontId="34" fillId="0" borderId="0" xfId="11" applyFont="1" applyBorder="1"/>
    <xf numFmtId="0" fontId="47" fillId="10" borderId="0" xfId="11" applyFont="1" applyFill="1"/>
    <xf numFmtId="0" fontId="33" fillId="0" borderId="0" xfId="11" applyProtection="1">
      <protection hidden="1"/>
    </xf>
    <xf numFmtId="0" fontId="17" fillId="10" borderId="0" xfId="11" applyFont="1" applyFill="1" applyAlignment="1" applyProtection="1">
      <alignment vertical="center" wrapText="1"/>
      <protection hidden="1"/>
    </xf>
    <xf numFmtId="10" fontId="0" fillId="0" borderId="0" xfId="0" applyNumberFormat="1" applyFill="1"/>
    <xf numFmtId="169" fontId="0" fillId="0" borderId="0" xfId="2" applyNumberFormat="1" applyFont="1"/>
    <xf numFmtId="0" fontId="49" fillId="8" borderId="0" xfId="0" applyFont="1" applyFill="1"/>
    <xf numFmtId="0" fontId="48" fillId="8" borderId="0" xfId="0" applyFont="1" applyFill="1"/>
    <xf numFmtId="0" fontId="50" fillId="0" borderId="0" xfId="0" applyFont="1"/>
    <xf numFmtId="0" fontId="49" fillId="8" borderId="10" xfId="0" applyFont="1" applyFill="1" applyBorder="1"/>
    <xf numFmtId="0" fontId="49" fillId="9" borderId="10" xfId="0" applyFont="1" applyFill="1" applyBorder="1"/>
    <xf numFmtId="0" fontId="49" fillId="9" borderId="12" xfId="0" applyFont="1" applyFill="1" applyBorder="1"/>
    <xf numFmtId="0" fontId="49" fillId="9" borderId="11" xfId="0" applyFont="1" applyFill="1" applyBorder="1"/>
    <xf numFmtId="0" fontId="49" fillId="9" borderId="13" xfId="0" applyFont="1" applyFill="1" applyBorder="1"/>
    <xf numFmtId="10" fontId="48" fillId="8" borderId="10" xfId="2" applyNumberFormat="1" applyFont="1" applyFill="1" applyBorder="1" applyAlignment="1">
      <alignment horizontal="left" vertical="center" indent="1"/>
    </xf>
    <xf numFmtId="0" fontId="48" fillId="9" borderId="10" xfId="0" applyFont="1" applyFill="1" applyBorder="1" applyAlignment="1">
      <alignment horizontal="left" vertical="center" indent="1"/>
    </xf>
    <xf numFmtId="0" fontId="49" fillId="30" borderId="0" xfId="0" applyFont="1" applyFill="1"/>
    <xf numFmtId="0" fontId="55" fillId="31" borderId="0" xfId="0" applyFont="1" applyFill="1" applyAlignment="1">
      <alignment horizontal="right" vertical="center"/>
    </xf>
    <xf numFmtId="0" fontId="0" fillId="30" borderId="0" xfId="0" applyFill="1"/>
    <xf numFmtId="0" fontId="19" fillId="30" borderId="0" xfId="0" applyFont="1" applyFill="1"/>
    <xf numFmtId="0" fontId="19" fillId="0" borderId="0" xfId="0" applyFont="1"/>
    <xf numFmtId="0" fontId="62" fillId="30" borderId="0" xfId="0" applyFont="1" applyFill="1"/>
    <xf numFmtId="0" fontId="48" fillId="8" borderId="10" xfId="0" applyFont="1" applyFill="1" applyBorder="1" applyAlignment="1">
      <alignment horizontal="left" vertical="center" indent="1"/>
    </xf>
    <xf numFmtId="0" fontId="64" fillId="0" borderId="0" xfId="0" applyFont="1"/>
    <xf numFmtId="0" fontId="64" fillId="0" borderId="0" xfId="0" applyFont="1" applyAlignment="1">
      <alignment vertical="center"/>
    </xf>
    <xf numFmtId="0" fontId="65" fillId="0" borderId="0" xfId="0" applyFont="1" applyAlignment="1">
      <alignment vertical="center"/>
    </xf>
    <xf numFmtId="0" fontId="66" fillId="0" borderId="0" xfId="0" applyFont="1"/>
    <xf numFmtId="0" fontId="67" fillId="0" borderId="0" xfId="0" applyFont="1" applyAlignment="1">
      <alignment vertical="center"/>
    </xf>
    <xf numFmtId="0" fontId="67" fillId="0" borderId="0" xfId="0" applyFont="1"/>
    <xf numFmtId="0" fontId="68" fillId="0" borderId="0" xfId="0" applyFont="1" applyAlignment="1">
      <alignment vertical="center"/>
    </xf>
    <xf numFmtId="0" fontId="64" fillId="0" borderId="0" xfId="0" applyFont="1" applyFill="1"/>
    <xf numFmtId="0" fontId="73" fillId="30" borderId="0" xfId="0" applyFont="1" applyFill="1"/>
    <xf numFmtId="0" fontId="74" fillId="30" borderId="0" xfId="0" applyFont="1" applyFill="1"/>
    <xf numFmtId="0" fontId="75" fillId="8" borderId="0" xfId="0" applyFont="1" applyFill="1"/>
    <xf numFmtId="0" fontId="75" fillId="8" borderId="10" xfId="0" applyFont="1" applyFill="1" applyBorder="1"/>
    <xf numFmtId="0" fontId="75" fillId="8" borderId="0" xfId="0" applyFont="1" applyFill="1" applyAlignment="1">
      <alignment horizontal="left" indent="1"/>
    </xf>
    <xf numFmtId="164" fontId="75" fillId="8" borderId="0" xfId="1" applyFont="1" applyFill="1"/>
    <xf numFmtId="0" fontId="75" fillId="9" borderId="0" xfId="0" applyFont="1" applyFill="1"/>
    <xf numFmtId="0" fontId="75" fillId="8" borderId="0" xfId="0" applyFont="1" applyFill="1" applyAlignment="1">
      <alignment horizontal="center"/>
    </xf>
    <xf numFmtId="0" fontId="50" fillId="8" borderId="0" xfId="0" applyFont="1" applyFill="1"/>
    <xf numFmtId="0" fontId="50" fillId="30" borderId="0" xfId="0" applyFont="1" applyFill="1" applyProtection="1"/>
    <xf numFmtId="0" fontId="50" fillId="30" borderId="0" xfId="0" applyFont="1" applyFill="1"/>
    <xf numFmtId="0" fontId="50" fillId="30" borderId="14" xfId="0" applyFont="1" applyFill="1" applyBorder="1" applyAlignment="1" applyProtection="1">
      <alignment horizontal="center"/>
    </xf>
    <xf numFmtId="0" fontId="50" fillId="30" borderId="15" xfId="0" applyFont="1" applyFill="1" applyBorder="1" applyAlignment="1" applyProtection="1">
      <alignment horizontal="center"/>
    </xf>
    <xf numFmtId="0" fontId="50" fillId="30" borderId="16" xfId="0" applyFont="1" applyFill="1" applyBorder="1" applyAlignment="1" applyProtection="1">
      <alignment horizontal="center"/>
    </xf>
    <xf numFmtId="0" fontId="50" fillId="30" borderId="0" xfId="0" applyFont="1" applyFill="1" applyAlignment="1" applyProtection="1">
      <alignment horizontal="right"/>
    </xf>
    <xf numFmtId="0" fontId="50" fillId="30" borderId="14" xfId="0" applyFont="1" applyFill="1" applyBorder="1" applyProtection="1"/>
    <xf numFmtId="0" fontId="51" fillId="30" borderId="16" xfId="0" applyFont="1" applyFill="1" applyBorder="1" applyAlignment="1" applyProtection="1">
      <alignment horizontal="center"/>
    </xf>
    <xf numFmtId="167" fontId="50" fillId="30" borderId="14" xfId="0" applyNumberFormat="1" applyFont="1" applyFill="1" applyBorder="1" applyProtection="1"/>
    <xf numFmtId="2" fontId="50" fillId="30" borderId="14" xfId="0" applyNumberFormat="1" applyFont="1" applyFill="1" applyBorder="1" applyAlignment="1" applyProtection="1">
      <alignment horizontal="center"/>
    </xf>
    <xf numFmtId="0" fontId="53" fillId="30" borderId="0" xfId="0" applyFont="1" applyFill="1" applyProtection="1"/>
    <xf numFmtId="0" fontId="51" fillId="30" borderId="14" xfId="0" applyFont="1" applyFill="1" applyBorder="1" applyAlignment="1" applyProtection="1">
      <alignment horizontal="center"/>
    </xf>
    <xf numFmtId="0" fontId="52" fillId="30" borderId="14" xfId="0" applyFont="1" applyFill="1" applyBorder="1" applyAlignment="1" applyProtection="1">
      <alignment horizontal="center"/>
    </xf>
    <xf numFmtId="0" fontId="51" fillId="30" borderId="17" xfId="0" applyFont="1" applyFill="1" applyBorder="1" applyAlignment="1" applyProtection="1">
      <alignment horizontal="center"/>
    </xf>
    <xf numFmtId="0" fontId="51" fillId="30" borderId="18" xfId="0" applyFont="1" applyFill="1" applyBorder="1" applyAlignment="1" applyProtection="1">
      <alignment horizontal="center"/>
    </xf>
    <xf numFmtId="0" fontId="50" fillId="30" borderId="19" xfId="0" applyFont="1" applyFill="1" applyBorder="1" applyProtection="1"/>
    <xf numFmtId="0" fontId="50" fillId="30" borderId="0" xfId="0" applyFont="1" applyFill="1" applyBorder="1" applyAlignment="1" applyProtection="1">
      <alignment horizontal="center"/>
    </xf>
    <xf numFmtId="0" fontId="50" fillId="30" borderId="0" xfId="0" applyFont="1" applyFill="1" applyBorder="1" applyProtection="1"/>
    <xf numFmtId="0" fontId="50" fillId="30" borderId="17" xfId="0" applyFont="1" applyFill="1" applyBorder="1" applyProtection="1"/>
    <xf numFmtId="2" fontId="52" fillId="30" borderId="14" xfId="0" applyNumberFormat="1" applyFont="1" applyFill="1" applyBorder="1" applyAlignment="1" applyProtection="1">
      <alignment horizontal="center"/>
    </xf>
    <xf numFmtId="0" fontId="52" fillId="30" borderId="14" xfId="0" applyFont="1" applyFill="1" applyBorder="1" applyProtection="1"/>
    <xf numFmtId="2" fontId="51" fillId="30" borderId="17" xfId="0" applyNumberFormat="1" applyFont="1" applyFill="1" applyBorder="1" applyAlignment="1" applyProtection="1">
      <alignment horizontal="center"/>
    </xf>
    <xf numFmtId="2" fontId="51" fillId="30" borderId="16" xfId="0" applyNumberFormat="1" applyFont="1" applyFill="1" applyBorder="1" applyAlignment="1" applyProtection="1">
      <alignment horizontal="center"/>
    </xf>
    <xf numFmtId="10" fontId="51" fillId="30" borderId="17" xfId="0" applyNumberFormat="1" applyFont="1" applyFill="1" applyBorder="1" applyAlignment="1" applyProtection="1">
      <alignment horizontal="center"/>
    </xf>
    <xf numFmtId="0" fontId="51" fillId="30" borderId="20" xfId="0" applyFont="1" applyFill="1" applyBorder="1" applyAlignment="1" applyProtection="1">
      <alignment horizontal="center"/>
    </xf>
    <xf numFmtId="2" fontId="51" fillId="30" borderId="14" xfId="0" applyNumberFormat="1" applyFont="1" applyFill="1" applyBorder="1" applyAlignment="1" applyProtection="1">
      <alignment horizontal="center"/>
    </xf>
    <xf numFmtId="0" fontId="52" fillId="30" borderId="17" xfId="0" applyFont="1" applyFill="1" applyBorder="1" applyAlignment="1" applyProtection="1">
      <alignment horizontal="center"/>
    </xf>
    <xf numFmtId="0" fontId="50" fillId="30" borderId="14" xfId="0" applyFont="1" applyFill="1" applyBorder="1" applyAlignment="1" applyProtection="1">
      <alignment horizontal="center" vertical="center"/>
    </xf>
    <xf numFmtId="0" fontId="50" fillId="30" borderId="21" xfId="0" applyFont="1" applyFill="1" applyBorder="1" applyProtection="1"/>
    <xf numFmtId="2" fontId="50" fillId="30" borderId="14" xfId="0" applyNumberFormat="1" applyFont="1" applyFill="1" applyBorder="1" applyAlignment="1" applyProtection="1">
      <alignment horizontal="center" vertical="center"/>
    </xf>
    <xf numFmtId="2" fontId="50" fillId="30" borderId="21" xfId="0" applyNumberFormat="1" applyFont="1" applyFill="1" applyBorder="1" applyAlignment="1" applyProtection="1">
      <alignment horizontal="center" vertical="center"/>
    </xf>
    <xf numFmtId="1" fontId="50" fillId="30" borderId="0" xfId="0" applyNumberFormat="1" applyFont="1" applyFill="1" applyProtection="1"/>
    <xf numFmtId="1" fontId="50" fillId="30" borderId="14" xfId="0" applyNumberFormat="1" applyFont="1" applyFill="1" applyBorder="1" applyAlignment="1" applyProtection="1">
      <alignment horizontal="center" vertical="center"/>
    </xf>
    <xf numFmtId="0" fontId="63" fillId="30" borderId="0" xfId="0" applyFont="1" applyFill="1"/>
    <xf numFmtId="0" fontId="63" fillId="30" borderId="0" xfId="0" applyFont="1" applyFill="1" applyAlignment="1">
      <alignment vertical="center"/>
    </xf>
    <xf numFmtId="0" fontId="0" fillId="30" borderId="0" xfId="0" applyFill="1" applyAlignment="1">
      <alignment horizontal="left" indent="1"/>
    </xf>
    <xf numFmtId="0" fontId="0" fillId="30" borderId="0" xfId="0" applyFill="1" applyAlignment="1">
      <alignment horizontal="center"/>
    </xf>
    <xf numFmtId="164" fontId="0" fillId="30" borderId="0" xfId="1" applyFont="1" applyFill="1"/>
    <xf numFmtId="0" fontId="70" fillId="30" borderId="0" xfId="0" applyFont="1" applyFill="1" applyAlignment="1">
      <alignment horizontal="left" indent="1"/>
    </xf>
    <xf numFmtId="0" fontId="49" fillId="8" borderId="12" xfId="0" applyFont="1" applyFill="1" applyBorder="1"/>
    <xf numFmtId="0" fontId="73" fillId="8" borderId="0" xfId="0" applyFont="1" applyFill="1" applyAlignment="1">
      <alignment vertical="center"/>
    </xf>
    <xf numFmtId="0" fontId="73" fillId="8" borderId="0" xfId="0" applyFont="1" applyFill="1"/>
    <xf numFmtId="0" fontId="60" fillId="8" borderId="0" xfId="0" applyFont="1" applyFill="1" applyAlignment="1">
      <alignment horizontal="right" vertical="top"/>
    </xf>
    <xf numFmtId="0" fontId="78" fillId="9" borderId="10" xfId="0" applyFont="1" applyFill="1" applyBorder="1" applyAlignment="1">
      <alignment horizontal="left" vertical="center" indent="1"/>
    </xf>
    <xf numFmtId="0" fontId="78" fillId="8" borderId="0" xfId="0" applyFont="1" applyFill="1"/>
    <xf numFmtId="9" fontId="78" fillId="8" borderId="12" xfId="2" applyFont="1" applyFill="1" applyBorder="1" applyAlignment="1">
      <alignment horizontal="left" vertical="center" indent="1"/>
    </xf>
    <xf numFmtId="0" fontId="78" fillId="9" borderId="12" xfId="0" applyFont="1" applyFill="1" applyBorder="1" applyAlignment="1">
      <alignment horizontal="left" vertical="center" indent="1"/>
    </xf>
    <xf numFmtId="0" fontId="78" fillId="9" borderId="11" xfId="0" applyFont="1" applyFill="1" applyBorder="1" applyAlignment="1">
      <alignment horizontal="left" vertical="center" indent="1"/>
    </xf>
    <xf numFmtId="0" fontId="78" fillId="9" borderId="13" xfId="0" applyFont="1" applyFill="1" applyBorder="1" applyAlignment="1">
      <alignment horizontal="left" vertical="center" indent="1"/>
    </xf>
    <xf numFmtId="0" fontId="79" fillId="30" borderId="12" xfId="0" applyFont="1" applyFill="1" applyBorder="1" applyAlignment="1">
      <alignment horizontal="left" vertical="center" wrapText="1" indent="1"/>
    </xf>
    <xf numFmtId="0" fontId="84" fillId="31" borderId="0" xfId="0" applyFont="1" applyFill="1" applyAlignment="1">
      <alignment horizontal="right"/>
    </xf>
    <xf numFmtId="0" fontId="85" fillId="30" borderId="0" xfId="0" applyFont="1" applyFill="1" applyAlignment="1">
      <alignment horizontal="center"/>
    </xf>
    <xf numFmtId="0" fontId="86" fillId="8" borderId="10" xfId="0" applyFont="1" applyFill="1" applyBorder="1" applyAlignment="1">
      <alignment horizontal="left" vertical="center" indent="3"/>
    </xf>
    <xf numFmtId="0" fontId="79" fillId="31" borderId="0" xfId="0" applyFont="1" applyFill="1" applyAlignment="1">
      <alignment horizontal="right"/>
    </xf>
    <xf numFmtId="0" fontId="92" fillId="31" borderId="0" xfId="0" applyFont="1" applyFill="1" applyAlignment="1">
      <alignment horizontal="right"/>
    </xf>
    <xf numFmtId="0" fontId="93" fillId="8" borderId="0" xfId="0" applyFont="1" applyFill="1"/>
    <xf numFmtId="166" fontId="93" fillId="8" borderId="0" xfId="1" applyNumberFormat="1" applyFont="1" applyFill="1"/>
    <xf numFmtId="0" fontId="94" fillId="8" borderId="10" xfId="0" applyFont="1" applyFill="1" applyBorder="1"/>
    <xf numFmtId="0" fontId="93" fillId="8" borderId="10" xfId="0" applyFont="1" applyFill="1" applyBorder="1"/>
    <xf numFmtId="166" fontId="93" fillId="8" borderId="10" xfId="1" applyNumberFormat="1" applyFont="1" applyFill="1" applyBorder="1"/>
    <xf numFmtId="166" fontId="92" fillId="30" borderId="68" xfId="1" applyNumberFormat="1" applyFont="1" applyFill="1" applyBorder="1" applyAlignment="1">
      <alignment horizontal="left" indent="1"/>
    </xf>
    <xf numFmtId="166" fontId="92" fillId="30" borderId="14" xfId="1" applyNumberFormat="1" applyFont="1" applyFill="1" applyBorder="1" applyAlignment="1">
      <alignment horizontal="left" indent="1"/>
    </xf>
    <xf numFmtId="166" fontId="93" fillId="8" borderId="0" xfId="1" applyNumberFormat="1" applyFont="1" applyFill="1" applyAlignment="1">
      <alignment horizontal="center"/>
    </xf>
    <xf numFmtId="166" fontId="92" fillId="30" borderId="0" xfId="0" applyNumberFormat="1" applyFont="1" applyFill="1" applyAlignment="1">
      <alignment horizontal="right" indent="1"/>
    </xf>
    <xf numFmtId="0" fontId="94" fillId="8" borderId="10" xfId="0" applyFont="1" applyFill="1" applyBorder="1" applyAlignment="1"/>
    <xf numFmtId="0" fontId="93" fillId="8" borderId="10" xfId="0" applyFont="1" applyFill="1" applyBorder="1" applyAlignment="1"/>
    <xf numFmtId="166" fontId="93" fillId="8" borderId="0" xfId="1" applyNumberFormat="1" applyFont="1" applyFill="1" applyAlignment="1">
      <alignment horizontal="left" indent="1"/>
    </xf>
    <xf numFmtId="0" fontId="96" fillId="8" borderId="12" xfId="0" applyFont="1" applyFill="1" applyBorder="1" applyAlignment="1">
      <alignment horizontal="left" vertical="center" indent="1"/>
    </xf>
    <xf numFmtId="9" fontId="87" fillId="8" borderId="10" xfId="2" applyFont="1" applyFill="1" applyBorder="1" applyAlignment="1">
      <alignment horizontal="left" vertical="center" indent="1"/>
    </xf>
    <xf numFmtId="0" fontId="78" fillId="8" borderId="10" xfId="0" applyFont="1" applyFill="1" applyBorder="1" applyAlignment="1">
      <alignment horizontal="left" vertical="center" indent="1"/>
    </xf>
    <xf numFmtId="9" fontId="78" fillId="8" borderId="10" xfId="2" applyFont="1" applyFill="1" applyBorder="1" applyAlignment="1">
      <alignment horizontal="left" vertical="center" indent="1"/>
    </xf>
    <xf numFmtId="0" fontId="93" fillId="8" borderId="0" xfId="0" applyFont="1" applyFill="1" applyAlignment="1">
      <alignment horizontal="left" indent="1"/>
    </xf>
    <xf numFmtId="0" fontId="48" fillId="30" borderId="0" xfId="0" applyFont="1" applyFill="1" applyAlignment="1" applyProtection="1">
      <alignment horizontal="right"/>
    </xf>
    <xf numFmtId="0" fontId="48" fillId="30" borderId="0" xfId="0" applyFont="1" applyFill="1" applyAlignment="1" applyProtection="1">
      <alignment horizontal="left"/>
    </xf>
    <xf numFmtId="0" fontId="55" fillId="30" borderId="0" xfId="0" applyFont="1" applyFill="1" applyAlignment="1" applyProtection="1">
      <alignment horizontal="center"/>
    </xf>
    <xf numFmtId="0" fontId="56" fillId="30" borderId="0" xfId="0" applyFont="1" applyFill="1" applyAlignment="1" applyProtection="1">
      <alignment horizontal="right" vertical="center"/>
    </xf>
    <xf numFmtId="0" fontId="61" fillId="30" borderId="0" xfId="0" applyFont="1" applyFill="1" applyAlignment="1" applyProtection="1">
      <alignment horizontal="right"/>
    </xf>
    <xf numFmtId="0" fontId="12" fillId="8" borderId="0" xfId="0" applyFont="1" applyFill="1" applyProtection="1"/>
    <xf numFmtId="0" fontId="63" fillId="8" borderId="0" xfId="0" applyFont="1" applyFill="1" applyAlignment="1" applyProtection="1">
      <alignment horizontal="right" vertical="top" wrapText="1"/>
    </xf>
    <xf numFmtId="0" fontId="63" fillId="8" borderId="0" xfId="0" applyFont="1" applyFill="1" applyAlignment="1" applyProtection="1">
      <alignment horizontal="left" vertical="top" wrapText="1"/>
    </xf>
    <xf numFmtId="0" fontId="0" fillId="30" borderId="0" xfId="0" applyFill="1" applyProtection="1"/>
    <xf numFmtId="0" fontId="12" fillId="8" borderId="10" xfId="0" applyFont="1" applyFill="1" applyBorder="1" applyProtection="1"/>
    <xf numFmtId="0" fontId="88" fillId="8" borderId="10" xfId="0" applyFont="1" applyFill="1" applyBorder="1" applyAlignment="1" applyProtection="1">
      <alignment horizontal="left" vertical="center" indent="1"/>
    </xf>
    <xf numFmtId="0" fontId="14" fillId="8" borderId="10" xfId="0" applyFont="1" applyFill="1" applyBorder="1" applyAlignment="1" applyProtection="1">
      <alignment horizontal="left" vertical="center" indent="1"/>
    </xf>
    <xf numFmtId="0" fontId="98" fillId="30" borderId="0" xfId="0" applyFont="1" applyFill="1" applyProtection="1"/>
    <xf numFmtId="10" fontId="14" fillId="8" borderId="10" xfId="2" applyNumberFormat="1" applyFont="1" applyFill="1" applyBorder="1" applyAlignment="1" applyProtection="1">
      <alignment horizontal="left" vertical="center" indent="1"/>
    </xf>
    <xf numFmtId="0" fontId="99" fillId="30" borderId="0" xfId="0" applyFont="1" applyFill="1" applyProtection="1"/>
    <xf numFmtId="0" fontId="15" fillId="8" borderId="0" xfId="0" applyFont="1" applyFill="1" applyProtection="1"/>
    <xf numFmtId="0" fontId="89" fillId="8" borderId="0" xfId="0" applyFont="1" applyFill="1" applyProtection="1"/>
    <xf numFmtId="0" fontId="15" fillId="8" borderId="0" xfId="0" applyFont="1" applyFill="1" applyAlignment="1" applyProtection="1">
      <alignment horizontal="right" vertical="center" indent="1"/>
    </xf>
    <xf numFmtId="0" fontId="89" fillId="8" borderId="0" xfId="0" applyFont="1" applyFill="1" applyAlignment="1" applyProtection="1">
      <alignment horizontal="left" vertical="center" indent="1"/>
    </xf>
    <xf numFmtId="0" fontId="89" fillId="8" borderId="0" xfId="0" applyFont="1" applyFill="1" applyAlignment="1" applyProtection="1">
      <alignment horizontal="right" vertical="center" indent="1"/>
    </xf>
    <xf numFmtId="166" fontId="90" fillId="30" borderId="0" xfId="1" applyNumberFormat="1" applyFont="1" applyFill="1" applyAlignment="1" applyProtection="1">
      <alignment horizontal="right" vertical="center" indent="1"/>
    </xf>
    <xf numFmtId="0" fontId="98" fillId="30" borderId="0" xfId="0" applyFont="1" applyFill="1" applyAlignment="1" applyProtection="1">
      <alignment horizontal="right" vertical="center" indent="1"/>
    </xf>
    <xf numFmtId="0" fontId="0" fillId="30" borderId="0" xfId="0" applyFill="1" applyAlignment="1" applyProtection="1">
      <alignment horizontal="right" vertical="center" indent="1"/>
    </xf>
    <xf numFmtId="0" fontId="89" fillId="8" borderId="0" xfId="0" applyFont="1" applyFill="1" applyAlignment="1" applyProtection="1">
      <alignment horizontal="right"/>
    </xf>
    <xf numFmtId="0" fontId="49" fillId="8" borderId="0" xfId="0" applyFont="1" applyFill="1" applyProtection="1"/>
    <xf numFmtId="0" fontId="48" fillId="8" borderId="0" xfId="0" applyFont="1" applyFill="1" applyProtection="1"/>
    <xf numFmtId="0" fontId="57" fillId="8" borderId="0" xfId="0" applyFont="1" applyFill="1" applyAlignment="1" applyProtection="1">
      <alignment horizontal="left" vertical="center" indent="1"/>
    </xf>
    <xf numFmtId="0" fontId="16" fillId="30" borderId="0" xfId="0" applyFont="1" applyFill="1" applyProtection="1"/>
    <xf numFmtId="0" fontId="91" fillId="31" borderId="0" xfId="0" applyFont="1" applyFill="1" applyAlignment="1" applyProtection="1">
      <alignment horizontal="right"/>
    </xf>
    <xf numFmtId="9" fontId="97" fillId="30" borderId="12" xfId="33" applyNumberFormat="1" applyFont="1" applyFill="1" applyBorder="1" applyAlignment="1" applyProtection="1">
      <alignment horizontal="center" vertical="center"/>
      <protection locked="0"/>
    </xf>
    <xf numFmtId="0" fontId="75" fillId="30" borderId="0" xfId="0" applyFont="1" applyFill="1" applyProtection="1"/>
    <xf numFmtId="0" fontId="77" fillId="30" borderId="0" xfId="0" applyFont="1" applyFill="1" applyAlignment="1" applyProtection="1">
      <alignment horizontal="center" vertical="center"/>
    </xf>
    <xf numFmtId="166" fontId="75" fillId="30" borderId="0" xfId="1" applyNumberFormat="1" applyFont="1" applyFill="1" applyProtection="1"/>
    <xf numFmtId="0" fontId="71" fillId="30" borderId="0" xfId="0" applyFont="1" applyFill="1" applyProtection="1"/>
    <xf numFmtId="0" fontId="76" fillId="8" borderId="0" xfId="0" applyFont="1" applyFill="1" applyProtection="1"/>
    <xf numFmtId="0" fontId="76" fillId="8" borderId="0" xfId="0" applyFont="1" applyFill="1" applyAlignment="1" applyProtection="1">
      <alignment horizontal="left" indent="1"/>
    </xf>
    <xf numFmtId="166" fontId="76" fillId="8" borderId="0" xfId="1" applyNumberFormat="1" applyFont="1" applyFill="1" applyProtection="1"/>
    <xf numFmtId="166" fontId="76" fillId="8" borderId="0" xfId="0" applyNumberFormat="1" applyFont="1" applyFill="1" applyProtection="1"/>
    <xf numFmtId="0" fontId="76" fillId="8" borderId="10" xfId="0" applyFont="1" applyFill="1" applyBorder="1" applyProtection="1"/>
    <xf numFmtId="0" fontId="76" fillId="8" borderId="10" xfId="0" applyFont="1" applyFill="1" applyBorder="1" applyAlignment="1" applyProtection="1">
      <alignment vertical="center"/>
    </xf>
    <xf numFmtId="166" fontId="81" fillId="30" borderId="10" xfId="0" applyNumberFormat="1" applyFont="1" applyFill="1" applyBorder="1" applyAlignment="1" applyProtection="1">
      <alignment vertical="center"/>
    </xf>
    <xf numFmtId="0" fontId="72" fillId="30" borderId="0" xfId="0" applyFont="1" applyFill="1" applyBorder="1" applyProtection="1"/>
    <xf numFmtId="164" fontId="76" fillId="8" borderId="0" xfId="1" applyFont="1" applyFill="1" applyProtection="1"/>
    <xf numFmtId="166" fontId="83" fillId="30" borderId="10" xfId="0" applyNumberFormat="1" applyFont="1" applyFill="1" applyBorder="1" applyAlignment="1" applyProtection="1">
      <alignment vertical="center"/>
    </xf>
    <xf numFmtId="0" fontId="71" fillId="30" borderId="0" xfId="0" applyFont="1" applyFill="1" applyAlignment="1" applyProtection="1"/>
    <xf numFmtId="166" fontId="76" fillId="8" borderId="0" xfId="1" applyNumberFormat="1" applyFont="1" applyFill="1" applyProtection="1">
      <protection locked="0"/>
    </xf>
    <xf numFmtId="0" fontId="76" fillId="8" borderId="0" xfId="0" applyFont="1" applyFill="1" applyAlignment="1" applyProtection="1">
      <alignment horizontal="center"/>
      <protection locked="0"/>
    </xf>
    <xf numFmtId="166" fontId="93" fillId="9" borderId="0" xfId="0" applyNumberFormat="1" applyFont="1" applyFill="1" applyAlignment="1" applyProtection="1">
      <alignment horizontal="right" indent="1"/>
      <protection locked="0"/>
    </xf>
    <xf numFmtId="0" fontId="0" fillId="32" borderId="0" xfId="0" applyFill="1" applyProtection="1"/>
    <xf numFmtId="0" fontId="102" fillId="33" borderId="0" xfId="0" applyFont="1" applyFill="1" applyProtection="1"/>
    <xf numFmtId="170" fontId="101" fillId="34" borderId="14" xfId="0" applyNumberFormat="1" applyFont="1" applyFill="1" applyBorder="1" applyProtection="1">
      <protection locked="0"/>
    </xf>
    <xf numFmtId="170" fontId="64" fillId="30" borderId="14" xfId="0" applyNumberFormat="1" applyFont="1" applyFill="1" applyBorder="1" applyProtection="1"/>
    <xf numFmtId="170" fontId="101" fillId="34" borderId="14" xfId="0" applyNumberFormat="1" applyFont="1" applyFill="1" applyBorder="1" applyProtection="1"/>
    <xf numFmtId="170" fontId="102" fillId="33" borderId="0" xfId="0" applyNumberFormat="1" applyFont="1" applyFill="1" applyProtection="1"/>
    <xf numFmtId="170" fontId="100" fillId="32" borderId="0" xfId="0" applyNumberFormat="1" applyFont="1" applyFill="1" applyProtection="1"/>
    <xf numFmtId="0" fontId="0" fillId="32" borderId="0" xfId="0" applyFill="1"/>
    <xf numFmtId="170" fontId="101" fillId="32" borderId="14" xfId="0" applyNumberFormat="1" applyFont="1" applyFill="1" applyBorder="1" applyProtection="1"/>
    <xf numFmtId="0" fontId="102" fillId="30" borderId="14" xfId="0" applyFont="1" applyFill="1" applyBorder="1" applyProtection="1"/>
    <xf numFmtId="0" fontId="64" fillId="30" borderId="14" xfId="0" applyFont="1" applyFill="1" applyBorder="1" applyProtection="1"/>
    <xf numFmtId="0" fontId="64" fillId="30" borderId="14" xfId="0" applyFont="1" applyFill="1" applyBorder="1"/>
    <xf numFmtId="0" fontId="64" fillId="36" borderId="19" xfId="0" applyFont="1" applyFill="1" applyBorder="1" applyProtection="1"/>
    <xf numFmtId="167" fontId="64" fillId="36" borderId="14" xfId="0" applyNumberFormat="1" applyFont="1" applyFill="1" applyBorder="1" applyProtection="1"/>
    <xf numFmtId="0" fontId="64" fillId="36" borderId="14" xfId="0" applyFont="1" applyFill="1" applyBorder="1" applyProtection="1"/>
    <xf numFmtId="170" fontId="64" fillId="36" borderId="14" xfId="0" applyNumberFormat="1" applyFont="1" applyFill="1" applyBorder="1" applyProtection="1"/>
    <xf numFmtId="170" fontId="64" fillId="37" borderId="14" xfId="0" applyNumberFormat="1" applyFont="1" applyFill="1" applyBorder="1" applyProtection="1"/>
    <xf numFmtId="170" fontId="101" fillId="38" borderId="14" xfId="0" applyNumberFormat="1" applyFont="1" applyFill="1" applyBorder="1" applyProtection="1"/>
    <xf numFmtId="170" fontId="100" fillId="5" borderId="14" xfId="0" applyNumberFormat="1" applyFont="1" applyFill="1" applyBorder="1" applyProtection="1"/>
    <xf numFmtId="9" fontId="101" fillId="39" borderId="14" xfId="0" applyNumberFormat="1" applyFont="1" applyFill="1" applyBorder="1" applyProtection="1"/>
    <xf numFmtId="170" fontId="101" fillId="40" borderId="14" xfId="0" applyNumberFormat="1" applyFont="1" applyFill="1" applyBorder="1" applyProtection="1"/>
    <xf numFmtId="170" fontId="101" fillId="40" borderId="14" xfId="0" applyNumberFormat="1" applyFont="1" applyFill="1" applyBorder="1"/>
    <xf numFmtId="170" fontId="101" fillId="30" borderId="14" xfId="0" applyNumberFormat="1" applyFont="1" applyFill="1" applyBorder="1"/>
    <xf numFmtId="9" fontId="101" fillId="30" borderId="14" xfId="0" applyNumberFormat="1" applyFont="1" applyFill="1" applyBorder="1"/>
    <xf numFmtId="1" fontId="0" fillId="36" borderId="14" xfId="0" applyNumberFormat="1" applyFont="1" applyFill="1" applyBorder="1" applyProtection="1"/>
    <xf numFmtId="170" fontId="0" fillId="36" borderId="14" xfId="0" applyNumberFormat="1" applyFill="1" applyBorder="1"/>
    <xf numFmtId="170" fontId="104" fillId="8" borderId="14" xfId="0" applyNumberFormat="1" applyFont="1" applyFill="1" applyBorder="1" applyProtection="1"/>
    <xf numFmtId="0" fontId="105" fillId="30" borderId="0" xfId="0" applyFont="1" applyFill="1" applyProtection="1"/>
    <xf numFmtId="0" fontId="106" fillId="30" borderId="0" xfId="0" applyFont="1" applyFill="1"/>
    <xf numFmtId="170" fontId="101" fillId="42" borderId="14" xfId="0" applyNumberFormat="1" applyFont="1" applyFill="1" applyBorder="1" applyProtection="1"/>
    <xf numFmtId="0" fontId="64" fillId="36" borderId="14" xfId="0" applyFont="1" applyFill="1" applyBorder="1"/>
    <xf numFmtId="0" fontId="64" fillId="31" borderId="0" xfId="0" applyFont="1" applyFill="1"/>
    <xf numFmtId="170" fontId="103" fillId="30" borderId="0" xfId="0" applyNumberFormat="1" applyFont="1" applyFill="1" applyProtection="1"/>
    <xf numFmtId="0" fontId="107" fillId="30" borderId="0" xfId="0" applyFont="1" applyFill="1" applyAlignment="1">
      <alignment horizontal="center"/>
    </xf>
    <xf numFmtId="0" fontId="107" fillId="30" borderId="0" xfId="0" applyFont="1" applyFill="1" applyAlignment="1" applyProtection="1">
      <alignment horizontal="center"/>
    </xf>
    <xf numFmtId="0" fontId="103" fillId="31" borderId="0" xfId="0" applyFont="1" applyFill="1"/>
    <xf numFmtId="0" fontId="107" fillId="31" borderId="0" xfId="0" applyFont="1" applyFill="1" applyAlignment="1">
      <alignment horizontal="center"/>
    </xf>
    <xf numFmtId="0" fontId="108" fillId="31" borderId="0" xfId="0" applyFont="1" applyFill="1" applyAlignment="1">
      <alignment horizontal="center"/>
    </xf>
    <xf numFmtId="0" fontId="109" fillId="32" borderId="0" xfId="0" applyFont="1" applyFill="1" applyProtection="1"/>
    <xf numFmtId="0" fontId="63" fillId="32" borderId="0" xfId="0" applyFont="1" applyFill="1" applyProtection="1"/>
    <xf numFmtId="0" fontId="104" fillId="33" borderId="0" xfId="0" applyFont="1" applyFill="1" applyProtection="1"/>
    <xf numFmtId="170" fontId="110" fillId="32" borderId="0" xfId="0" applyNumberFormat="1" applyFont="1" applyFill="1" applyProtection="1"/>
    <xf numFmtId="170" fontId="111" fillId="33" borderId="0" xfId="0" applyNumberFormat="1" applyFont="1" applyFill="1" applyAlignment="1" applyProtection="1">
      <alignment horizontal="center"/>
    </xf>
    <xf numFmtId="0" fontId="111" fillId="32" borderId="0" xfId="0" applyFont="1" applyFill="1" applyAlignment="1" applyProtection="1">
      <alignment horizontal="center"/>
    </xf>
    <xf numFmtId="0" fontId="110" fillId="32" borderId="0" xfId="0" applyFont="1" applyFill="1" applyProtection="1"/>
    <xf numFmtId="170" fontId="111" fillId="32" borderId="0" xfId="0" applyNumberFormat="1" applyFont="1" applyFill="1" applyAlignment="1" applyProtection="1">
      <alignment horizontal="center"/>
    </xf>
    <xf numFmtId="0" fontId="112" fillId="33" borderId="0" xfId="0" applyFont="1" applyFill="1" applyAlignment="1" applyProtection="1">
      <alignment horizontal="center"/>
    </xf>
    <xf numFmtId="9" fontId="111" fillId="32" borderId="0" xfId="0" applyNumberFormat="1" applyFont="1" applyFill="1" applyAlignment="1" applyProtection="1">
      <alignment horizontal="center"/>
    </xf>
    <xf numFmtId="0" fontId="112" fillId="32" borderId="0" xfId="0" applyFont="1" applyFill="1" applyAlignment="1" applyProtection="1">
      <alignment horizontal="center"/>
    </xf>
    <xf numFmtId="0" fontId="101" fillId="42" borderId="14" xfId="0" applyFont="1" applyFill="1" applyBorder="1"/>
    <xf numFmtId="170" fontId="101" fillId="42" borderId="14" xfId="0" applyNumberFormat="1" applyFont="1" applyFill="1" applyBorder="1" applyProtection="1">
      <protection locked="0"/>
    </xf>
    <xf numFmtId="170" fontId="104" fillId="41" borderId="14" xfId="0" applyNumberFormat="1" applyFont="1" applyFill="1" applyBorder="1"/>
    <xf numFmtId="0" fontId="107" fillId="30" borderId="0" xfId="0" applyFont="1" applyFill="1" applyBorder="1" applyAlignment="1" applyProtection="1">
      <alignment horizontal="center"/>
    </xf>
    <xf numFmtId="0" fontId="107" fillId="30" borderId="71" xfId="0" applyFont="1" applyFill="1" applyBorder="1" applyAlignment="1" applyProtection="1">
      <alignment horizontal="center"/>
    </xf>
    <xf numFmtId="0" fontId="107" fillId="30" borderId="72" xfId="0" applyFont="1" applyFill="1" applyBorder="1" applyAlignment="1" applyProtection="1">
      <alignment horizontal="center"/>
    </xf>
    <xf numFmtId="0" fontId="107" fillId="30" borderId="73" xfId="0" applyFont="1" applyFill="1" applyBorder="1" applyAlignment="1" applyProtection="1">
      <alignment horizontal="center"/>
    </xf>
    <xf numFmtId="0" fontId="107" fillId="30" borderId="74" xfId="0" applyFont="1" applyFill="1" applyBorder="1" applyAlignment="1" applyProtection="1">
      <alignment horizontal="center"/>
    </xf>
    <xf numFmtId="0" fontId="103" fillId="31" borderId="69" xfId="0" applyFont="1" applyFill="1" applyBorder="1"/>
    <xf numFmtId="0" fontId="107" fillId="30" borderId="15" xfId="0" applyFont="1" applyFill="1" applyBorder="1" applyAlignment="1" applyProtection="1">
      <alignment horizontal="center"/>
    </xf>
    <xf numFmtId="0" fontId="107" fillId="30" borderId="70" xfId="0" applyFont="1" applyFill="1" applyBorder="1" applyAlignment="1">
      <alignment horizontal="center"/>
    </xf>
    <xf numFmtId="0" fontId="107" fillId="30" borderId="53" xfId="0" applyFont="1" applyFill="1" applyBorder="1" applyAlignment="1">
      <alignment horizontal="center"/>
    </xf>
    <xf numFmtId="0" fontId="103" fillId="30" borderId="15" xfId="0" applyFont="1" applyFill="1" applyBorder="1" applyProtection="1"/>
    <xf numFmtId="9" fontId="107" fillId="30" borderId="70" xfId="0" applyNumberFormat="1" applyFont="1" applyFill="1" applyBorder="1" applyAlignment="1" applyProtection="1">
      <alignment horizontal="center"/>
    </xf>
    <xf numFmtId="9" fontId="107" fillId="30" borderId="53" xfId="0" applyNumberFormat="1" applyFont="1" applyFill="1" applyBorder="1" applyAlignment="1" applyProtection="1">
      <alignment horizontal="center"/>
    </xf>
    <xf numFmtId="0" fontId="107" fillId="30" borderId="70" xfId="0" applyFont="1" applyFill="1" applyBorder="1" applyAlignment="1" applyProtection="1">
      <alignment horizontal="center"/>
    </xf>
    <xf numFmtId="0" fontId="107" fillId="30" borderId="53" xfId="0" applyFont="1" applyFill="1" applyBorder="1" applyAlignment="1" applyProtection="1">
      <alignment horizontal="center"/>
    </xf>
    <xf numFmtId="0" fontId="107" fillId="30" borderId="69" xfId="0" applyFont="1" applyFill="1" applyBorder="1" applyAlignment="1" applyProtection="1">
      <alignment horizontal="center"/>
    </xf>
    <xf numFmtId="0" fontId="67" fillId="30" borderId="73" xfId="0" applyFont="1" applyFill="1" applyBorder="1" applyAlignment="1" applyProtection="1">
      <alignment horizontal="center"/>
    </xf>
    <xf numFmtId="0" fontId="103" fillId="30" borderId="69" xfId="0" applyFont="1" applyFill="1" applyBorder="1" applyProtection="1"/>
    <xf numFmtId="170" fontId="107" fillId="30" borderId="69" xfId="0" applyNumberFormat="1" applyFont="1" applyFill="1" applyBorder="1" applyAlignment="1" applyProtection="1">
      <alignment horizontal="center"/>
    </xf>
    <xf numFmtId="0" fontId="107" fillId="30" borderId="73" xfId="0" applyFont="1" applyFill="1" applyBorder="1" applyAlignment="1">
      <alignment horizontal="center"/>
    </xf>
    <xf numFmtId="9" fontId="107" fillId="30" borderId="69" xfId="0" applyNumberFormat="1" applyFont="1" applyFill="1" applyBorder="1" applyAlignment="1" applyProtection="1">
      <alignment horizontal="center"/>
    </xf>
    <xf numFmtId="9" fontId="107" fillId="30" borderId="73" xfId="0" applyNumberFormat="1" applyFont="1" applyFill="1" applyBorder="1" applyAlignment="1" applyProtection="1">
      <alignment horizontal="center"/>
    </xf>
    <xf numFmtId="0" fontId="0" fillId="30" borderId="69" xfId="0" applyFont="1" applyFill="1" applyBorder="1" applyProtection="1"/>
    <xf numFmtId="1" fontId="101" fillId="42" borderId="14" xfId="0" applyNumberFormat="1" applyFont="1" applyFill="1" applyBorder="1" applyProtection="1"/>
    <xf numFmtId="0" fontId="101" fillId="42" borderId="14" xfId="0" applyFont="1" applyFill="1" applyBorder="1" applyProtection="1"/>
    <xf numFmtId="170" fontId="0" fillId="36" borderId="14" xfId="0" applyNumberFormat="1" applyFont="1" applyFill="1" applyBorder="1"/>
    <xf numFmtId="0" fontId="103" fillId="30" borderId="0" xfId="0" applyFont="1" applyFill="1"/>
    <xf numFmtId="9" fontId="107" fillId="31" borderId="69" xfId="0" applyNumberFormat="1" applyFont="1" applyFill="1" applyBorder="1" applyAlignment="1">
      <alignment horizontal="center"/>
    </xf>
    <xf numFmtId="9" fontId="107" fillId="31" borderId="73" xfId="0" applyNumberFormat="1" applyFont="1" applyFill="1" applyBorder="1" applyAlignment="1">
      <alignment horizontal="center"/>
    </xf>
    <xf numFmtId="0" fontId="107" fillId="31" borderId="15" xfId="0" applyFont="1" applyFill="1" applyBorder="1" applyAlignment="1">
      <alignment horizontal="center"/>
    </xf>
    <xf numFmtId="9" fontId="0" fillId="35" borderId="14" xfId="0" applyNumberFormat="1" applyFill="1" applyBorder="1"/>
    <xf numFmtId="167" fontId="88" fillId="8" borderId="10" xfId="2" applyNumberFormat="1" applyFont="1" applyFill="1" applyBorder="1" applyAlignment="1" applyProtection="1">
      <alignment horizontal="left" vertical="center" indent="1"/>
      <protection locked="0"/>
    </xf>
    <xf numFmtId="0" fontId="88" fillId="8" borderId="10" xfId="0" applyFont="1" applyFill="1" applyBorder="1" applyAlignment="1" applyProtection="1">
      <alignment horizontal="left" vertical="center" indent="1"/>
      <protection locked="0"/>
    </xf>
    <xf numFmtId="9" fontId="78" fillId="8" borderId="10" xfId="2" applyFont="1" applyFill="1" applyBorder="1" applyAlignment="1" applyProtection="1">
      <alignment horizontal="left" vertical="center" indent="1"/>
      <protection locked="0"/>
    </xf>
    <xf numFmtId="170" fontId="55" fillId="30" borderId="12" xfId="2" applyNumberFormat="1" applyFont="1" applyFill="1" applyBorder="1" applyAlignment="1">
      <alignment horizontal="left" vertical="center" indent="1"/>
    </xf>
    <xf numFmtId="170" fontId="55" fillId="30" borderId="11" xfId="2" applyNumberFormat="1" applyFont="1" applyFill="1" applyBorder="1" applyAlignment="1">
      <alignment horizontal="left" vertical="center" indent="1"/>
    </xf>
    <xf numFmtId="170" fontId="55" fillId="30" borderId="13" xfId="2" applyNumberFormat="1" applyFont="1" applyFill="1" applyBorder="1" applyAlignment="1">
      <alignment horizontal="left" vertical="center" indent="1"/>
    </xf>
    <xf numFmtId="0" fontId="78" fillId="8" borderId="10" xfId="0" applyFont="1" applyFill="1" applyBorder="1" applyAlignment="1" applyProtection="1">
      <alignment horizontal="left" vertical="center" indent="1"/>
      <protection locked="0"/>
    </xf>
    <xf numFmtId="0" fontId="82" fillId="30" borderId="10" xfId="0" applyFont="1" applyFill="1" applyBorder="1" applyAlignment="1">
      <alignment horizontal="left" vertical="center" indent="1"/>
    </xf>
    <xf numFmtId="0" fontId="87" fillId="8" borderId="10" xfId="0" applyFont="1" applyFill="1" applyBorder="1" applyAlignment="1">
      <alignment horizontal="left" vertical="center" wrapText="1"/>
    </xf>
    <xf numFmtId="0" fontId="78" fillId="8" borderId="10" xfId="2" applyNumberFormat="1" applyFont="1" applyFill="1" applyBorder="1" applyAlignment="1" applyProtection="1">
      <alignment horizontal="left" vertical="center" indent="1"/>
      <protection locked="0"/>
    </xf>
    <xf numFmtId="0" fontId="76" fillId="8" borderId="0" xfId="0" applyFont="1" applyFill="1" applyAlignment="1" applyProtection="1">
      <alignment horizontal="right"/>
      <protection locked="0"/>
    </xf>
    <xf numFmtId="0" fontId="45" fillId="0" borderId="0" xfId="10" applyNumberFormat="1" applyFont="1" applyFill="1" applyAlignment="1">
      <alignment horizontal="left" wrapText="1"/>
    </xf>
    <xf numFmtId="4" fontId="21" fillId="0" borderId="30" xfId="7" applyNumberFormat="1" applyFont="1" applyFill="1" applyBorder="1" applyAlignment="1">
      <alignment horizontal="center" vertical="center"/>
    </xf>
    <xf numFmtId="4" fontId="21" fillId="0" borderId="31" xfId="7" applyNumberFormat="1" applyFont="1" applyFill="1" applyBorder="1" applyAlignment="1">
      <alignment horizontal="center" vertical="center"/>
    </xf>
    <xf numFmtId="4" fontId="21" fillId="0" borderId="32" xfId="7" applyNumberFormat="1" applyFont="1" applyFill="1" applyBorder="1" applyAlignment="1">
      <alignment horizontal="center" vertical="center"/>
    </xf>
    <xf numFmtId="49" fontId="45" fillId="0" borderId="0" xfId="9" applyNumberFormat="1" applyFont="1" applyAlignment="1">
      <alignment horizontal="center"/>
    </xf>
    <xf numFmtId="0" fontId="45" fillId="0" borderId="0" xfId="10" applyNumberFormat="1" applyFont="1" applyFill="1" applyBorder="1" applyAlignment="1">
      <alignment horizontal="left" wrapText="1"/>
    </xf>
    <xf numFmtId="4" fontId="21" fillId="19" borderId="30" xfId="7" applyNumberFormat="1" applyFont="1" applyFill="1" applyBorder="1" applyAlignment="1">
      <alignment horizontal="center" vertical="center"/>
    </xf>
    <xf numFmtId="4" fontId="21" fillId="19" borderId="31" xfId="7" applyNumberFormat="1" applyFont="1" applyFill="1" applyBorder="1" applyAlignment="1">
      <alignment horizontal="center" vertical="center"/>
    </xf>
    <xf numFmtId="4" fontId="21" fillId="19" borderId="32" xfId="7" applyNumberFormat="1" applyFont="1" applyFill="1" applyBorder="1" applyAlignment="1">
      <alignment horizontal="center" vertical="center"/>
    </xf>
    <xf numFmtId="0" fontId="21" fillId="0" borderId="30" xfId="7" applyFont="1" applyFill="1" applyBorder="1" applyAlignment="1">
      <alignment horizontal="center"/>
    </xf>
    <xf numFmtId="0" fontId="21" fillId="0" borderId="31" xfId="7" applyFont="1" applyFill="1" applyBorder="1" applyAlignment="1">
      <alignment horizontal="center"/>
    </xf>
    <xf numFmtId="0" fontId="21" fillId="0" borderId="32" xfId="7" applyFont="1" applyFill="1" applyBorder="1" applyAlignment="1">
      <alignment horizontal="center"/>
    </xf>
    <xf numFmtId="0" fontId="21" fillId="19" borderId="30" xfId="7" applyFont="1" applyFill="1" applyBorder="1" applyAlignment="1">
      <alignment horizontal="center"/>
    </xf>
    <xf numFmtId="0" fontId="21" fillId="19" borderId="31" xfId="7" applyFont="1" applyFill="1" applyBorder="1" applyAlignment="1">
      <alignment horizontal="center"/>
    </xf>
    <xf numFmtId="0" fontId="21" fillId="19" borderId="32" xfId="7" applyFont="1" applyFill="1" applyBorder="1" applyAlignment="1">
      <alignment horizontal="center"/>
    </xf>
    <xf numFmtId="0" fontId="20" fillId="17" borderId="30" xfId="7" applyFont="1" applyFill="1" applyBorder="1" applyAlignment="1">
      <alignment horizontal="center" vertical="center"/>
    </xf>
    <xf numFmtId="0" fontId="20" fillId="17" borderId="31" xfId="7" applyFont="1" applyFill="1" applyBorder="1" applyAlignment="1">
      <alignment horizontal="center" vertical="center"/>
    </xf>
    <xf numFmtId="0" fontId="20" fillId="17" borderId="32" xfId="7" applyFont="1" applyFill="1" applyBorder="1" applyAlignment="1">
      <alignment horizontal="center" vertical="center"/>
    </xf>
    <xf numFmtId="0" fontId="20" fillId="0" borderId="30" xfId="7" applyFont="1" applyFill="1" applyBorder="1" applyAlignment="1">
      <alignment horizontal="center"/>
    </xf>
    <xf numFmtId="0" fontId="20" fillId="0" borderId="31" xfId="7" applyFont="1" applyFill="1" applyBorder="1" applyAlignment="1">
      <alignment horizontal="center"/>
    </xf>
    <xf numFmtId="0" fontId="20" fillId="0" borderId="32" xfId="7" applyFont="1" applyFill="1" applyBorder="1" applyAlignment="1">
      <alignment horizontal="center"/>
    </xf>
    <xf numFmtId="0" fontId="18" fillId="25" borderId="33" xfId="7" applyFont="1" applyFill="1" applyBorder="1" applyAlignment="1" applyProtection="1">
      <alignment horizontal="center" vertical="center"/>
      <protection hidden="1"/>
    </xf>
    <xf numFmtId="0" fontId="18" fillId="25" borderId="34" xfId="7" applyFont="1" applyFill="1" applyBorder="1" applyAlignment="1" applyProtection="1">
      <alignment horizontal="center" vertical="center"/>
      <protection hidden="1"/>
    </xf>
    <xf numFmtId="0" fontId="18" fillId="25" borderId="35" xfId="7" applyFont="1" applyFill="1" applyBorder="1" applyAlignment="1" applyProtection="1">
      <alignment horizontal="center" vertical="center"/>
      <protection hidden="1"/>
    </xf>
    <xf numFmtId="0" fontId="20" fillId="19" borderId="30" xfId="7" applyFont="1" applyFill="1" applyBorder="1" applyAlignment="1">
      <alignment horizontal="center"/>
    </xf>
    <xf numFmtId="0" fontId="20" fillId="19" borderId="31" xfId="7" applyFont="1" applyFill="1" applyBorder="1" applyAlignment="1">
      <alignment horizontal="center"/>
    </xf>
    <xf numFmtId="0" fontId="20" fillId="19" borderId="32" xfId="7" applyFont="1" applyFill="1" applyBorder="1" applyAlignment="1">
      <alignment horizontal="center"/>
    </xf>
    <xf numFmtId="0" fontId="34" fillId="0" borderId="30" xfId="7" applyFont="1" applyFill="1" applyBorder="1" applyAlignment="1">
      <alignment horizontal="center"/>
    </xf>
    <xf numFmtId="0" fontId="34" fillId="0" borderId="31" xfId="7" applyFont="1" applyFill="1" applyBorder="1" applyAlignment="1">
      <alignment horizontal="center"/>
    </xf>
    <xf numFmtId="0" fontId="34" fillId="0" borderId="32" xfId="7" applyFont="1" applyFill="1" applyBorder="1" applyAlignment="1">
      <alignment horizontal="center"/>
    </xf>
    <xf numFmtId="0" fontId="34" fillId="17" borderId="29" xfId="7" applyFont="1" applyFill="1" applyBorder="1" applyAlignment="1">
      <alignment horizontal="center"/>
    </xf>
    <xf numFmtId="0" fontId="35" fillId="17" borderId="29" xfId="7" applyFont="1" applyFill="1" applyBorder="1" applyAlignment="1">
      <alignment horizontal="center" vertical="center"/>
    </xf>
    <xf numFmtId="0" fontId="35" fillId="13" borderId="29" xfId="7" applyFont="1" applyFill="1" applyBorder="1" applyAlignment="1">
      <alignment horizontal="center" vertical="center"/>
    </xf>
    <xf numFmtId="49" fontId="18" fillId="17" borderId="0" xfId="9" applyNumberFormat="1" applyFont="1" applyFill="1" applyAlignment="1">
      <alignment horizontal="center" vertical="center"/>
    </xf>
    <xf numFmtId="4" fontId="21" fillId="19" borderId="30" xfId="11" applyNumberFormat="1" applyFont="1" applyFill="1" applyBorder="1" applyAlignment="1">
      <alignment horizontal="center" vertical="center"/>
    </xf>
    <xf numFmtId="4" fontId="21" fillId="19" borderId="31" xfId="11" applyNumberFormat="1" applyFont="1" applyFill="1" applyBorder="1" applyAlignment="1">
      <alignment horizontal="center" vertical="center"/>
    </xf>
    <xf numFmtId="4" fontId="21" fillId="19" borderId="32" xfId="11" applyNumberFormat="1" applyFont="1" applyFill="1" applyBorder="1" applyAlignment="1">
      <alignment horizontal="center" vertical="center"/>
    </xf>
    <xf numFmtId="0" fontId="21" fillId="0" borderId="30" xfId="11" applyFont="1" applyFill="1" applyBorder="1" applyAlignment="1">
      <alignment horizontal="center"/>
    </xf>
    <xf numFmtId="0" fontId="21" fillId="0" borderId="31" xfId="11" applyFont="1" applyFill="1" applyBorder="1" applyAlignment="1">
      <alignment horizontal="center"/>
    </xf>
    <xf numFmtId="0" fontId="21" fillId="0" borderId="32" xfId="11" applyFont="1" applyFill="1" applyBorder="1" applyAlignment="1">
      <alignment horizontal="center"/>
    </xf>
    <xf numFmtId="4" fontId="21" fillId="0" borderId="30" xfId="11" applyNumberFormat="1" applyFont="1" applyFill="1" applyBorder="1" applyAlignment="1">
      <alignment horizontal="center" vertical="center"/>
    </xf>
    <xf numFmtId="4" fontId="21" fillId="0" borderId="31" xfId="11" applyNumberFormat="1" applyFont="1" applyFill="1" applyBorder="1" applyAlignment="1">
      <alignment horizontal="center" vertical="center"/>
    </xf>
    <xf numFmtId="4" fontId="21" fillId="0" borderId="32" xfId="11" applyNumberFormat="1" applyFont="1" applyFill="1" applyBorder="1" applyAlignment="1">
      <alignment horizontal="center" vertical="center"/>
    </xf>
    <xf numFmtId="0" fontId="21" fillId="19" borderId="30" xfId="11" applyFont="1" applyFill="1" applyBorder="1" applyAlignment="1">
      <alignment horizontal="center"/>
    </xf>
    <xf numFmtId="0" fontId="21" fillId="19" borderId="31" xfId="11" applyFont="1" applyFill="1" applyBorder="1" applyAlignment="1">
      <alignment horizontal="center"/>
    </xf>
    <xf numFmtId="0" fontId="21" fillId="19" borderId="32" xfId="11" applyFont="1" applyFill="1" applyBorder="1" applyAlignment="1">
      <alignment horizontal="center"/>
    </xf>
    <xf numFmtId="0" fontId="20" fillId="17" borderId="30" xfId="11" applyFont="1" applyFill="1" applyBorder="1" applyAlignment="1">
      <alignment horizontal="center" vertical="center"/>
    </xf>
    <xf numFmtId="0" fontId="20" fillId="17" borderId="31" xfId="11" applyFont="1" applyFill="1" applyBorder="1" applyAlignment="1">
      <alignment horizontal="center" vertical="center"/>
    </xf>
    <xf numFmtId="0" fontId="20" fillId="17" borderId="32" xfId="11" applyFont="1" applyFill="1" applyBorder="1" applyAlignment="1">
      <alignment horizontal="center" vertical="center"/>
    </xf>
    <xf numFmtId="0" fontId="20" fillId="0" borderId="30" xfId="11" applyFont="1" applyFill="1" applyBorder="1" applyAlignment="1">
      <alignment horizontal="center"/>
    </xf>
    <xf numFmtId="0" fontId="20" fillId="0" borderId="31" xfId="11" applyFont="1" applyFill="1" applyBorder="1" applyAlignment="1">
      <alignment horizontal="center"/>
    </xf>
    <xf numFmtId="0" fontId="20" fillId="0" borderId="32" xfId="11" applyFont="1" applyFill="1" applyBorder="1" applyAlignment="1">
      <alignment horizontal="center"/>
    </xf>
    <xf numFmtId="0" fontId="33" fillId="19" borderId="17" xfId="11" applyFont="1" applyFill="1" applyBorder="1" applyAlignment="1" applyProtection="1">
      <alignment horizontal="center"/>
      <protection hidden="1"/>
    </xf>
    <xf numFmtId="0" fontId="33" fillId="19" borderId="67" xfId="11" applyFill="1" applyBorder="1" applyAlignment="1" applyProtection="1">
      <alignment horizontal="center"/>
      <protection hidden="1"/>
    </xf>
    <xf numFmtId="0" fontId="33" fillId="19" borderId="19" xfId="11" applyFill="1" applyBorder="1" applyAlignment="1" applyProtection="1">
      <alignment horizontal="center"/>
      <protection hidden="1"/>
    </xf>
    <xf numFmtId="0" fontId="34" fillId="17" borderId="29" xfId="11" applyFont="1" applyFill="1" applyBorder="1" applyAlignment="1">
      <alignment horizontal="center"/>
    </xf>
    <xf numFmtId="0" fontId="35" fillId="17" borderId="29" xfId="11" applyFont="1" applyFill="1" applyBorder="1" applyAlignment="1">
      <alignment horizontal="center" vertical="center"/>
    </xf>
    <xf numFmtId="0" fontId="35" fillId="13" borderId="29" xfId="11" applyFont="1" applyFill="1" applyBorder="1" applyAlignment="1">
      <alignment horizontal="center" vertical="center"/>
    </xf>
    <xf numFmtId="0" fontId="93" fillId="8" borderId="0" xfId="0" applyFont="1" applyFill="1" applyAlignment="1" applyProtection="1">
      <alignment horizontal="left" indent="1"/>
      <protection locked="0"/>
    </xf>
    <xf numFmtId="0" fontId="80" fillId="8" borderId="0" xfId="0" applyFont="1" applyFill="1" applyAlignment="1">
      <alignment horizontal="center" vertical="top"/>
    </xf>
    <xf numFmtId="0" fontId="94" fillId="9" borderId="0" xfId="0" applyFont="1" applyFill="1" applyAlignment="1">
      <alignment horizontal="left" vertical="center" indent="1"/>
    </xf>
    <xf numFmtId="166" fontId="95" fillId="30" borderId="0" xfId="0" applyNumberFormat="1" applyFont="1" applyFill="1" applyAlignment="1">
      <alignment horizontal="right" vertical="center" indent="1"/>
    </xf>
    <xf numFmtId="0" fontId="95" fillId="30" borderId="0" xfId="0" applyFont="1" applyFill="1" applyAlignment="1">
      <alignment horizontal="right" vertical="center" indent="1"/>
    </xf>
  </cellXfs>
  <cellStyles count="43">
    <cellStyle name="Comma" xfId="1" builtinId="3"/>
    <cellStyle name="Comma 3" xfId="10"/>
    <cellStyle name="Comma_Rate Card DDI OB 0113 0.03" xfId="12"/>
    <cellStyle name="Comma_Rate Card TDI OB 0113 0.07" xfId="8"/>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cellStyle name="Normal" xfId="0" builtinId="0"/>
    <cellStyle name="Normal 2" xfId="4"/>
    <cellStyle name="Normal_Copy of Customer_Summary_Template_GB_English_for_Toni_to_update_ss (2)" xfId="6"/>
    <cellStyle name="Normal_Customer_form_blank_SPTv3_1_20090601" xfId="9"/>
    <cellStyle name="Normal_Multi Country Tender Pricing Template - Customer information_1.0_gctdlink no zones" xfId="5"/>
    <cellStyle name="Normal_Rate Card DDI OB 0113 0.03" xfId="11"/>
    <cellStyle name="Normal_Rate Card TDI OB 0113 0.07" xfId="7"/>
    <cellStyle name="Normal_Zoning" xfId="3"/>
    <cellStyle name="Percent" xfId="2" builtinId="5"/>
  </cellStyles>
  <dxfs count="0"/>
  <tableStyles count="0" defaultTableStyle="TableStyleMedium9" defaultPivotStyle="PivotStyleLight16"/>
  <colors>
    <mruColors>
      <color rgb="FF6335B5"/>
      <color rgb="FFFEC309"/>
      <color rgb="FF7C50CC"/>
      <color rgb="FFFF6699"/>
      <color rgb="FFFF33CC"/>
      <color rgb="FFFF99FF"/>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theme" Target="theme/theme1.xml"/><Relationship Id="rId21" Type="http://schemas.openxmlformats.org/officeDocument/2006/relationships/styles" Target="styles.xml"/><Relationship Id="rId22" Type="http://schemas.openxmlformats.org/officeDocument/2006/relationships/sharedStrings" Target="sharedStrings.xml"/><Relationship Id="rId23" Type="http://schemas.openxmlformats.org/officeDocument/2006/relationships/calcChain" Target="calcChain.xml"/><Relationship Id="rId2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externalLink" Target="externalLinks/externalLink1.xml"/><Relationship Id="rId15" Type="http://schemas.openxmlformats.org/officeDocument/2006/relationships/externalLink" Target="externalLinks/externalLink2.xml"/><Relationship Id="rId16" Type="http://schemas.openxmlformats.org/officeDocument/2006/relationships/externalLink" Target="externalLinks/externalLink3.xml"/><Relationship Id="rId17" Type="http://schemas.openxmlformats.org/officeDocument/2006/relationships/externalLink" Target="externalLinks/externalLink4.xml"/><Relationship Id="rId18" Type="http://schemas.openxmlformats.org/officeDocument/2006/relationships/externalLink" Target="externalLinks/externalLink5.xml"/><Relationship Id="rId19" Type="http://schemas.openxmlformats.org/officeDocument/2006/relationships/externalLink" Target="externalLinks/externalLink6.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955675</xdr:colOff>
      <xdr:row>7</xdr:row>
      <xdr:rowOff>139699</xdr:rowOff>
    </xdr:from>
    <xdr:to>
      <xdr:col>2</xdr:col>
      <xdr:colOff>1943100</xdr:colOff>
      <xdr:row>10</xdr:row>
      <xdr:rowOff>0</xdr:rowOff>
    </xdr:to>
    <xdr:sp macro="[0]!computeDuty" textlink="">
      <xdr:nvSpPr>
        <xdr:cNvPr id="2" name="Oval 1">
          <a:extLst>
            <a:ext uri="{FF2B5EF4-FFF2-40B4-BE49-F238E27FC236}">
              <a16:creationId xmlns="" xmlns:a16="http://schemas.microsoft.com/office/drawing/2014/main" id="{EACA5F4F-1E02-4D56-A21D-200AF5B91EDB}"/>
            </a:ext>
          </a:extLst>
        </xdr:cNvPr>
        <xdr:cNvSpPr/>
      </xdr:nvSpPr>
      <xdr:spPr>
        <a:xfrm>
          <a:off x="2822575" y="3467099"/>
          <a:ext cx="987425" cy="914401"/>
        </a:xfrm>
        <a:prstGeom prst="ellipse">
          <a:avLst/>
        </a:prstGeom>
        <a:solidFill>
          <a:srgbClr val="FEC30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PH" sz="2000" b="0">
              <a:solidFill>
                <a:srgbClr val="6335B5"/>
              </a:solidFill>
              <a:latin typeface="Century Gothic" panose="020B0502020202020204" pitchFamily="34" charset="0"/>
            </a:rPr>
            <a:t>GO!</a:t>
          </a:r>
        </a:p>
      </xdr:txBody>
    </xdr:sp>
    <xdr:clientData/>
  </xdr:twoCellAnchor>
  <xdr:twoCellAnchor editAs="oneCell">
    <xdr:from>
      <xdr:col>2</xdr:col>
      <xdr:colOff>1236083</xdr:colOff>
      <xdr:row>11</xdr:row>
      <xdr:rowOff>133350</xdr:rowOff>
    </xdr:from>
    <xdr:to>
      <xdr:col>2</xdr:col>
      <xdr:colOff>1638301</xdr:colOff>
      <xdr:row>12</xdr:row>
      <xdr:rowOff>55836</xdr:rowOff>
    </xdr:to>
    <xdr:pic macro="[0]!refreshPage">
      <xdr:nvPicPr>
        <xdr:cNvPr id="3" name="Picture 2">
          <a:extLst>
            <a:ext uri="{FF2B5EF4-FFF2-40B4-BE49-F238E27FC236}">
              <a16:creationId xmlns="" xmlns:a16="http://schemas.microsoft.com/office/drawing/2014/main" id="{9444E500-C659-4BB6-A5E7-A60BB45C37B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02983" y="4629150"/>
          <a:ext cx="402218" cy="392386"/>
        </a:xfrm>
        <a:prstGeom prst="rect">
          <a:avLst/>
        </a:prstGeom>
      </xdr:spPr>
    </xdr:pic>
    <xdr:clientData/>
  </xdr:twoCellAnchor>
  <xdr:oneCellAnchor>
    <xdr:from>
      <xdr:col>2</xdr:col>
      <xdr:colOff>1051180</xdr:colOff>
      <xdr:row>11</xdr:row>
      <xdr:rowOff>440100</xdr:rowOff>
    </xdr:from>
    <xdr:ext cx="816550" cy="307777"/>
    <xdr:sp macro="[0]!refreshPage" textlink="">
      <xdr:nvSpPr>
        <xdr:cNvPr id="4" name="Rectangle 3">
          <a:extLst>
            <a:ext uri="{FF2B5EF4-FFF2-40B4-BE49-F238E27FC236}">
              <a16:creationId xmlns="" xmlns:a16="http://schemas.microsoft.com/office/drawing/2014/main" id="{F7F20534-1901-4C63-A035-4075940E83B5}"/>
            </a:ext>
          </a:extLst>
        </xdr:cNvPr>
        <xdr:cNvSpPr/>
      </xdr:nvSpPr>
      <xdr:spPr>
        <a:xfrm>
          <a:off x="2918080" y="4935900"/>
          <a:ext cx="816550" cy="307777"/>
        </a:xfrm>
        <a:prstGeom prst="rect">
          <a:avLst/>
        </a:prstGeom>
        <a:noFill/>
        <a:ln>
          <a:noFill/>
        </a:ln>
      </xdr:spPr>
      <xdr:txBody>
        <a:bodyPr wrap="none" lIns="91440" tIns="45720" rIns="91440" bIns="45720">
          <a:spAutoFit/>
        </a:bodyPr>
        <a:lstStyle/>
        <a:p>
          <a:pPr algn="ctr"/>
          <a:r>
            <a:rPr lang="en-US" sz="1400" b="0" cap="none" spc="0">
              <a:ln w="0">
                <a:noFill/>
              </a:ln>
              <a:solidFill>
                <a:schemeClr val="bg1"/>
              </a:solidFill>
              <a:effectLst/>
              <a:latin typeface="Century Gothic" panose="020B0502020202020204" pitchFamily="34" charset="0"/>
            </a:rPr>
            <a:t>Refresh</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5</xdr:col>
      <xdr:colOff>369151</xdr:colOff>
      <xdr:row>2</xdr:row>
      <xdr:rowOff>70456</xdr:rowOff>
    </xdr:from>
    <xdr:to>
      <xdr:col>5</xdr:col>
      <xdr:colOff>645047</xdr:colOff>
      <xdr:row>2</xdr:row>
      <xdr:rowOff>346352</xdr:rowOff>
    </xdr:to>
    <xdr:sp macro="[0]!showDocInfo" textlink="">
      <xdr:nvSpPr>
        <xdr:cNvPr id="2" name="Rectangle 1">
          <a:extLst>
            <a:ext uri="{FF2B5EF4-FFF2-40B4-BE49-F238E27FC236}">
              <a16:creationId xmlns="" xmlns:a16="http://schemas.microsoft.com/office/drawing/2014/main" id="{8B10D353-47A0-46F3-BA83-E5D271ABA4A2}"/>
            </a:ext>
          </a:extLst>
        </xdr:cNvPr>
        <xdr:cNvSpPr/>
      </xdr:nvSpPr>
      <xdr:spPr>
        <a:xfrm>
          <a:off x="7839739" y="937044"/>
          <a:ext cx="275896" cy="275896"/>
        </a:xfrm>
        <a:prstGeom prst="rect">
          <a:avLst/>
        </a:prstGeom>
        <a:solidFill>
          <a:srgbClr val="FEC30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i="1">
              <a:solidFill>
                <a:srgbClr val="6335B5"/>
              </a:solidFill>
              <a:effectLst/>
            </a:rPr>
            <a:t>i</a:t>
          </a:r>
        </a:p>
        <a:p>
          <a:pPr algn="l"/>
          <a:endParaRPr lang="en-PH" sz="1100">
            <a:effectLst/>
          </a:endParaRPr>
        </a:p>
      </xdr:txBody>
    </xdr:sp>
    <xdr:clientData/>
  </xdr:twoCellAnchor>
  <xdr:twoCellAnchor>
    <xdr:from>
      <xdr:col>5</xdr:col>
      <xdr:colOff>391563</xdr:colOff>
      <xdr:row>12</xdr:row>
      <xdr:rowOff>92868</xdr:rowOff>
    </xdr:from>
    <xdr:to>
      <xdr:col>5</xdr:col>
      <xdr:colOff>667459</xdr:colOff>
      <xdr:row>12</xdr:row>
      <xdr:rowOff>368764</xdr:rowOff>
    </xdr:to>
    <xdr:sp macro="[0]!showAvInfo" textlink="">
      <xdr:nvSpPr>
        <xdr:cNvPr id="3" name="Rectangle 2">
          <a:extLst>
            <a:ext uri="{FF2B5EF4-FFF2-40B4-BE49-F238E27FC236}">
              <a16:creationId xmlns="" xmlns:a16="http://schemas.microsoft.com/office/drawing/2014/main" id="{626AAB14-A7F0-42FD-AB44-993119FD8EE8}"/>
            </a:ext>
          </a:extLst>
        </xdr:cNvPr>
        <xdr:cNvSpPr/>
      </xdr:nvSpPr>
      <xdr:spPr>
        <a:xfrm>
          <a:off x="9759681" y="4612574"/>
          <a:ext cx="275896" cy="275896"/>
        </a:xfrm>
        <a:prstGeom prst="rect">
          <a:avLst/>
        </a:prstGeom>
        <a:solidFill>
          <a:srgbClr val="FEC30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i="1">
              <a:solidFill>
                <a:srgbClr val="6335B5"/>
              </a:solidFill>
              <a:effectLst/>
            </a:rPr>
            <a:t>i</a:t>
          </a:r>
        </a:p>
        <a:p>
          <a:pPr algn="l"/>
          <a:endParaRPr lang="en-PH" sz="1100">
            <a:effectLst/>
          </a:endParaRPr>
        </a:p>
      </xdr:txBody>
    </xdr:sp>
    <xdr:clientData/>
  </xdr:twoCellAnchor>
  <xdr:twoCellAnchor>
    <xdr:from>
      <xdr:col>5</xdr:col>
      <xdr:colOff>391563</xdr:colOff>
      <xdr:row>13</xdr:row>
      <xdr:rowOff>92869</xdr:rowOff>
    </xdr:from>
    <xdr:to>
      <xdr:col>5</xdr:col>
      <xdr:colOff>667459</xdr:colOff>
      <xdr:row>13</xdr:row>
      <xdr:rowOff>368765</xdr:rowOff>
    </xdr:to>
    <xdr:sp macro="[0]!showRoadInfo" textlink="">
      <xdr:nvSpPr>
        <xdr:cNvPr id="4" name="Rectangle 3">
          <a:extLst>
            <a:ext uri="{FF2B5EF4-FFF2-40B4-BE49-F238E27FC236}">
              <a16:creationId xmlns="" xmlns:a16="http://schemas.microsoft.com/office/drawing/2014/main" id="{CA7EB106-65DB-47AD-92F6-85D83170FE09}"/>
            </a:ext>
          </a:extLst>
        </xdr:cNvPr>
        <xdr:cNvSpPr/>
      </xdr:nvSpPr>
      <xdr:spPr>
        <a:xfrm>
          <a:off x="9759681" y="5060810"/>
          <a:ext cx="275896" cy="275896"/>
        </a:xfrm>
        <a:prstGeom prst="rect">
          <a:avLst/>
        </a:prstGeom>
        <a:solidFill>
          <a:srgbClr val="FEC30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i="1">
              <a:solidFill>
                <a:srgbClr val="6335B5"/>
              </a:solidFill>
              <a:effectLst/>
            </a:rPr>
            <a:t>i</a:t>
          </a:r>
        </a:p>
        <a:p>
          <a:pPr algn="l"/>
          <a:endParaRPr lang="en-PH" sz="1100">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M/2001%20TRMs/HK%20TRM%20Oct%20200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V/WINDOWS/TEMP/SG/SGTRM9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New%20Filing%20folders/1%20Rates%20and%20Discount%20Policies/1%20Core/2006/GAM/General%20Motors/GMaugsubm.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Kiosk-PC/AppData/Local/Temp/GBLHRWBA139.prg-dc.dhl.com/mjbarry$/New%20Filing%20folders/1%20Rates%20and%20Discount%20Policies/1%20Core/2006/GAM/General%20Motors/GMaugsubm.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Marketing%20&amp;%20Sales%20Support/Pricing%20&amp;%20Planning/Projects/Tariff%202001/Material%20for%20Sales/SG%20TRM%20Sept%20200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Kiosk-PC/Downloads/AMZ_Unlimited_LtdTariff_Calculator_0117_IB%20-%20Copy.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urrent OB Tariff"/>
      <sheetName val="Unit Costs"/>
      <sheetName val="Shipment costs"/>
      <sheetName val="Zones"/>
      <sheetName val="Competitors"/>
      <sheetName val="New OB Tariff"/>
      <sheetName val="Proposed IB Tariff"/>
      <sheetName val="Jumbo"/>
      <sheetName val="Revenue Impact Details"/>
      <sheetName val="New card vs old"/>
      <sheetName val="Full Tariff OB Shipments"/>
      <sheetName val="Full Tariff IB Shipments"/>
      <sheetName val="Matrix"/>
      <sheetName val="Inbound ISRs"/>
      <sheetName val="OB Zone List"/>
      <sheetName val="Weight Break Charg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Current Tariff"/>
      <sheetName val="Current Costs"/>
      <sheetName val="Current Cost Card $"/>
      <sheetName val="Current Margin card %"/>
      <sheetName val="Graph"/>
      <sheetName val="Zones"/>
      <sheetName val="New Tariff"/>
      <sheetName val="New Costs"/>
      <sheetName val="New Cost Card $"/>
      <sheetName val="New Margin card % "/>
      <sheetName val="Competitors"/>
      <sheetName val="New card vs old"/>
      <sheetName val="Contract Rates"/>
      <sheetName val="Contract Rates Schedule"/>
      <sheetName val="Discount"/>
      <sheetName val="New Margin card %"/>
      <sheetName val="Module1"/>
      <sheetName val="Module2"/>
      <sheetName val="Module3"/>
      <sheetName val="Module4"/>
      <sheetName val="Module5"/>
      <sheetName val="Sheet1"/>
      <sheetName val="Sheet2"/>
      <sheetName val="Sheet3"/>
      <sheetName val="Unit Costs"/>
      <sheetName val="Shipment costs"/>
      <sheetName val="Jumbo"/>
      <sheetName val="Rainbo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5">
          <cell r="B5">
            <v>0</v>
          </cell>
          <cell r="E5">
            <v>0</v>
          </cell>
          <cell r="G5">
            <v>3.4482758620689724E-2</v>
          </cell>
          <cell r="I5">
            <v>0</v>
          </cell>
          <cell r="K5">
            <v>-3.4482758620689613E-2</v>
          </cell>
        </row>
        <row r="6">
          <cell r="B6">
            <v>0</v>
          </cell>
          <cell r="E6">
            <v>0</v>
          </cell>
          <cell r="G6">
            <v>2.1505376344086002E-2</v>
          </cell>
          <cell r="I6">
            <v>0</v>
          </cell>
          <cell r="K6">
            <v>-3.2258064516129004E-2</v>
          </cell>
        </row>
        <row r="7">
          <cell r="B7">
            <v>0</v>
          </cell>
          <cell r="E7">
            <v>0</v>
          </cell>
          <cell r="G7">
            <v>0.16814159292035402</v>
          </cell>
          <cell r="I7">
            <v>0.13274336283185839</v>
          </cell>
          <cell r="K7">
            <v>0.10619469026548667</v>
          </cell>
        </row>
        <row r="8">
          <cell r="B8">
            <v>0</v>
          </cell>
          <cell r="E8">
            <v>0</v>
          </cell>
          <cell r="G8">
            <v>0.27067669172932329</v>
          </cell>
          <cell r="I8">
            <v>0.22556390977443619</v>
          </cell>
          <cell r="K8">
            <v>0.19548872180451138</v>
          </cell>
        </row>
        <row r="9">
          <cell r="B9">
            <v>0</v>
          </cell>
          <cell r="E9">
            <v>0</v>
          </cell>
          <cell r="G9">
            <v>0.33986928104575154</v>
          </cell>
          <cell r="I9">
            <v>0.29411764705882359</v>
          </cell>
          <cell r="K9">
            <v>0.26797385620915026</v>
          </cell>
        </row>
        <row r="10">
          <cell r="B10">
            <v>0</v>
          </cell>
          <cell r="E10">
            <v>2.9761904761904656E-2</v>
          </cell>
          <cell r="G10">
            <v>0.43452380952380953</v>
          </cell>
          <cell r="I10">
            <v>0.38690476190476186</v>
          </cell>
          <cell r="K10">
            <v>0.33928571428571419</v>
          </cell>
        </row>
        <row r="12">
          <cell r="A12">
            <v>0.5</v>
          </cell>
          <cell r="B12">
            <v>0</v>
          </cell>
          <cell r="E12">
            <v>0</v>
          </cell>
          <cell r="G12">
            <v>0.10000000000000009</v>
          </cell>
          <cell r="I12">
            <v>0</v>
          </cell>
          <cell r="K12">
            <v>-1.2499999999999956E-2</v>
          </cell>
        </row>
        <row r="13">
          <cell r="A13">
            <v>3</v>
          </cell>
          <cell r="B13">
            <v>0</v>
          </cell>
          <cell r="E13">
            <v>2.6315789473684292E-2</v>
          </cell>
          <cell r="G13">
            <v>0.34736842105263155</v>
          </cell>
          <cell r="I13">
            <v>0.34210526315789469</v>
          </cell>
          <cell r="K13">
            <v>0.23684210526315796</v>
          </cell>
        </row>
        <row r="14">
          <cell r="A14">
            <v>5</v>
          </cell>
          <cell r="B14">
            <v>0</v>
          </cell>
          <cell r="E14">
            <v>0.10000000000000009</v>
          </cell>
          <cell r="G14">
            <v>0.53600000000000003</v>
          </cell>
          <cell r="I14">
            <v>0.33200000000000007</v>
          </cell>
          <cell r="K14">
            <v>0.45199999999999996</v>
          </cell>
        </row>
        <row r="15">
          <cell r="A15">
            <v>10</v>
          </cell>
          <cell r="B15">
            <v>0</v>
          </cell>
          <cell r="E15">
            <v>0.28787878787878785</v>
          </cell>
          <cell r="G15">
            <v>0.92121212121212115</v>
          </cell>
          <cell r="I15">
            <v>0.50303030303030294</v>
          </cell>
          <cell r="K15">
            <v>0.87575757575757573</v>
          </cell>
          <cell r="M15">
            <v>-0.68787878787878787</v>
          </cell>
        </row>
        <row r="16">
          <cell r="A16">
            <v>15</v>
          </cell>
          <cell r="B16">
            <v>0</v>
          </cell>
          <cell r="E16">
            <v>0.23170731707317072</v>
          </cell>
          <cell r="G16">
            <v>1.1317073170731708</v>
          </cell>
          <cell r="I16">
            <v>0.40487804878048772</v>
          </cell>
          <cell r="K16">
            <v>1.1439024390243904</v>
          </cell>
        </row>
        <row r="17">
          <cell r="A17">
            <v>20</v>
          </cell>
          <cell r="B17">
            <v>0</v>
          </cell>
          <cell r="E17">
            <v>0.19387755102040827</v>
          </cell>
          <cell r="G17">
            <v>1.1000000000000001</v>
          </cell>
          <cell r="I17">
            <v>0.3387755102040817</v>
          </cell>
          <cell r="K17">
            <v>1.2571428571428571</v>
          </cell>
        </row>
        <row r="18">
          <cell r="A18">
            <v>25</v>
          </cell>
          <cell r="B18">
            <v>0</v>
          </cell>
          <cell r="E18">
            <v>0.16666666666666674</v>
          </cell>
          <cell r="G18">
            <v>1.1491228070175437</v>
          </cell>
          <cell r="I18">
            <v>0.29122807017543861</v>
          </cell>
          <cell r="K18">
            <v>1.2035087719298247</v>
          </cell>
          <cell r="M18">
            <v>-0.68771929824561395</v>
          </cell>
        </row>
        <row r="19">
          <cell r="A19">
            <v>30</v>
          </cell>
          <cell r="B19">
            <v>0</v>
          </cell>
          <cell r="E19">
            <v>0.14615384615384608</v>
          </cell>
          <cell r="G19">
            <v>1.2615384615384615</v>
          </cell>
          <cell r="I19">
            <v>0.25538461538461532</v>
          </cell>
          <cell r="K19">
            <v>1.1630769230769231</v>
          </cell>
        </row>
        <row r="20">
          <cell r="A20">
            <v>50</v>
          </cell>
          <cell r="B20">
            <v>0</v>
          </cell>
          <cell r="E20">
            <v>9.7938144329897003E-2</v>
          </cell>
          <cell r="G20">
            <v>1.268041237113402</v>
          </cell>
          <cell r="I20">
            <v>0.17113402061855676</v>
          </cell>
          <cell r="K20">
            <v>1.2989690721649483</v>
          </cell>
        </row>
        <row r="21">
          <cell r="A21">
            <v>75</v>
          </cell>
          <cell r="B21">
            <v>0</v>
          </cell>
          <cell r="E21">
            <v>6.9343065693430628E-2</v>
          </cell>
          <cell r="G21">
            <v>1.2992700729927007</v>
          </cell>
          <cell r="I21">
            <v>0.12116788321167893</v>
          </cell>
          <cell r="K21">
            <v>1.3759124087591239</v>
          </cell>
        </row>
        <row r="22">
          <cell r="A22">
            <v>100</v>
          </cell>
          <cell r="B22">
            <v>0</v>
          </cell>
          <cell r="E22">
            <v>5.3672316384180796E-2</v>
          </cell>
          <cell r="G22">
            <v>1.2598870056497176</v>
          </cell>
          <cell r="I22">
            <v>9.3785310734463279E-2</v>
          </cell>
          <cell r="K22">
            <v>1.4186440677966101</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Y"/>
      <sheetName val="ID"/>
      <sheetName val="NZ"/>
      <sheetName val="TH"/>
      <sheetName val="CN"/>
      <sheetName val="CN Zone"/>
      <sheetName val="AU"/>
      <sheetName val="AU Zone"/>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5">
          <cell r="B15" t="str">
            <v>Albania</v>
          </cell>
          <cell r="C15" t="str">
            <v>G</v>
          </cell>
          <cell r="D15" t="str">
            <v>3</v>
          </cell>
          <cell r="F15" t="str">
            <v>Czech Republic, The</v>
          </cell>
          <cell r="G15" t="str">
            <v>G</v>
          </cell>
          <cell r="H15" t="str">
            <v>2-3</v>
          </cell>
        </row>
        <row r="16">
          <cell r="B16" t="str">
            <v>Algeria</v>
          </cell>
          <cell r="C16" t="str">
            <v>G</v>
          </cell>
          <cell r="D16" t="str">
            <v>3</v>
          </cell>
          <cell r="E16" t="str">
            <v>D</v>
          </cell>
          <cell r="F16" t="str">
            <v>Denmark</v>
          </cell>
          <cell r="G16" t="str">
            <v>F</v>
          </cell>
          <cell r="H16" t="str">
            <v>2</v>
          </cell>
        </row>
        <row r="17">
          <cell r="B17" t="str">
            <v>American Samoa</v>
          </cell>
          <cell r="C17" t="str">
            <v>B</v>
          </cell>
          <cell r="D17" t="str">
            <v>2</v>
          </cell>
          <cell r="F17" t="str">
            <v>Djibouti</v>
          </cell>
          <cell r="G17" t="str">
            <v>G</v>
          </cell>
          <cell r="H17" t="str">
            <v>3</v>
          </cell>
        </row>
        <row r="18">
          <cell r="B18" t="str">
            <v>Andorra</v>
          </cell>
          <cell r="C18" t="str">
            <v>F</v>
          </cell>
          <cell r="D18" t="str">
            <v>3</v>
          </cell>
          <cell r="F18" t="str">
            <v>Dominica</v>
          </cell>
          <cell r="G18" t="str">
            <v>G</v>
          </cell>
          <cell r="H18" t="str">
            <v>3</v>
          </cell>
        </row>
        <row r="19">
          <cell r="B19" t="str">
            <v>Angola</v>
          </cell>
          <cell r="C19" t="str">
            <v>G</v>
          </cell>
          <cell r="D19" t="str">
            <v>4</v>
          </cell>
          <cell r="F19" t="str">
            <v>Dominican Republic</v>
          </cell>
          <cell r="G19" t="str">
            <v>G</v>
          </cell>
          <cell r="H19" t="str">
            <v>3</v>
          </cell>
        </row>
        <row r="20">
          <cell r="B20" t="str">
            <v>Anguilla</v>
          </cell>
          <cell r="C20" t="str">
            <v>G</v>
          </cell>
          <cell r="D20" t="str">
            <v>3</v>
          </cell>
          <cell r="E20" t="str">
            <v>E</v>
          </cell>
          <cell r="F20" t="str">
            <v>Ecuador</v>
          </cell>
          <cell r="G20" t="str">
            <v>G</v>
          </cell>
          <cell r="H20" t="str">
            <v>3-4</v>
          </cell>
        </row>
        <row r="21">
          <cell r="B21" t="str">
            <v>Antigua</v>
          </cell>
          <cell r="C21" t="str">
            <v>G</v>
          </cell>
          <cell r="D21" t="str">
            <v>3</v>
          </cell>
          <cell r="F21" t="str">
            <v>Egypt</v>
          </cell>
          <cell r="G21" t="str">
            <v>G</v>
          </cell>
          <cell r="H21" t="str">
            <v>2-3</v>
          </cell>
        </row>
        <row r="22">
          <cell r="B22" t="str">
            <v>Argentina</v>
          </cell>
          <cell r="C22" t="str">
            <v>G</v>
          </cell>
          <cell r="D22" t="str">
            <v>2-3</v>
          </cell>
          <cell r="F22" t="str">
            <v>El Salvador</v>
          </cell>
          <cell r="G22" t="str">
            <v>G</v>
          </cell>
          <cell r="H22" t="str">
            <v>3</v>
          </cell>
          <cell r="I22" t="str">
            <v>M</v>
          </cell>
        </row>
        <row r="23">
          <cell r="B23" t="str">
            <v>Armenia</v>
          </cell>
          <cell r="C23" t="str">
            <v>G</v>
          </cell>
          <cell r="D23" t="str">
            <v>4-5</v>
          </cell>
          <cell r="F23" t="str">
            <v>Equatorial Guinea</v>
          </cell>
          <cell r="G23" t="str">
            <v>G</v>
          </cell>
          <cell r="H23" t="str">
            <v>3</v>
          </cell>
        </row>
        <row r="24">
          <cell r="B24" t="str">
            <v>Aruba</v>
          </cell>
          <cell r="C24" t="str">
            <v>G</v>
          </cell>
          <cell r="D24" t="str">
            <v>3</v>
          </cell>
          <cell r="F24" t="str">
            <v>Eritrea</v>
          </cell>
          <cell r="G24" t="str">
            <v>G</v>
          </cell>
          <cell r="H24" t="str">
            <v>4</v>
          </cell>
        </row>
        <row r="25">
          <cell r="B25" t="str">
            <v>Austria</v>
          </cell>
          <cell r="C25" t="str">
            <v>F</v>
          </cell>
          <cell r="D25" t="str">
            <v>2-3</v>
          </cell>
          <cell r="F25" t="str">
            <v>Estonia</v>
          </cell>
          <cell r="G25" t="str">
            <v>G</v>
          </cell>
          <cell r="H25" t="str">
            <v>3</v>
          </cell>
        </row>
        <row r="26">
          <cell r="B26" t="str">
            <v>Azerbaijan</v>
          </cell>
          <cell r="C26" t="str">
            <v>G</v>
          </cell>
          <cell r="D26" t="str">
            <v>3-4</v>
          </cell>
          <cell r="F26" t="str">
            <v>Ethiopia</v>
          </cell>
          <cell r="G26" t="str">
            <v>G</v>
          </cell>
          <cell r="H26" t="str">
            <v>4</v>
          </cell>
        </row>
        <row r="27">
          <cell r="B27" t="str">
            <v>Bahamas</v>
          </cell>
          <cell r="C27" t="str">
            <v>G</v>
          </cell>
          <cell r="D27" t="str">
            <v>2</v>
          </cell>
          <cell r="E27" t="str">
            <v>F</v>
          </cell>
          <cell r="F27" t="str">
            <v>Faroe Islands</v>
          </cell>
          <cell r="G27" t="str">
            <v>G</v>
          </cell>
          <cell r="H27" t="str">
            <v>4</v>
          </cell>
        </row>
        <row r="28">
          <cell r="B28" t="str">
            <v>Bahrain</v>
          </cell>
          <cell r="C28" t="str">
            <v>G</v>
          </cell>
          <cell r="D28" t="str">
            <v>2</v>
          </cell>
          <cell r="F28" t="str">
            <v>Fiji Islands</v>
          </cell>
          <cell r="G28" t="str">
            <v>B</v>
          </cell>
          <cell r="H28" t="str">
            <v>2</v>
          </cell>
        </row>
        <row r="29">
          <cell r="B29" t="str">
            <v>Bangladesh</v>
          </cell>
          <cell r="C29" t="str">
            <v>G</v>
          </cell>
          <cell r="D29" t="str">
            <v>3</v>
          </cell>
          <cell r="F29" t="str">
            <v>Finland</v>
          </cell>
          <cell r="G29" t="str">
            <v>F</v>
          </cell>
          <cell r="H29" t="str">
            <v>2</v>
          </cell>
        </row>
        <row r="30">
          <cell r="B30" t="str">
            <v>Barbados</v>
          </cell>
          <cell r="C30" t="str">
            <v>G</v>
          </cell>
          <cell r="D30" t="str">
            <v>2</v>
          </cell>
          <cell r="F30" t="str">
            <v>France</v>
          </cell>
          <cell r="G30" t="str">
            <v>F</v>
          </cell>
          <cell r="H30" t="str">
            <v>2</v>
          </cell>
        </row>
        <row r="31">
          <cell r="B31" t="str">
            <v>Belarus</v>
          </cell>
          <cell r="C31" t="str">
            <v>G</v>
          </cell>
          <cell r="D31" t="str">
            <v>3-4</v>
          </cell>
          <cell r="F31" t="str">
            <v>French Guiana</v>
          </cell>
          <cell r="G31" t="str">
            <v>G</v>
          </cell>
          <cell r="H31" t="str">
            <v>3</v>
          </cell>
        </row>
        <row r="32">
          <cell r="B32" t="str">
            <v>Belgium</v>
          </cell>
          <cell r="C32" t="str">
            <v>F</v>
          </cell>
          <cell r="D32" t="str">
            <v>2-3</v>
          </cell>
          <cell r="E32" t="str">
            <v>G</v>
          </cell>
          <cell r="F32" t="str">
            <v>Gabon</v>
          </cell>
          <cell r="G32" t="str">
            <v>G</v>
          </cell>
          <cell r="H32" t="str">
            <v>3-4</v>
          </cell>
        </row>
        <row r="33">
          <cell r="B33" t="str">
            <v>Belize</v>
          </cell>
          <cell r="C33" t="str">
            <v>G</v>
          </cell>
          <cell r="D33" t="str">
            <v>3</v>
          </cell>
          <cell r="F33" t="str">
            <v>Gambia</v>
          </cell>
          <cell r="G33" t="str">
            <v>G</v>
          </cell>
          <cell r="H33" t="str">
            <v>4</v>
          </cell>
        </row>
        <row r="34">
          <cell r="B34" t="str">
            <v>Benin</v>
          </cell>
          <cell r="C34" t="str">
            <v>G</v>
          </cell>
          <cell r="D34" t="str">
            <v>4</v>
          </cell>
          <cell r="F34" t="str">
            <v>Georgia</v>
          </cell>
          <cell r="G34" t="str">
            <v>G</v>
          </cell>
          <cell r="H34" t="str">
            <v>3-4</v>
          </cell>
        </row>
        <row r="35">
          <cell r="B35" t="str">
            <v>Bermuda</v>
          </cell>
          <cell r="C35" t="str">
            <v>G</v>
          </cell>
          <cell r="D35" t="str">
            <v>2</v>
          </cell>
          <cell r="F35" t="str">
            <v>Germany</v>
          </cell>
          <cell r="G35" t="str">
            <v>F</v>
          </cell>
          <cell r="H35" t="str">
            <v>2</v>
          </cell>
        </row>
        <row r="36">
          <cell r="B36" t="str">
            <v>Bhutan</v>
          </cell>
          <cell r="C36" t="str">
            <v>G</v>
          </cell>
          <cell r="D36" t="str">
            <v>3</v>
          </cell>
          <cell r="F36" t="str">
            <v>Ghana</v>
          </cell>
          <cell r="G36" t="str">
            <v>G</v>
          </cell>
          <cell r="H36" t="str">
            <v>3-4</v>
          </cell>
        </row>
        <row r="37">
          <cell r="B37" t="str">
            <v>Bolivia</v>
          </cell>
          <cell r="C37" t="str">
            <v>G</v>
          </cell>
          <cell r="D37" t="str">
            <v>3</v>
          </cell>
          <cell r="F37" t="str">
            <v>Gibraltar</v>
          </cell>
          <cell r="G37" t="str">
            <v>F</v>
          </cell>
          <cell r="H37" t="str">
            <v>3</v>
          </cell>
        </row>
        <row r="38">
          <cell r="B38" t="str">
            <v>Bonaire</v>
          </cell>
          <cell r="C38" t="str">
            <v>G</v>
          </cell>
          <cell r="D38" t="str">
            <v>3</v>
          </cell>
          <cell r="F38" t="str">
            <v>Greece</v>
          </cell>
          <cell r="G38" t="str">
            <v>F</v>
          </cell>
          <cell r="H38" t="str">
            <v>2</v>
          </cell>
        </row>
        <row r="39">
          <cell r="B39" t="str">
            <v>Botswana</v>
          </cell>
          <cell r="C39" t="str">
            <v>G</v>
          </cell>
          <cell r="D39" t="str">
            <v>4</v>
          </cell>
          <cell r="F39" t="str">
            <v>Greenland</v>
          </cell>
          <cell r="G39" t="str">
            <v>G</v>
          </cell>
          <cell r="H39" t="str">
            <v>4</v>
          </cell>
        </row>
        <row r="40">
          <cell r="B40" t="str">
            <v>Brazil</v>
          </cell>
          <cell r="C40" t="str">
            <v>G</v>
          </cell>
          <cell r="D40" t="str">
            <v>2</v>
          </cell>
          <cell r="F40" t="str">
            <v>Grenada</v>
          </cell>
          <cell r="G40" t="str">
            <v>G</v>
          </cell>
          <cell r="H40" t="str">
            <v>2-3</v>
          </cell>
        </row>
        <row r="41">
          <cell r="B41" t="str">
            <v>British Virgin Isles</v>
          </cell>
          <cell r="C41" t="str">
            <v>G</v>
          </cell>
          <cell r="D41" t="str">
            <v>3</v>
          </cell>
          <cell r="F41" t="str">
            <v>Guadeloupe</v>
          </cell>
          <cell r="G41" t="str">
            <v>G</v>
          </cell>
          <cell r="H41" t="str">
            <v>3</v>
          </cell>
        </row>
        <row r="42">
          <cell r="B42" t="str">
            <v>Brunei</v>
          </cell>
          <cell r="C42" t="str">
            <v>B</v>
          </cell>
          <cell r="D42" t="str">
            <v>2-3</v>
          </cell>
          <cell r="F42" t="str">
            <v>Guam</v>
          </cell>
          <cell r="G42" t="str">
            <v>G</v>
          </cell>
          <cell r="H42" t="str">
            <v>2-3</v>
          </cell>
          <cell r="I42" t="str">
            <v>N</v>
          </cell>
        </row>
        <row r="43">
          <cell r="B43" t="str">
            <v>Bulgaria</v>
          </cell>
          <cell r="C43" t="str">
            <v>G</v>
          </cell>
          <cell r="D43" t="str">
            <v>3</v>
          </cell>
          <cell r="F43" t="str">
            <v>Guatemala</v>
          </cell>
          <cell r="G43" t="str">
            <v>G</v>
          </cell>
          <cell r="H43" t="str">
            <v>3</v>
          </cell>
        </row>
        <row r="44">
          <cell r="B44" t="str">
            <v>Burkina Faso</v>
          </cell>
          <cell r="C44" t="str">
            <v>G</v>
          </cell>
          <cell r="D44" t="str">
            <v>4</v>
          </cell>
          <cell r="F44" t="str">
            <v>Guernsey</v>
          </cell>
          <cell r="G44" t="str">
            <v>E</v>
          </cell>
          <cell r="H44" t="str">
            <v>1-2</v>
          </cell>
        </row>
        <row r="45">
          <cell r="B45" t="str">
            <v>Burma (Myanmar)</v>
          </cell>
          <cell r="C45" t="str">
            <v>G</v>
          </cell>
          <cell r="D45" t="str">
            <v>3</v>
          </cell>
          <cell r="F45" t="str">
            <v>Guinea Bissau</v>
          </cell>
          <cell r="G45" t="str">
            <v>G</v>
          </cell>
          <cell r="H45" t="str">
            <v>4</v>
          </cell>
        </row>
        <row r="46">
          <cell r="B46" t="str">
            <v>Burundi</v>
          </cell>
          <cell r="C46" t="str">
            <v>G</v>
          </cell>
          <cell r="D46" t="str">
            <v>4</v>
          </cell>
          <cell r="F46" t="str">
            <v>Guinea Republic</v>
          </cell>
          <cell r="G46" t="str">
            <v>G</v>
          </cell>
          <cell r="H46" t="str">
            <v>4</v>
          </cell>
        </row>
        <row r="47">
          <cell r="B47" t="str">
            <v>Cambodia/Kampuchea</v>
          </cell>
          <cell r="C47" t="str">
            <v>G</v>
          </cell>
          <cell r="D47" t="str">
            <v>3</v>
          </cell>
          <cell r="F47" t="str">
            <v>Guyana</v>
          </cell>
          <cell r="G47" t="str">
            <v>G</v>
          </cell>
          <cell r="H47" t="str">
            <v>3</v>
          </cell>
        </row>
        <row r="48">
          <cell r="B48" t="str">
            <v>Cameroon</v>
          </cell>
          <cell r="C48" t="str">
            <v>G</v>
          </cell>
          <cell r="D48" t="str">
            <v>4</v>
          </cell>
          <cell r="E48" t="str">
            <v>H</v>
          </cell>
          <cell r="F48" t="str">
            <v>Haiti</v>
          </cell>
          <cell r="G48" t="str">
            <v>G</v>
          </cell>
          <cell r="H48" t="str">
            <v>3</v>
          </cell>
        </row>
        <row r="49">
          <cell r="B49" t="str">
            <v>Canada</v>
          </cell>
          <cell r="C49" t="str">
            <v>C</v>
          </cell>
          <cell r="D49" t="str">
            <v>2</v>
          </cell>
          <cell r="F49" t="str">
            <v>Honduras</v>
          </cell>
          <cell r="G49" t="str">
            <v>G</v>
          </cell>
          <cell r="H49" t="str">
            <v>3</v>
          </cell>
        </row>
        <row r="50">
          <cell r="B50" t="str">
            <v>Canary Islands, The</v>
          </cell>
          <cell r="C50" t="str">
            <v>G</v>
          </cell>
          <cell r="D50" t="str">
            <v>4</v>
          </cell>
          <cell r="F50" t="str">
            <v>Hong Kong</v>
          </cell>
          <cell r="G50" t="str">
            <v>B</v>
          </cell>
          <cell r="H50" t="str">
            <v>1-2</v>
          </cell>
        </row>
        <row r="51">
          <cell r="B51" t="str">
            <v>Cape Verde</v>
          </cell>
          <cell r="C51" t="str">
            <v>G</v>
          </cell>
          <cell r="D51" t="str">
            <v>4</v>
          </cell>
          <cell r="F51" t="str">
            <v>Hungary</v>
          </cell>
          <cell r="G51" t="str">
            <v>G</v>
          </cell>
          <cell r="H51" t="str">
            <v>3</v>
          </cell>
        </row>
        <row r="52">
          <cell r="B52" t="str">
            <v>Cayman Islands</v>
          </cell>
          <cell r="C52" t="str">
            <v>G</v>
          </cell>
          <cell r="D52" t="str">
            <v>3</v>
          </cell>
          <cell r="E52" t="str">
            <v>I</v>
          </cell>
          <cell r="F52" t="str">
            <v>Iceland</v>
          </cell>
          <cell r="G52" t="str">
            <v>G</v>
          </cell>
          <cell r="H52" t="str">
            <v>3</v>
          </cell>
        </row>
        <row r="53">
          <cell r="B53" t="str">
            <v>Central African Rep.</v>
          </cell>
          <cell r="C53" t="str">
            <v>G</v>
          </cell>
          <cell r="D53" t="str">
            <v>4</v>
          </cell>
          <cell r="F53" t="str">
            <v>India</v>
          </cell>
          <cell r="G53" t="str">
            <v>F</v>
          </cell>
          <cell r="H53" t="str">
            <v>2</v>
          </cell>
        </row>
        <row r="54">
          <cell r="B54" t="str">
            <v>Chad</v>
          </cell>
          <cell r="C54" t="str">
            <v>G</v>
          </cell>
          <cell r="D54" t="str">
            <v>4</v>
          </cell>
          <cell r="F54" t="str">
            <v>Indonesia</v>
          </cell>
          <cell r="G54" t="str">
            <v>B</v>
          </cell>
          <cell r="H54" t="str">
            <v>1-2</v>
          </cell>
        </row>
        <row r="55">
          <cell r="B55" t="str">
            <v>Channel Islands</v>
          </cell>
          <cell r="C55" t="str">
            <v>E</v>
          </cell>
          <cell r="D55" t="str">
            <v>1-2</v>
          </cell>
          <cell r="F55" t="str">
            <v>Iran</v>
          </cell>
          <cell r="G55" t="str">
            <v>G</v>
          </cell>
          <cell r="H55" t="str">
            <v>3</v>
          </cell>
        </row>
        <row r="56">
          <cell r="B56" t="str">
            <v>Chile</v>
          </cell>
          <cell r="C56" t="str">
            <v>G</v>
          </cell>
          <cell r="D56" t="str">
            <v>2</v>
          </cell>
          <cell r="F56" t="str">
            <v>Ireland, Rep of</v>
          </cell>
          <cell r="G56" t="str">
            <v>F</v>
          </cell>
          <cell r="H56" t="str">
            <v>1-2</v>
          </cell>
          <cell r="I56" t="str">
            <v>O</v>
          </cell>
        </row>
        <row r="57">
          <cell r="B57" t="str">
            <v>China</v>
          </cell>
          <cell r="C57" t="str">
            <v>D</v>
          </cell>
          <cell r="D57" t="str">
            <v>2-3</v>
          </cell>
          <cell r="F57" t="str">
            <v>Italy</v>
          </cell>
          <cell r="G57" t="str">
            <v>F</v>
          </cell>
          <cell r="H57" t="str">
            <v>2</v>
          </cell>
          <cell r="I57" t="str">
            <v>P</v>
          </cell>
        </row>
        <row r="58">
          <cell r="B58" t="str">
            <v>Christmas Islands</v>
          </cell>
          <cell r="C58" t="str">
            <v>B</v>
          </cell>
          <cell r="D58" t="str">
            <v>2-3</v>
          </cell>
          <cell r="F58" t="str">
            <v>Ivory Coast</v>
          </cell>
          <cell r="G58" t="str">
            <v>G</v>
          </cell>
          <cell r="H58" t="str">
            <v>3</v>
          </cell>
        </row>
        <row r="59">
          <cell r="B59" t="str">
            <v>Cocos Islands</v>
          </cell>
          <cell r="C59" t="str">
            <v>B</v>
          </cell>
          <cell r="D59" t="str">
            <v>2-3</v>
          </cell>
          <cell r="E59" t="str">
            <v>J</v>
          </cell>
          <cell r="F59" t="str">
            <v>Jamaica</v>
          </cell>
          <cell r="G59" t="str">
            <v>G</v>
          </cell>
          <cell r="H59" t="str">
            <v>2-3</v>
          </cell>
        </row>
        <row r="60">
          <cell r="B60" t="str">
            <v>Colombia</v>
          </cell>
          <cell r="C60" t="str">
            <v>G</v>
          </cell>
          <cell r="D60" t="str">
            <v>2-3</v>
          </cell>
          <cell r="F60" t="str">
            <v>Japan</v>
          </cell>
          <cell r="G60" t="str">
            <v>D</v>
          </cell>
          <cell r="H60" t="str">
            <v>1-2</v>
          </cell>
        </row>
        <row r="61">
          <cell r="B61" t="str">
            <v>Commonwealth of Ind.</v>
          </cell>
          <cell r="F61" t="str">
            <v>Jersey</v>
          </cell>
          <cell r="G61" t="str">
            <v>E</v>
          </cell>
          <cell r="H61" t="str">
            <v>1-2</v>
          </cell>
        </row>
        <row r="62">
          <cell r="B62" t="str">
            <v>States (Soviet Union)</v>
          </cell>
          <cell r="C62" t="str">
            <v>G</v>
          </cell>
          <cell r="D62" t="str">
            <v>3-4</v>
          </cell>
          <cell r="F62" t="str">
            <v>Jordan</v>
          </cell>
          <cell r="G62" t="str">
            <v>G</v>
          </cell>
          <cell r="H62" t="str">
            <v>3</v>
          </cell>
        </row>
        <row r="63">
          <cell r="B63" t="str">
            <v>Comoros</v>
          </cell>
          <cell r="C63" t="str">
            <v>G</v>
          </cell>
          <cell r="D63" t="str">
            <v>4</v>
          </cell>
          <cell r="E63" t="str">
            <v>K</v>
          </cell>
          <cell r="F63" t="str">
            <v>Kazakhstan</v>
          </cell>
          <cell r="G63" t="str">
            <v>G</v>
          </cell>
          <cell r="H63" t="str">
            <v>3-4</v>
          </cell>
        </row>
        <row r="64">
          <cell r="B64" t="str">
            <v>Congo</v>
          </cell>
          <cell r="C64" t="str">
            <v>G</v>
          </cell>
          <cell r="D64" t="str">
            <v>4</v>
          </cell>
          <cell r="F64" t="str">
            <v>Kenya</v>
          </cell>
          <cell r="G64" t="str">
            <v>G</v>
          </cell>
          <cell r="H64" t="str">
            <v>3</v>
          </cell>
        </row>
        <row r="65">
          <cell r="B65" t="str">
            <v>Cook Islands</v>
          </cell>
          <cell r="C65" t="str">
            <v>B</v>
          </cell>
          <cell r="D65" t="str">
            <v>2</v>
          </cell>
          <cell r="F65" t="str">
            <v>Kiribati</v>
          </cell>
          <cell r="G65" t="str">
            <v>B</v>
          </cell>
          <cell r="H65" t="str">
            <v>3</v>
          </cell>
        </row>
        <row r="66">
          <cell r="B66" t="str">
            <v>Costa Rica</v>
          </cell>
          <cell r="C66" t="str">
            <v>G</v>
          </cell>
          <cell r="D66" t="str">
            <v>3</v>
          </cell>
          <cell r="F66" t="str">
            <v>Korea South</v>
          </cell>
          <cell r="G66" t="str">
            <v>D</v>
          </cell>
          <cell r="H66" t="str">
            <v>2-3</v>
          </cell>
          <cell r="I66" t="str">
            <v>Q</v>
          </cell>
        </row>
        <row r="67">
          <cell r="B67" t="str">
            <v>Croatia</v>
          </cell>
          <cell r="C67" t="str">
            <v>G</v>
          </cell>
          <cell r="D67" t="str">
            <v>3</v>
          </cell>
          <cell r="F67" t="str">
            <v>Kuwait</v>
          </cell>
          <cell r="G67" t="str">
            <v>G</v>
          </cell>
          <cell r="H67" t="str">
            <v>2-3</v>
          </cell>
          <cell r="I67" t="str">
            <v>R</v>
          </cell>
        </row>
        <row r="68">
          <cell r="B68" t="str">
            <v>Cuba</v>
          </cell>
          <cell r="C68" t="str">
            <v>G</v>
          </cell>
          <cell r="D68" t="str">
            <v>4</v>
          </cell>
          <cell r="F68" t="str">
            <v>Kyrgystan</v>
          </cell>
          <cell r="G68" t="str">
            <v>G</v>
          </cell>
          <cell r="H68" t="str">
            <v>3-4</v>
          </cell>
        </row>
        <row r="69">
          <cell r="B69" t="str">
            <v>Curacao</v>
          </cell>
          <cell r="C69" t="str">
            <v>G</v>
          </cell>
          <cell r="D69" t="str">
            <v>4</v>
          </cell>
          <cell r="E69" t="str">
            <v>L</v>
          </cell>
          <cell r="F69" t="str">
            <v>Laos</v>
          </cell>
          <cell r="G69" t="str">
            <v>G</v>
          </cell>
          <cell r="H69" t="str">
            <v>3</v>
          </cell>
        </row>
        <row r="70">
          <cell r="B70" t="str">
            <v>Cyprus</v>
          </cell>
          <cell r="C70" t="str">
            <v>F</v>
          </cell>
          <cell r="D70" t="str">
            <v>3</v>
          </cell>
          <cell r="F70" t="str">
            <v>Latvia</v>
          </cell>
          <cell r="G70" t="str">
            <v>G</v>
          </cell>
          <cell r="H70" t="str">
            <v>3</v>
          </cell>
          <cell r="I70" t="str">
            <v>S</v>
          </cell>
        </row>
      </sheetData>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AU Zone"/>
    </sheetNames>
    <sheetDataSet>
      <sheetData sheetId="0" refreshError="1"/>
    </sheetDataSet>
  </externalBook>
</externalLink>
</file>

<file path=xl/externalLinks/externalLink5.xml><?xml version="1.0" encoding="utf-8"?>
<externalLink xmlns="http://schemas.openxmlformats.org/spreadsheetml/2006/main">
  <externalBook xmlns:r="http://schemas.openxmlformats.org/officeDocument/2006/relationships" r:id="rId1">
    <sheetNames>
      <sheetName val="Main"/>
      <sheetName val="Current Tariff"/>
      <sheetName val="Unit Costs"/>
      <sheetName val="Shipment costs"/>
      <sheetName val="Zones"/>
      <sheetName val="Competitors"/>
      <sheetName val="New Tariff"/>
      <sheetName val="Full Tariff Shipments"/>
      <sheetName val="Revenue Impact Details"/>
      <sheetName val="New card vs old"/>
      <sheetName val="Jumbo"/>
      <sheetName val="Proposed IB Tariff"/>
      <sheetName val="Rainbow"/>
      <sheetName val="Inbound ISRs"/>
      <sheetName val="OB Zone List"/>
      <sheetName val="0000000"/>
      <sheetName val="BLANK"/>
      <sheetName val="Conversion data"/>
      <sheetName val="doc"/>
      <sheetName val="nondoc"/>
      <sheetName val="WBs"/>
      <sheetName val="AU Cover Sheet"/>
      <sheetName val="VAS"/>
      <sheetName val="_OB_9.00"/>
      <sheetName val="_OB_12.00"/>
      <sheetName val="AU_OB_LCY"/>
      <sheetName val="AU_OB_Zone"/>
      <sheetName val="_IB_9.00"/>
      <sheetName val="_IB_12.00"/>
      <sheetName val="AU_IB_LCY"/>
      <sheetName val="AU_IB_Zone"/>
      <sheetName val="_DOM_9.00"/>
      <sheetName val="_DOM_12.00"/>
      <sheetName val="_DOM_LCY"/>
      <sheetName val="DOM_Zone"/>
      <sheetName val="_OB_ESI"/>
      <sheetName val="Export_ESI_Zone"/>
      <sheetName val="_IB_ESI"/>
      <sheetName val="Import_ESI_Zone"/>
      <sheetName val="_DOM_ESI"/>
      <sheetName val="Dom_ESI_Zone"/>
      <sheetName val="Terms and Conditions"/>
    </sheetNames>
    <sheetDataSet>
      <sheetData sheetId="0" refreshError="1"/>
      <sheetData sheetId="1" refreshError="1"/>
      <sheetData sheetId="2" refreshError="1"/>
      <sheetData sheetId="3" refreshError="1"/>
      <sheetData sheetId="4" refreshError="1">
        <row r="5">
          <cell r="A5" t="str">
            <v>Region</v>
          </cell>
          <cell r="B5" t="str">
            <v>Country</v>
          </cell>
          <cell r="C5" t="str">
            <v>Old</v>
          </cell>
          <cell r="D5" t="str">
            <v>New</v>
          </cell>
          <cell r="E5" t="str">
            <v>TotalRev</v>
          </cell>
          <cell r="F5" t="str">
            <v>TotalNM</v>
          </cell>
          <cell r="G5" t="str">
            <v>% Rev growth</v>
          </cell>
          <cell r="H5" t="str">
            <v>% Export</v>
          </cell>
          <cell r="I5" t="str">
            <v>Drevenue</v>
          </cell>
          <cell r="J5" t="str">
            <v>DRevWB1</v>
          </cell>
          <cell r="K5" t="str">
            <v>DRevWB2</v>
          </cell>
          <cell r="L5" t="str">
            <v>DRevWB3</v>
          </cell>
          <cell r="M5" t="str">
            <v>DRevWB4</v>
          </cell>
          <cell r="N5" t="str">
            <v>DNetMargin</v>
          </cell>
          <cell r="O5" t="str">
            <v>DNMWB1</v>
          </cell>
          <cell r="P5" t="str">
            <v>DNMWB2</v>
          </cell>
          <cell r="Q5" t="str">
            <v>DNMWB3</v>
          </cell>
          <cell r="R5" t="str">
            <v>DNMWB4</v>
          </cell>
          <cell r="S5" t="str">
            <v>DShipment</v>
          </cell>
          <cell r="T5" t="str">
            <v>DPieces</v>
          </cell>
          <cell r="U5" t="str">
            <v>DWeight</v>
          </cell>
          <cell r="V5" t="str">
            <v>DAvg linehaul ($)</v>
          </cell>
          <cell r="W5" t="str">
            <v>DAvg Hub ($)</v>
          </cell>
          <cell r="X5" t="str">
            <v>DAvg Shipment ($)</v>
          </cell>
          <cell r="Y5" t="str">
            <v>DAvg Piece ($)</v>
          </cell>
          <cell r="Z5" t="str">
            <v>DAvg Kilo ($)</v>
          </cell>
          <cell r="AA5" t="str">
            <v>DUNA%</v>
          </cell>
          <cell r="AB5" t="str">
            <v>WRevenue</v>
          </cell>
          <cell r="AC5" t="str">
            <v>WRevWB1</v>
          </cell>
          <cell r="AD5" t="str">
            <v>WRevWB2</v>
          </cell>
          <cell r="AE5" t="str">
            <v>WRevWB3</v>
          </cell>
          <cell r="AF5" t="str">
            <v>WRevWB4</v>
          </cell>
          <cell r="AG5" t="str">
            <v>WNetMargin</v>
          </cell>
          <cell r="AH5" t="str">
            <v>WNMWB1</v>
          </cell>
          <cell r="AI5" t="str">
            <v>WNMWB2</v>
          </cell>
          <cell r="AJ5" t="str">
            <v>WNMWB3</v>
          </cell>
          <cell r="AK5" t="str">
            <v>WNMWB4</v>
          </cell>
          <cell r="AL5" t="str">
            <v>WShipment</v>
          </cell>
          <cell r="AM5" t="str">
            <v>WPieces</v>
          </cell>
          <cell r="AN5" t="str">
            <v>WWeight</v>
          </cell>
          <cell r="AO5" t="str">
            <v>WAvg linehaul ($)</v>
          </cell>
          <cell r="AP5" t="str">
            <v>WAvg Hub ($)</v>
          </cell>
          <cell r="AQ5" t="str">
            <v>WAvg Shipment ($)</v>
          </cell>
          <cell r="AR5" t="str">
            <v>WAvg Piece ($)</v>
          </cell>
          <cell r="AS5" t="str">
            <v>WAvg Kilo ($)</v>
          </cell>
          <cell r="AT5" t="str">
            <v>WUNA%</v>
          </cell>
          <cell r="AU5" t="str">
            <v>D_LH*KG</v>
          </cell>
          <cell r="AV5" t="str">
            <v>D_H*PC</v>
          </cell>
          <cell r="AW5" t="str">
            <v>D_SH*SH</v>
          </cell>
          <cell r="AX5" t="str">
            <v>D_PC*PC</v>
          </cell>
          <cell r="AY5" t="str">
            <v>D_KG*KG</v>
          </cell>
          <cell r="AZ5" t="str">
            <v>D_UNA*SH</v>
          </cell>
          <cell r="BA5" t="str">
            <v>W_LH*KG</v>
          </cell>
          <cell r="BB5" t="str">
            <v>W_H*PC</v>
          </cell>
          <cell r="BC5" t="str">
            <v>W_SH*SH</v>
          </cell>
          <cell r="BD5" t="str">
            <v>W_PC*PC</v>
          </cell>
          <cell r="BE5" t="str">
            <v>W_KG*KG</v>
          </cell>
          <cell r="BF5" t="str">
            <v>W_UNA*SH</v>
          </cell>
          <cell r="BG5" t="str">
            <v>Revenue</v>
          </cell>
        </row>
        <row r="6">
          <cell r="A6" t="str">
            <v>AP</v>
          </cell>
          <cell r="B6" t="str">
            <v>MY</v>
          </cell>
          <cell r="C6" t="str">
            <v>A</v>
          </cell>
          <cell r="D6" t="str">
            <v>A</v>
          </cell>
          <cell r="E6">
            <v>1340733</v>
          </cell>
          <cell r="F6">
            <v>-164792</v>
          </cell>
          <cell r="G6">
            <v>664964</v>
          </cell>
          <cell r="H6">
            <v>-166028</v>
          </cell>
          <cell r="I6">
            <v>664964</v>
          </cell>
          <cell r="J6">
            <v>87983</v>
          </cell>
          <cell r="K6">
            <v>83621.600000000006</v>
          </cell>
          <cell r="L6">
            <v>0.65</v>
          </cell>
          <cell r="M6">
            <v>0.25</v>
          </cell>
          <cell r="N6">
            <v>-166028</v>
          </cell>
          <cell r="O6">
            <v>0.32</v>
          </cell>
          <cell r="P6">
            <v>0.05</v>
          </cell>
          <cell r="Q6">
            <v>17.559999999999999</v>
          </cell>
          <cell r="R6">
            <v>675769</v>
          </cell>
          <cell r="S6">
            <v>85974</v>
          </cell>
          <cell r="T6">
            <v>87983</v>
          </cell>
          <cell r="U6">
            <v>83621.600000000006</v>
          </cell>
          <cell r="V6">
            <v>0.65</v>
          </cell>
          <cell r="W6">
            <v>0.25</v>
          </cell>
          <cell r="X6">
            <v>1.02</v>
          </cell>
          <cell r="Y6">
            <v>0.32</v>
          </cell>
          <cell r="Z6">
            <v>0.05</v>
          </cell>
          <cell r="AA6">
            <v>17.559999999999999</v>
          </cell>
          <cell r="AB6">
            <v>675769</v>
          </cell>
          <cell r="AC6">
            <v>54354.040000000008</v>
          </cell>
          <cell r="AD6">
            <v>21995.75</v>
          </cell>
          <cell r="AE6">
            <v>87693.48</v>
          </cell>
          <cell r="AF6">
            <v>28154.560000000001</v>
          </cell>
          <cell r="AG6">
            <v>1237</v>
          </cell>
          <cell r="AH6">
            <v>1509703.44</v>
          </cell>
          <cell r="AI6">
            <v>96156.027000000016</v>
          </cell>
          <cell r="AJ6">
            <v>50181.120000000003</v>
          </cell>
          <cell r="AK6">
            <v>84096.09</v>
          </cell>
          <cell r="AL6">
            <v>23959</v>
          </cell>
          <cell r="AM6">
            <v>28512</v>
          </cell>
          <cell r="AN6">
            <v>145690.95000000001</v>
          </cell>
          <cell r="AO6">
            <v>0.66</v>
          </cell>
          <cell r="AP6">
            <v>1.76</v>
          </cell>
          <cell r="AQ6">
            <v>3.51</v>
          </cell>
          <cell r="AR6">
            <v>0.72</v>
          </cell>
          <cell r="AS6">
            <v>0.04</v>
          </cell>
          <cell r="AT6">
            <v>12.4831254454222</v>
          </cell>
          <cell r="AU6">
            <v>54354.040000000008</v>
          </cell>
          <cell r="AV6">
            <v>21995.75</v>
          </cell>
          <cell r="AW6">
            <v>87693.48</v>
          </cell>
          <cell r="AX6">
            <v>28154.560000000001</v>
          </cell>
          <cell r="AY6">
            <v>4181.0800000000008</v>
          </cell>
          <cell r="AZ6">
            <v>1509703.44</v>
          </cell>
          <cell r="BA6">
            <v>96156.027000000016</v>
          </cell>
          <cell r="BB6">
            <v>50181.120000000003</v>
          </cell>
          <cell r="BC6">
            <v>84096.09</v>
          </cell>
          <cell r="BD6">
            <v>20528.64</v>
          </cell>
          <cell r="BE6">
            <v>5827.6380000000008</v>
          </cell>
          <cell r="BF6">
            <v>299083.20254687051</v>
          </cell>
          <cell r="BG6">
            <v>5.495392951707969E-2</v>
          </cell>
          <cell r="BH6">
            <v>1.1022000000000001</v>
          </cell>
        </row>
        <row r="7">
          <cell r="A7" t="str">
            <v>AP</v>
          </cell>
          <cell r="B7" t="str">
            <v>HK</v>
          </cell>
          <cell r="C7" t="str">
            <v>B</v>
          </cell>
          <cell r="D7" t="str">
            <v>B</v>
          </cell>
          <cell r="E7">
            <v>1632250</v>
          </cell>
          <cell r="F7">
            <v>-283256</v>
          </cell>
          <cell r="G7">
            <v>676027</v>
          </cell>
          <cell r="H7">
            <v>-139720</v>
          </cell>
          <cell r="I7">
            <v>676027</v>
          </cell>
          <cell r="J7">
            <v>58844</v>
          </cell>
          <cell r="K7">
            <v>70073.8</v>
          </cell>
          <cell r="L7">
            <v>1.36</v>
          </cell>
          <cell r="M7">
            <v>0.28999999999999998</v>
          </cell>
          <cell r="N7">
            <v>-139720</v>
          </cell>
          <cell r="O7">
            <v>0.79</v>
          </cell>
          <cell r="P7">
            <v>0.22</v>
          </cell>
          <cell r="Q7">
            <v>22.84</v>
          </cell>
          <cell r="R7">
            <v>956224</v>
          </cell>
          <cell r="S7">
            <v>56442</v>
          </cell>
          <cell r="T7">
            <v>58844</v>
          </cell>
          <cell r="U7">
            <v>70073.8</v>
          </cell>
          <cell r="V7">
            <v>1.36</v>
          </cell>
          <cell r="W7">
            <v>0.28999999999999998</v>
          </cell>
          <cell r="X7">
            <v>2.39</v>
          </cell>
          <cell r="Y7">
            <v>0.79</v>
          </cell>
          <cell r="Z7">
            <v>0.22</v>
          </cell>
          <cell r="AA7">
            <v>22.84</v>
          </cell>
          <cell r="AB7">
            <v>956224</v>
          </cell>
          <cell r="AC7">
            <v>95300.368000000017</v>
          </cell>
          <cell r="AD7">
            <v>17064.759999999998</v>
          </cell>
          <cell r="AE7">
            <v>134896.38</v>
          </cell>
          <cell r="AF7">
            <v>46486.76</v>
          </cell>
          <cell r="AG7">
            <v>-143537</v>
          </cell>
          <cell r="AH7">
            <v>1289135.28</v>
          </cell>
          <cell r="AI7">
            <v>356616.05840000004</v>
          </cell>
          <cell r="AJ7">
            <v>59633.279999999999</v>
          </cell>
          <cell r="AK7">
            <v>55604.639999999999</v>
          </cell>
          <cell r="AL7">
            <v>20904</v>
          </cell>
          <cell r="AM7">
            <v>34272</v>
          </cell>
          <cell r="AN7">
            <v>262217.69</v>
          </cell>
          <cell r="AO7">
            <v>1.36</v>
          </cell>
          <cell r="AP7">
            <v>1.74</v>
          </cell>
          <cell r="AQ7">
            <v>2.66</v>
          </cell>
          <cell r="AR7">
            <v>2.88</v>
          </cell>
          <cell r="AS7">
            <v>0.17</v>
          </cell>
          <cell r="AT7">
            <v>18.41573226321</v>
          </cell>
          <cell r="AU7">
            <v>95300.368000000017</v>
          </cell>
          <cell r="AV7">
            <v>17064.759999999998</v>
          </cell>
          <cell r="AW7">
            <v>134896.38</v>
          </cell>
          <cell r="AX7">
            <v>46486.76</v>
          </cell>
          <cell r="AY7">
            <v>15416.236000000001</v>
          </cell>
          <cell r="AZ7">
            <v>1289135.28</v>
          </cell>
          <cell r="BA7">
            <v>356616.05840000004</v>
          </cell>
          <cell r="BB7">
            <v>59633.279999999999</v>
          </cell>
          <cell r="BC7">
            <v>55604.639999999999</v>
          </cell>
          <cell r="BD7">
            <v>98703.360000000001</v>
          </cell>
          <cell r="BE7">
            <v>44577.007300000005</v>
          </cell>
          <cell r="BF7">
            <v>384962.46723014186</v>
          </cell>
          <cell r="BG7">
            <v>6.6902620771065763E-2</v>
          </cell>
          <cell r="BH7">
            <v>2.2711999999999999</v>
          </cell>
        </row>
        <row r="8">
          <cell r="A8" t="str">
            <v>AP</v>
          </cell>
          <cell r="B8" t="str">
            <v>ID</v>
          </cell>
          <cell r="C8" t="str">
            <v>B</v>
          </cell>
          <cell r="D8" t="str">
            <v>B</v>
          </cell>
          <cell r="E8">
            <v>985351</v>
          </cell>
          <cell r="F8">
            <v>117024</v>
          </cell>
          <cell r="G8">
            <v>566839</v>
          </cell>
          <cell r="H8">
            <v>60094</v>
          </cell>
          <cell r="I8">
            <v>566839</v>
          </cell>
          <cell r="J8">
            <v>50057</v>
          </cell>
          <cell r="K8">
            <v>42715.45</v>
          </cell>
          <cell r="L8">
            <v>0.57999999999999996</v>
          </cell>
          <cell r="M8">
            <v>0.25</v>
          </cell>
          <cell r="N8">
            <v>60094</v>
          </cell>
          <cell r="O8">
            <v>0.39</v>
          </cell>
          <cell r="P8">
            <v>0.05</v>
          </cell>
          <cell r="Q8">
            <v>35.369999999999997</v>
          </cell>
          <cell r="R8">
            <v>418512</v>
          </cell>
          <cell r="S8">
            <v>49443</v>
          </cell>
          <cell r="T8">
            <v>50057</v>
          </cell>
          <cell r="U8">
            <v>42715.45</v>
          </cell>
          <cell r="V8">
            <v>0.57999999999999996</v>
          </cell>
          <cell r="W8">
            <v>0.25</v>
          </cell>
          <cell r="X8">
            <v>0.89</v>
          </cell>
          <cell r="Y8">
            <v>0.39</v>
          </cell>
          <cell r="Z8">
            <v>0.05</v>
          </cell>
          <cell r="AA8">
            <v>35.369999999999997</v>
          </cell>
          <cell r="AB8">
            <v>418512</v>
          </cell>
          <cell r="AC8">
            <v>24774.960999999996</v>
          </cell>
          <cell r="AD8">
            <v>12514.25</v>
          </cell>
          <cell r="AE8">
            <v>44004.270000000004</v>
          </cell>
          <cell r="AF8">
            <v>19522.23</v>
          </cell>
          <cell r="AG8">
            <v>56930</v>
          </cell>
          <cell r="AH8">
            <v>1748798.91</v>
          </cell>
          <cell r="AI8">
            <v>51108.813000000002</v>
          </cell>
          <cell r="AJ8">
            <v>23714.62</v>
          </cell>
          <cell r="AK8">
            <v>36875.799999999996</v>
          </cell>
          <cell r="AL8">
            <v>10910</v>
          </cell>
          <cell r="AM8">
            <v>13102</v>
          </cell>
          <cell r="AN8">
            <v>81125.100000000006</v>
          </cell>
          <cell r="AO8">
            <v>0.63</v>
          </cell>
          <cell r="AP8">
            <v>1.81</v>
          </cell>
          <cell r="AQ8">
            <v>3.38</v>
          </cell>
          <cell r="AR8">
            <v>0.83</v>
          </cell>
          <cell r="AS8">
            <v>0.15</v>
          </cell>
          <cell r="AT8">
            <v>13.1035182345674</v>
          </cell>
          <cell r="AU8">
            <v>24774.960999999996</v>
          </cell>
          <cell r="AV8">
            <v>12514.25</v>
          </cell>
          <cell r="AW8">
            <v>44004.270000000004</v>
          </cell>
          <cell r="AX8">
            <v>19522.23</v>
          </cell>
          <cell r="AY8">
            <v>2135.7725</v>
          </cell>
          <cell r="AZ8">
            <v>1748798.91</v>
          </cell>
          <cell r="BA8">
            <v>51108.813000000002</v>
          </cell>
          <cell r="BB8">
            <v>23714.62</v>
          </cell>
          <cell r="BC8">
            <v>36875.799999999996</v>
          </cell>
          <cell r="BD8">
            <v>10874.66</v>
          </cell>
          <cell r="BE8">
            <v>12168.765000000001</v>
          </cell>
          <cell r="BF8">
            <v>142959.38393913032</v>
          </cell>
          <cell r="BG8">
            <v>4.0387541295383932E-2</v>
          </cell>
          <cell r="BH8">
            <v>1.0521</v>
          </cell>
        </row>
        <row r="9">
          <cell r="A9" t="str">
            <v>AP</v>
          </cell>
          <cell r="B9" t="str">
            <v>TW</v>
          </cell>
          <cell r="C9" t="str">
            <v>B</v>
          </cell>
          <cell r="D9" t="str">
            <v>B</v>
          </cell>
          <cell r="E9">
            <v>941848</v>
          </cell>
          <cell r="F9">
            <v>-227667</v>
          </cell>
          <cell r="G9">
            <v>305342</v>
          </cell>
          <cell r="H9">
            <v>-7691</v>
          </cell>
          <cell r="I9">
            <v>305342</v>
          </cell>
          <cell r="J9">
            <v>32009</v>
          </cell>
          <cell r="K9">
            <v>20633.349999999999</v>
          </cell>
          <cell r="L9">
            <v>1.56</v>
          </cell>
          <cell r="M9">
            <v>0.19</v>
          </cell>
          <cell r="N9">
            <v>-7691</v>
          </cell>
          <cell r="O9">
            <v>0.6</v>
          </cell>
          <cell r="P9">
            <v>0.19</v>
          </cell>
          <cell r="Q9">
            <v>8.23</v>
          </cell>
          <cell r="R9">
            <v>636506</v>
          </cell>
          <cell r="S9">
            <v>31701</v>
          </cell>
          <cell r="T9">
            <v>32009</v>
          </cell>
          <cell r="U9">
            <v>20633.349999999999</v>
          </cell>
          <cell r="V9">
            <v>1.56</v>
          </cell>
          <cell r="W9">
            <v>0.19</v>
          </cell>
          <cell r="X9">
            <v>1.89</v>
          </cell>
          <cell r="Y9">
            <v>0.6</v>
          </cell>
          <cell r="Z9">
            <v>0.19</v>
          </cell>
          <cell r="AA9">
            <v>8.23</v>
          </cell>
          <cell r="AB9">
            <v>636506</v>
          </cell>
          <cell r="AC9">
            <v>32188.025999999998</v>
          </cell>
          <cell r="AD9">
            <v>6081.71</v>
          </cell>
          <cell r="AE9">
            <v>59914.89</v>
          </cell>
          <cell r="AF9">
            <v>19205.399999999998</v>
          </cell>
          <cell r="AG9">
            <v>-219976</v>
          </cell>
          <cell r="AH9">
            <v>260899.23</v>
          </cell>
          <cell r="AI9">
            <v>251066.247</v>
          </cell>
          <cell r="AJ9">
            <v>41978.79</v>
          </cell>
          <cell r="AK9">
            <v>155439.76</v>
          </cell>
          <cell r="AL9">
            <v>16696</v>
          </cell>
          <cell r="AM9">
            <v>24549</v>
          </cell>
          <cell r="AN9">
            <v>157903.29999999999</v>
          </cell>
          <cell r="AO9">
            <v>1.59</v>
          </cell>
          <cell r="AP9">
            <v>1.71</v>
          </cell>
          <cell r="AQ9">
            <v>9.31</v>
          </cell>
          <cell r="AR9">
            <v>1.66</v>
          </cell>
          <cell r="AS9">
            <v>0.09</v>
          </cell>
          <cell r="AT9">
            <v>17.3035408002333</v>
          </cell>
          <cell r="AU9">
            <v>32188.025999999998</v>
          </cell>
          <cell r="AV9">
            <v>6081.71</v>
          </cell>
          <cell r="AW9">
            <v>59914.89</v>
          </cell>
          <cell r="AX9">
            <v>19205.399999999998</v>
          </cell>
          <cell r="AY9">
            <v>3920.3364999999999</v>
          </cell>
          <cell r="AZ9">
            <v>260899.23</v>
          </cell>
          <cell r="BA9">
            <v>251066.247</v>
          </cell>
          <cell r="BB9">
            <v>41978.79</v>
          </cell>
          <cell r="BC9">
            <v>155439.76</v>
          </cell>
          <cell r="BD9">
            <v>40751.339999999997</v>
          </cell>
          <cell r="BE9">
            <v>14211.296999999999</v>
          </cell>
          <cell r="BF9">
            <v>288899.9172006952</v>
          </cell>
          <cell r="BG9">
            <v>3.8604441456876554E-2</v>
          </cell>
          <cell r="BH9">
            <v>2.6553</v>
          </cell>
        </row>
        <row r="10">
          <cell r="A10" t="str">
            <v>AP</v>
          </cell>
          <cell r="B10" t="str">
            <v>TH</v>
          </cell>
          <cell r="C10" t="str">
            <v>B</v>
          </cell>
          <cell r="D10" t="str">
            <v>B</v>
          </cell>
          <cell r="E10">
            <v>796123</v>
          </cell>
          <cell r="F10">
            <v>147863</v>
          </cell>
          <cell r="G10">
            <v>396895</v>
          </cell>
          <cell r="H10">
            <v>61109</v>
          </cell>
          <cell r="I10">
            <v>396895</v>
          </cell>
          <cell r="J10">
            <v>37734</v>
          </cell>
          <cell r="K10">
            <v>27989.75</v>
          </cell>
          <cell r="L10">
            <v>0.61</v>
          </cell>
          <cell r="M10">
            <v>0.23</v>
          </cell>
          <cell r="N10">
            <v>61109</v>
          </cell>
          <cell r="O10">
            <v>0.3</v>
          </cell>
          <cell r="P10">
            <v>7.0000000000000007E-2</v>
          </cell>
          <cell r="Q10">
            <v>31.35</v>
          </cell>
          <cell r="R10">
            <v>399228</v>
          </cell>
          <cell r="S10">
            <v>37427</v>
          </cell>
          <cell r="T10">
            <v>37734</v>
          </cell>
          <cell r="U10">
            <v>27989.75</v>
          </cell>
          <cell r="V10">
            <v>0.61</v>
          </cell>
          <cell r="W10">
            <v>0.23</v>
          </cell>
          <cell r="X10">
            <v>1.39</v>
          </cell>
          <cell r="Y10">
            <v>0.3</v>
          </cell>
          <cell r="Z10">
            <v>7.0000000000000007E-2</v>
          </cell>
          <cell r="AA10">
            <v>31.35</v>
          </cell>
          <cell r="AB10">
            <v>399228</v>
          </cell>
          <cell r="AC10">
            <v>17073.747500000001</v>
          </cell>
          <cell r="AD10">
            <v>8678.82</v>
          </cell>
          <cell r="AE10">
            <v>52023.53</v>
          </cell>
          <cell r="AF10">
            <v>11320.199999999999</v>
          </cell>
          <cell r="AG10">
            <v>86754</v>
          </cell>
          <cell r="AH10">
            <v>1173336.45</v>
          </cell>
          <cell r="AI10">
            <v>43473.601999999999</v>
          </cell>
          <cell r="AJ10">
            <v>22496.7</v>
          </cell>
          <cell r="AK10">
            <v>27570.959999999999</v>
          </cell>
          <cell r="AL10">
            <v>10728</v>
          </cell>
          <cell r="AM10">
            <v>12710</v>
          </cell>
          <cell r="AN10">
            <v>71268.2</v>
          </cell>
          <cell r="AO10">
            <v>0.61</v>
          </cell>
          <cell r="AP10">
            <v>1.77</v>
          </cell>
          <cell r="AQ10">
            <v>2.57</v>
          </cell>
          <cell r="AR10">
            <v>1.23</v>
          </cell>
          <cell r="AS10">
            <v>0.14000000000000001</v>
          </cell>
          <cell r="AT10">
            <v>21.8710933851447</v>
          </cell>
          <cell r="AU10">
            <v>17073.747500000001</v>
          </cell>
          <cell r="AV10">
            <v>8678.82</v>
          </cell>
          <cell r="AW10">
            <v>52023.53</v>
          </cell>
          <cell r="AX10">
            <v>11320.199999999999</v>
          </cell>
          <cell r="AY10">
            <v>1959.2825000000003</v>
          </cell>
          <cell r="AZ10">
            <v>1173336.45</v>
          </cell>
          <cell r="BA10">
            <v>43473.601999999999</v>
          </cell>
          <cell r="BB10">
            <v>22496.7</v>
          </cell>
          <cell r="BC10">
            <v>27570.959999999999</v>
          </cell>
          <cell r="BD10">
            <v>15633.3</v>
          </cell>
          <cell r="BE10">
            <v>9977.5480000000007</v>
          </cell>
          <cell r="BF10">
            <v>234633.08983583233</v>
          </cell>
          <cell r="BG10">
            <v>3.2631468927016814E-2</v>
          </cell>
          <cell r="BH10">
            <v>1.0186999999999999</v>
          </cell>
        </row>
        <row r="11">
          <cell r="A11" t="str">
            <v>AP</v>
          </cell>
          <cell r="B11" t="str">
            <v>PH</v>
          </cell>
          <cell r="C11" t="str">
            <v>B</v>
          </cell>
          <cell r="D11" t="str">
            <v>B</v>
          </cell>
          <cell r="E11">
            <v>740607</v>
          </cell>
          <cell r="F11">
            <v>47860</v>
          </cell>
          <cell r="G11">
            <v>298158</v>
          </cell>
          <cell r="H11">
            <v>21926</v>
          </cell>
          <cell r="I11">
            <v>298158</v>
          </cell>
          <cell r="J11">
            <v>25931</v>
          </cell>
          <cell r="K11">
            <v>37547.65</v>
          </cell>
          <cell r="L11">
            <v>1.44</v>
          </cell>
          <cell r="M11">
            <v>0.33</v>
          </cell>
          <cell r="N11">
            <v>21926</v>
          </cell>
          <cell r="O11">
            <v>0.19</v>
          </cell>
          <cell r="P11">
            <v>0.16</v>
          </cell>
          <cell r="Q11">
            <v>12.85</v>
          </cell>
          <cell r="R11">
            <v>442450</v>
          </cell>
          <cell r="S11">
            <v>24919</v>
          </cell>
          <cell r="T11">
            <v>25931</v>
          </cell>
          <cell r="U11">
            <v>37547.65</v>
          </cell>
          <cell r="V11">
            <v>1.44</v>
          </cell>
          <cell r="W11">
            <v>0.33</v>
          </cell>
          <cell r="X11">
            <v>1.31</v>
          </cell>
          <cell r="Y11">
            <v>0.19</v>
          </cell>
          <cell r="Z11">
            <v>0.16</v>
          </cell>
          <cell r="AA11">
            <v>12.85</v>
          </cell>
          <cell r="AB11">
            <v>442450</v>
          </cell>
          <cell r="AC11">
            <v>54068.616000000002</v>
          </cell>
          <cell r="AD11">
            <v>8557.23</v>
          </cell>
          <cell r="AE11">
            <v>32643.890000000003</v>
          </cell>
          <cell r="AF11">
            <v>4926.8900000000003</v>
          </cell>
          <cell r="AG11">
            <v>25933</v>
          </cell>
          <cell r="AH11">
            <v>320209.14999999997</v>
          </cell>
          <cell r="AI11">
            <v>151230.67199999999</v>
          </cell>
          <cell r="AJ11">
            <v>23729.95</v>
          </cell>
          <cell r="AK11">
            <v>31352.16</v>
          </cell>
          <cell r="AL11">
            <v>10664</v>
          </cell>
          <cell r="AM11">
            <v>12827</v>
          </cell>
          <cell r="AN11">
            <v>105021.3</v>
          </cell>
          <cell r="AO11">
            <v>1.44</v>
          </cell>
          <cell r="AP11">
            <v>1.85</v>
          </cell>
          <cell r="AQ11">
            <v>2.94</v>
          </cell>
          <cell r="AR11">
            <v>0.27</v>
          </cell>
          <cell r="AS11">
            <v>0.04</v>
          </cell>
          <cell r="AT11">
            <v>38.362754754698003</v>
          </cell>
          <cell r="AU11">
            <v>54068.616000000002</v>
          </cell>
          <cell r="AV11">
            <v>8557.23</v>
          </cell>
          <cell r="AW11">
            <v>32643.890000000003</v>
          </cell>
          <cell r="AX11">
            <v>4926.8900000000003</v>
          </cell>
          <cell r="AY11">
            <v>6007.6240000000007</v>
          </cell>
          <cell r="AZ11">
            <v>320209.14999999997</v>
          </cell>
          <cell r="BA11">
            <v>151230.67199999999</v>
          </cell>
          <cell r="BB11">
            <v>23729.95</v>
          </cell>
          <cell r="BC11">
            <v>31352.16</v>
          </cell>
          <cell r="BD11">
            <v>3463.2900000000004</v>
          </cell>
          <cell r="BE11">
            <v>4200.8519999999999</v>
          </cell>
          <cell r="BF11">
            <v>409100.41670409951</v>
          </cell>
          <cell r="BG11">
            <v>3.0355980555305074E-2</v>
          </cell>
          <cell r="BH11">
            <v>2.4047999999999998</v>
          </cell>
        </row>
        <row r="12">
          <cell r="A12" t="str">
            <v>AP</v>
          </cell>
          <cell r="B12" t="str">
            <v>BN</v>
          </cell>
          <cell r="C12" t="str">
            <v>B</v>
          </cell>
          <cell r="D12" t="str">
            <v>B</v>
          </cell>
          <cell r="E12">
            <v>131538</v>
          </cell>
          <cell r="F12">
            <v>9779</v>
          </cell>
          <cell r="G12">
            <v>57362</v>
          </cell>
          <cell r="H12">
            <v>2245</v>
          </cell>
          <cell r="I12">
            <v>57362</v>
          </cell>
          <cell r="J12">
            <v>5071</v>
          </cell>
          <cell r="K12">
            <v>4117.5</v>
          </cell>
          <cell r="L12">
            <v>1.55</v>
          </cell>
          <cell r="M12">
            <v>0.26</v>
          </cell>
          <cell r="N12">
            <v>2245</v>
          </cell>
          <cell r="O12">
            <v>0.42</v>
          </cell>
          <cell r="P12">
            <v>0.12</v>
          </cell>
          <cell r="Q12">
            <v>16.5</v>
          </cell>
          <cell r="R12">
            <v>74175</v>
          </cell>
          <cell r="S12">
            <v>4976</v>
          </cell>
          <cell r="T12">
            <v>5071</v>
          </cell>
          <cell r="U12">
            <v>4117.5</v>
          </cell>
          <cell r="V12">
            <v>1.55</v>
          </cell>
          <cell r="W12">
            <v>0.26</v>
          </cell>
          <cell r="X12">
            <v>1.0900000000000001</v>
          </cell>
          <cell r="Y12">
            <v>0.42</v>
          </cell>
          <cell r="Z12">
            <v>0.12</v>
          </cell>
          <cell r="AA12">
            <v>16.5</v>
          </cell>
          <cell r="AB12">
            <v>74175</v>
          </cell>
          <cell r="AC12">
            <v>6382.125</v>
          </cell>
          <cell r="AD12">
            <v>1318.46</v>
          </cell>
          <cell r="AE12">
            <v>5423.84</v>
          </cell>
          <cell r="AF12">
            <v>2129.8199999999997</v>
          </cell>
          <cell r="AG12">
            <v>7535</v>
          </cell>
          <cell r="AH12">
            <v>82104</v>
          </cell>
          <cell r="AI12">
            <v>19703.915000000001</v>
          </cell>
          <cell r="AJ12">
            <v>3533.25</v>
          </cell>
          <cell r="AK12">
            <v>5989.08</v>
          </cell>
          <cell r="AL12">
            <v>1721</v>
          </cell>
          <cell r="AM12">
            <v>2019</v>
          </cell>
          <cell r="AN12">
            <v>12794.75</v>
          </cell>
          <cell r="AO12">
            <v>1.54</v>
          </cell>
          <cell r="AP12">
            <v>1.75</v>
          </cell>
          <cell r="AQ12">
            <v>3.48</v>
          </cell>
          <cell r="AR12">
            <v>0.93</v>
          </cell>
          <cell r="AS12">
            <v>7.0000000000000007E-2</v>
          </cell>
          <cell r="AT12">
            <v>22.413422014141801</v>
          </cell>
          <cell r="AU12">
            <v>6382.125</v>
          </cell>
          <cell r="AV12">
            <v>1318.46</v>
          </cell>
          <cell r="AW12">
            <v>5423.84</v>
          </cell>
          <cell r="AX12">
            <v>2129.8199999999997</v>
          </cell>
          <cell r="AY12">
            <v>494.09999999999997</v>
          </cell>
          <cell r="AZ12">
            <v>82104</v>
          </cell>
          <cell r="BA12">
            <v>19703.915000000001</v>
          </cell>
          <cell r="BB12">
            <v>3533.25</v>
          </cell>
          <cell r="BC12">
            <v>5989.08</v>
          </cell>
          <cell r="BD12">
            <v>1877.67</v>
          </cell>
          <cell r="BE12">
            <v>895.63250000000005</v>
          </cell>
          <cell r="BF12">
            <v>38573.499286338039</v>
          </cell>
          <cell r="BG12">
            <v>5.3914761409002603E-3</v>
          </cell>
          <cell r="BH12">
            <v>2.5718000000000001</v>
          </cell>
        </row>
        <row r="13">
          <cell r="A13" t="str">
            <v>AP</v>
          </cell>
          <cell r="B13" t="str">
            <v>MO</v>
          </cell>
          <cell r="C13" t="str">
            <v>B</v>
          </cell>
          <cell r="D13" t="str">
            <v>B</v>
          </cell>
          <cell r="E13">
            <v>12651</v>
          </cell>
          <cell r="F13">
            <v>1226</v>
          </cell>
          <cell r="G13">
            <v>6176</v>
          </cell>
          <cell r="H13">
            <v>-164</v>
          </cell>
          <cell r="I13">
            <v>6176</v>
          </cell>
          <cell r="J13">
            <v>504</v>
          </cell>
          <cell r="K13">
            <v>295.35000000000002</v>
          </cell>
          <cell r="L13">
            <v>1.36</v>
          </cell>
          <cell r="M13">
            <v>0.17</v>
          </cell>
          <cell r="N13">
            <v>-164</v>
          </cell>
          <cell r="O13">
            <v>0.79</v>
          </cell>
          <cell r="P13">
            <v>0.22</v>
          </cell>
          <cell r="Q13">
            <v>22.84</v>
          </cell>
          <cell r="R13">
            <v>6476</v>
          </cell>
          <cell r="S13">
            <v>503</v>
          </cell>
          <cell r="T13">
            <v>504</v>
          </cell>
          <cell r="U13">
            <v>295.35000000000002</v>
          </cell>
          <cell r="V13">
            <v>1.36</v>
          </cell>
          <cell r="W13">
            <v>0.17</v>
          </cell>
          <cell r="X13">
            <v>2.39</v>
          </cell>
          <cell r="Y13">
            <v>0.79</v>
          </cell>
          <cell r="Z13">
            <v>0.22</v>
          </cell>
          <cell r="AA13">
            <v>22.84</v>
          </cell>
          <cell r="AB13">
            <v>6476</v>
          </cell>
          <cell r="AC13">
            <v>401.67600000000004</v>
          </cell>
          <cell r="AD13">
            <v>85.68</v>
          </cell>
          <cell r="AE13">
            <v>1202.17</v>
          </cell>
          <cell r="AF13">
            <v>398.16</v>
          </cell>
          <cell r="AG13">
            <v>1390</v>
          </cell>
          <cell r="AH13">
            <v>11488.52</v>
          </cell>
          <cell r="AI13">
            <v>843.54000000000008</v>
          </cell>
          <cell r="AJ13">
            <v>303.59999999999997</v>
          </cell>
          <cell r="AK13">
            <v>470.82000000000005</v>
          </cell>
          <cell r="AL13">
            <v>177</v>
          </cell>
          <cell r="AM13">
            <v>184</v>
          </cell>
          <cell r="AN13">
            <v>620.25</v>
          </cell>
          <cell r="AO13">
            <v>1.36</v>
          </cell>
          <cell r="AP13">
            <v>1.65</v>
          </cell>
          <cell r="AQ13">
            <v>2.66</v>
          </cell>
          <cell r="AR13">
            <v>2.88</v>
          </cell>
          <cell r="AS13">
            <v>0.17</v>
          </cell>
          <cell r="AT13">
            <v>53.314322181279501</v>
          </cell>
          <cell r="AU13">
            <v>401.67600000000004</v>
          </cell>
          <cell r="AV13">
            <v>85.68</v>
          </cell>
          <cell r="AW13">
            <v>1202.17</v>
          </cell>
          <cell r="AX13">
            <v>398.16</v>
          </cell>
          <cell r="AY13">
            <v>64.977000000000004</v>
          </cell>
          <cell r="AZ13">
            <v>11488.52</v>
          </cell>
          <cell r="BA13">
            <v>843.54000000000008</v>
          </cell>
          <cell r="BB13">
            <v>303.59999999999997</v>
          </cell>
          <cell r="BC13">
            <v>470.82000000000005</v>
          </cell>
          <cell r="BD13">
            <v>529.91999999999996</v>
          </cell>
          <cell r="BE13">
            <v>105.44250000000001</v>
          </cell>
          <cell r="BF13">
            <v>9436.635026086471</v>
          </cell>
          <cell r="BG13">
            <v>5.1853886069827115E-4</v>
          </cell>
          <cell r="BH13">
            <v>2.2711999999999999</v>
          </cell>
        </row>
        <row r="14">
          <cell r="A14" t="str">
            <v>AP</v>
          </cell>
          <cell r="B14" t="str">
            <v>AU</v>
          </cell>
          <cell r="C14" t="str">
            <v>C</v>
          </cell>
          <cell r="D14" t="str">
            <v>C</v>
          </cell>
          <cell r="E14">
            <v>1771771</v>
          </cell>
          <cell r="F14">
            <v>102813</v>
          </cell>
          <cell r="G14">
            <v>607939</v>
          </cell>
          <cell r="H14">
            <v>13639</v>
          </cell>
          <cell r="I14">
            <v>607939</v>
          </cell>
          <cell r="J14">
            <v>40857</v>
          </cell>
          <cell r="K14">
            <v>47425.7</v>
          </cell>
          <cell r="L14">
            <v>2.14</v>
          </cell>
          <cell r="M14">
            <v>0.26</v>
          </cell>
          <cell r="N14">
            <v>13639</v>
          </cell>
          <cell r="O14">
            <v>0.55000000000000004</v>
          </cell>
          <cell r="P14">
            <v>0.15</v>
          </cell>
          <cell r="Q14">
            <v>6.38</v>
          </cell>
          <cell r="R14">
            <v>1163833</v>
          </cell>
          <cell r="S14">
            <v>39758</v>
          </cell>
          <cell r="T14">
            <v>40857</v>
          </cell>
          <cell r="U14">
            <v>47425.7</v>
          </cell>
          <cell r="V14">
            <v>2.14</v>
          </cell>
          <cell r="W14">
            <v>0.26</v>
          </cell>
          <cell r="X14">
            <v>1.95</v>
          </cell>
          <cell r="Y14">
            <v>0.55000000000000004</v>
          </cell>
          <cell r="Z14">
            <v>0.15</v>
          </cell>
          <cell r="AA14">
            <v>6.38</v>
          </cell>
          <cell r="AB14">
            <v>1163833</v>
          </cell>
          <cell r="AC14">
            <v>101490.99800000001</v>
          </cell>
          <cell r="AD14">
            <v>10622.82</v>
          </cell>
          <cell r="AE14">
            <v>77528.099999999991</v>
          </cell>
          <cell r="AF14">
            <v>22471.350000000002</v>
          </cell>
          <cell r="AG14">
            <v>89174</v>
          </cell>
          <cell r="AH14">
            <v>253656.04</v>
          </cell>
          <cell r="AI14">
            <v>430831.19</v>
          </cell>
          <cell r="AJ14">
            <v>44363.1</v>
          </cell>
          <cell r="AK14">
            <v>107964.12</v>
          </cell>
          <cell r="AL14">
            <v>20218</v>
          </cell>
          <cell r="AM14">
            <v>24510</v>
          </cell>
          <cell r="AN14">
            <v>200386.6</v>
          </cell>
          <cell r="AO14">
            <v>2.15</v>
          </cell>
          <cell r="AP14">
            <v>1.81</v>
          </cell>
          <cell r="AQ14">
            <v>5.34</v>
          </cell>
          <cell r="AR14">
            <v>2.4700000000000002</v>
          </cell>
          <cell r="AS14">
            <v>0.14000000000000001</v>
          </cell>
          <cell r="AT14">
            <v>16.421750121028801</v>
          </cell>
          <cell r="AU14">
            <v>101490.99800000001</v>
          </cell>
          <cell r="AV14">
            <v>10622.82</v>
          </cell>
          <cell r="AW14">
            <v>77528.099999999991</v>
          </cell>
          <cell r="AX14">
            <v>22471.350000000002</v>
          </cell>
          <cell r="AY14">
            <v>7113.8549999999996</v>
          </cell>
          <cell r="AZ14">
            <v>253656.04</v>
          </cell>
          <cell r="BA14">
            <v>430831.19</v>
          </cell>
          <cell r="BB14">
            <v>44363.1</v>
          </cell>
          <cell r="BC14">
            <v>107964.12</v>
          </cell>
          <cell r="BD14">
            <v>60539.700000000004</v>
          </cell>
          <cell r="BE14">
            <v>28054.124000000003</v>
          </cell>
          <cell r="BF14">
            <v>332014.94394696027</v>
          </cell>
          <cell r="BG14">
            <v>7.2621303909432972E-2</v>
          </cell>
          <cell r="BH14">
            <v>3.5904999999999996</v>
          </cell>
        </row>
        <row r="15">
          <cell r="A15" t="str">
            <v>AP</v>
          </cell>
          <cell r="B15" t="str">
            <v>CN</v>
          </cell>
          <cell r="C15" t="str">
            <v>C</v>
          </cell>
          <cell r="D15" t="str">
            <v>C</v>
          </cell>
          <cell r="E15">
            <v>1201213</v>
          </cell>
          <cell r="F15">
            <v>89921</v>
          </cell>
          <cell r="G15">
            <v>560992</v>
          </cell>
          <cell r="H15">
            <v>-29763</v>
          </cell>
          <cell r="I15">
            <v>560992</v>
          </cell>
          <cell r="J15">
            <v>36703</v>
          </cell>
          <cell r="K15">
            <v>31059.45</v>
          </cell>
          <cell r="L15">
            <v>2.37</v>
          </cell>
          <cell r="M15">
            <v>0.22</v>
          </cell>
          <cell r="N15">
            <v>-29763</v>
          </cell>
          <cell r="O15">
            <v>0.72</v>
          </cell>
          <cell r="P15">
            <v>0.25</v>
          </cell>
          <cell r="Q15">
            <v>17.84</v>
          </cell>
          <cell r="R15">
            <v>640221</v>
          </cell>
          <cell r="S15">
            <v>36267</v>
          </cell>
          <cell r="T15">
            <v>36703</v>
          </cell>
          <cell r="U15">
            <v>31059.45</v>
          </cell>
          <cell r="V15">
            <v>2.37</v>
          </cell>
          <cell r="W15">
            <v>0.22</v>
          </cell>
          <cell r="X15">
            <v>3.16</v>
          </cell>
          <cell r="Y15">
            <v>0.72</v>
          </cell>
          <cell r="Z15">
            <v>0.25</v>
          </cell>
          <cell r="AA15">
            <v>17.84</v>
          </cell>
          <cell r="AB15">
            <v>640221</v>
          </cell>
          <cell r="AC15">
            <v>73610.896500000003</v>
          </cell>
          <cell r="AD15">
            <v>8074.66</v>
          </cell>
          <cell r="AE15">
            <v>114603.72</v>
          </cell>
          <cell r="AF15">
            <v>26426.16</v>
          </cell>
          <cell r="AG15">
            <v>119684</v>
          </cell>
          <cell r="AH15">
            <v>647003.28</v>
          </cell>
          <cell r="AI15">
            <v>144470.8345</v>
          </cell>
          <cell r="AJ15">
            <v>20457.54</v>
          </cell>
          <cell r="AK15">
            <v>58644.81</v>
          </cell>
          <cell r="AL15">
            <v>10343</v>
          </cell>
          <cell r="AM15">
            <v>11493</v>
          </cell>
          <cell r="AN15">
            <v>62004.65</v>
          </cell>
          <cell r="AO15">
            <v>2.33</v>
          </cell>
          <cell r="AP15">
            <v>1.78</v>
          </cell>
          <cell r="AQ15">
            <v>5.67</v>
          </cell>
          <cell r="AR15">
            <v>2.2200000000000002</v>
          </cell>
          <cell r="AS15">
            <v>0.33</v>
          </cell>
          <cell r="AT15">
            <v>21.69</v>
          </cell>
          <cell r="AU15">
            <v>73610.896500000003</v>
          </cell>
          <cell r="AV15">
            <v>8074.66</v>
          </cell>
          <cell r="AW15">
            <v>114603.72</v>
          </cell>
          <cell r="AX15">
            <v>26426.16</v>
          </cell>
          <cell r="AY15">
            <v>7764.8625000000002</v>
          </cell>
          <cell r="AZ15">
            <v>647003.28</v>
          </cell>
          <cell r="BA15">
            <v>144470.8345</v>
          </cell>
          <cell r="BB15">
            <v>20457.54</v>
          </cell>
          <cell r="BC15">
            <v>58644.81</v>
          </cell>
          <cell r="BD15">
            <v>25514.460000000003</v>
          </cell>
          <cell r="BE15">
            <v>20461.534500000002</v>
          </cell>
          <cell r="BF15">
            <v>224339.67</v>
          </cell>
          <cell r="BG15">
            <v>4.9235287366686614E-2</v>
          </cell>
          <cell r="BH15">
            <v>3.8910999999999998</v>
          </cell>
        </row>
        <row r="16">
          <cell r="A16" t="str">
            <v>AP</v>
          </cell>
          <cell r="B16" t="str">
            <v>KR</v>
          </cell>
          <cell r="C16" t="str">
            <v>C</v>
          </cell>
          <cell r="D16" t="str">
            <v>C</v>
          </cell>
          <cell r="E16">
            <v>737918</v>
          </cell>
          <cell r="F16">
            <v>-120432</v>
          </cell>
          <cell r="G16">
            <v>228655</v>
          </cell>
          <cell r="H16">
            <v>-13311</v>
          </cell>
          <cell r="I16">
            <v>228655</v>
          </cell>
          <cell r="J16">
            <v>21064</v>
          </cell>
          <cell r="K16">
            <v>21549.95</v>
          </cell>
          <cell r="L16">
            <v>1.8</v>
          </cell>
          <cell r="M16">
            <v>0.26</v>
          </cell>
          <cell r="N16">
            <v>-13311</v>
          </cell>
          <cell r="O16">
            <v>0.3</v>
          </cell>
          <cell r="P16">
            <v>0.06</v>
          </cell>
          <cell r="Q16">
            <v>25.78</v>
          </cell>
          <cell r="R16">
            <v>509263</v>
          </cell>
          <cell r="S16">
            <v>20637</v>
          </cell>
          <cell r="T16">
            <v>21064</v>
          </cell>
          <cell r="U16">
            <v>21549.95</v>
          </cell>
          <cell r="V16">
            <v>1.8</v>
          </cell>
          <cell r="W16">
            <v>0.26</v>
          </cell>
          <cell r="X16">
            <v>2.69</v>
          </cell>
          <cell r="Y16">
            <v>0.3</v>
          </cell>
          <cell r="Z16">
            <v>0.06</v>
          </cell>
          <cell r="AA16">
            <v>25.78</v>
          </cell>
          <cell r="AB16">
            <v>509263</v>
          </cell>
          <cell r="AC16">
            <v>38789.910000000003</v>
          </cell>
          <cell r="AD16">
            <v>5476.64</v>
          </cell>
          <cell r="AE16">
            <v>55513.53</v>
          </cell>
          <cell r="AF16">
            <v>6319.2</v>
          </cell>
          <cell r="AG16">
            <v>-107121</v>
          </cell>
          <cell r="AH16">
            <v>532021.86</v>
          </cell>
          <cell r="AI16">
            <v>236186.63999999998</v>
          </cell>
          <cell r="AJ16">
            <v>33247.599999999999</v>
          </cell>
          <cell r="AK16">
            <v>33221.279999999999</v>
          </cell>
          <cell r="AL16">
            <v>12396</v>
          </cell>
          <cell r="AM16">
            <v>19330</v>
          </cell>
          <cell r="AN16">
            <v>131214.79999999999</v>
          </cell>
          <cell r="AO16">
            <v>1.8</v>
          </cell>
          <cell r="AP16">
            <v>1.72</v>
          </cell>
          <cell r="AQ16">
            <v>2.68</v>
          </cell>
          <cell r="AR16">
            <v>1.35</v>
          </cell>
          <cell r="AS16">
            <v>0.18</v>
          </cell>
          <cell r="AT16">
            <v>21.879848623275699</v>
          </cell>
          <cell r="AU16">
            <v>38789.910000000003</v>
          </cell>
          <cell r="AV16">
            <v>5476.64</v>
          </cell>
          <cell r="AW16">
            <v>55513.53</v>
          </cell>
          <cell r="AX16">
            <v>6319.2</v>
          </cell>
          <cell r="AY16">
            <v>1292.9970000000001</v>
          </cell>
          <cell r="AZ16">
            <v>532021.86</v>
          </cell>
          <cell r="BA16">
            <v>236186.63999999998</v>
          </cell>
          <cell r="BB16">
            <v>33247.599999999999</v>
          </cell>
          <cell r="BC16">
            <v>33221.279999999999</v>
          </cell>
          <cell r="BD16">
            <v>26095.5</v>
          </cell>
          <cell r="BE16">
            <v>23618.663999999997</v>
          </cell>
          <cell r="BF16">
            <v>271222.60353412555</v>
          </cell>
          <cell r="BG16">
            <v>3.0245763892873832E-2</v>
          </cell>
          <cell r="BH16">
            <v>3.0059999999999998</v>
          </cell>
        </row>
        <row r="17">
          <cell r="A17" t="str">
            <v>AP</v>
          </cell>
          <cell r="B17" t="str">
            <v>NZ</v>
          </cell>
          <cell r="C17" t="str">
            <v>C</v>
          </cell>
          <cell r="D17" t="str">
            <v>C</v>
          </cell>
          <cell r="E17">
            <v>342459</v>
          </cell>
          <cell r="F17">
            <v>13774</v>
          </cell>
          <cell r="G17">
            <v>101217</v>
          </cell>
          <cell r="H17">
            <v>14551</v>
          </cell>
          <cell r="I17">
            <v>101217</v>
          </cell>
          <cell r="J17">
            <v>7031</v>
          </cell>
          <cell r="K17">
            <v>7755.45</v>
          </cell>
          <cell r="L17">
            <v>3.04</v>
          </cell>
          <cell r="M17">
            <v>0.24</v>
          </cell>
          <cell r="N17">
            <v>14551</v>
          </cell>
          <cell r="O17">
            <v>0.72</v>
          </cell>
          <cell r="P17">
            <v>0.11</v>
          </cell>
          <cell r="Q17">
            <v>7.82</v>
          </cell>
          <cell r="R17">
            <v>241241</v>
          </cell>
          <cell r="S17">
            <v>6837</v>
          </cell>
          <cell r="T17">
            <v>7031</v>
          </cell>
          <cell r="U17">
            <v>7755.45</v>
          </cell>
          <cell r="V17">
            <v>3.04</v>
          </cell>
          <cell r="W17">
            <v>0.24</v>
          </cell>
          <cell r="X17">
            <v>2.71</v>
          </cell>
          <cell r="Y17">
            <v>0.72</v>
          </cell>
          <cell r="Z17">
            <v>0.11</v>
          </cell>
          <cell r="AA17">
            <v>7.82</v>
          </cell>
          <cell r="AB17">
            <v>241241</v>
          </cell>
          <cell r="AC17">
            <v>23576.567999999999</v>
          </cell>
          <cell r="AD17">
            <v>1687.4399999999998</v>
          </cell>
          <cell r="AE17">
            <v>18528.27</v>
          </cell>
          <cell r="AF17">
            <v>5062.32</v>
          </cell>
          <cell r="AG17">
            <v>-777</v>
          </cell>
          <cell r="AH17">
            <v>53465.340000000004</v>
          </cell>
          <cell r="AI17">
            <v>131819.51999999999</v>
          </cell>
          <cell r="AJ17">
            <v>8756.5500000000011</v>
          </cell>
          <cell r="AK17">
            <v>9430</v>
          </cell>
          <cell r="AL17">
            <v>4100</v>
          </cell>
          <cell r="AM17">
            <v>4785</v>
          </cell>
          <cell r="AN17">
            <v>47078.400000000001</v>
          </cell>
          <cell r="AO17">
            <v>2.8</v>
          </cell>
          <cell r="AP17">
            <v>1.83</v>
          </cell>
          <cell r="AQ17">
            <v>2.2999999999999998</v>
          </cell>
          <cell r="AR17">
            <v>1.17</v>
          </cell>
          <cell r="AS17">
            <v>0.06</v>
          </cell>
          <cell r="AT17">
            <v>22.3697245413926</v>
          </cell>
          <cell r="AU17">
            <v>23576.567999999999</v>
          </cell>
          <cell r="AV17">
            <v>1687.4399999999998</v>
          </cell>
          <cell r="AW17">
            <v>18528.27</v>
          </cell>
          <cell r="AX17">
            <v>5062.32</v>
          </cell>
          <cell r="AY17">
            <v>853.09950000000003</v>
          </cell>
          <cell r="AZ17">
            <v>53465.340000000004</v>
          </cell>
          <cell r="BA17">
            <v>131819.51999999999</v>
          </cell>
          <cell r="BB17">
            <v>8756.5500000000011</v>
          </cell>
          <cell r="BC17">
            <v>9430</v>
          </cell>
          <cell r="BD17">
            <v>5598.45</v>
          </cell>
          <cell r="BE17">
            <v>2824.7040000000002</v>
          </cell>
          <cell r="BF17">
            <v>91715.870619709662</v>
          </cell>
          <cell r="BG17">
            <v>1.4036700632034561E-2</v>
          </cell>
          <cell r="BH17">
            <v>4.6759999999999993</v>
          </cell>
        </row>
        <row r="18">
          <cell r="A18" t="str">
            <v>AP</v>
          </cell>
          <cell r="B18" t="str">
            <v>JP</v>
          </cell>
          <cell r="C18" t="str">
            <v>D</v>
          </cell>
          <cell r="D18" t="str">
            <v>D</v>
          </cell>
          <cell r="E18">
            <v>1791194</v>
          </cell>
          <cell r="F18">
            <v>-132592</v>
          </cell>
          <cell r="G18">
            <v>749381</v>
          </cell>
          <cell r="H18">
            <v>3510</v>
          </cell>
          <cell r="I18">
            <v>749381</v>
          </cell>
          <cell r="J18">
            <v>50883</v>
          </cell>
          <cell r="K18">
            <v>44995.8</v>
          </cell>
          <cell r="L18">
            <v>1.7</v>
          </cell>
          <cell r="M18">
            <v>0.26</v>
          </cell>
          <cell r="N18">
            <v>3510</v>
          </cell>
          <cell r="O18">
            <v>0.93</v>
          </cell>
          <cell r="P18">
            <v>0.38</v>
          </cell>
          <cell r="Q18">
            <v>9.9600000000000009</v>
          </cell>
          <cell r="R18">
            <v>1041813</v>
          </cell>
          <cell r="S18">
            <v>49628</v>
          </cell>
          <cell r="T18">
            <v>50883</v>
          </cell>
          <cell r="U18">
            <v>44995.8</v>
          </cell>
          <cell r="V18">
            <v>1.7</v>
          </cell>
          <cell r="W18">
            <v>0.26</v>
          </cell>
          <cell r="X18">
            <v>8.2899999999999991</v>
          </cell>
          <cell r="Y18">
            <v>0.93</v>
          </cell>
          <cell r="Z18">
            <v>0.38</v>
          </cell>
          <cell r="AA18">
            <v>9.9600000000000009</v>
          </cell>
          <cell r="AB18">
            <v>1041813</v>
          </cell>
          <cell r="AC18">
            <v>76492.86</v>
          </cell>
          <cell r="AD18">
            <v>13229.58</v>
          </cell>
          <cell r="AE18">
            <v>411416.11999999994</v>
          </cell>
          <cell r="AF18">
            <v>47321.19</v>
          </cell>
          <cell r="AG18">
            <v>-136101</v>
          </cell>
          <cell r="AH18">
            <v>494294.88000000006</v>
          </cell>
          <cell r="AI18">
            <v>200178.41249999998</v>
          </cell>
          <cell r="AJ18">
            <v>42661.8</v>
          </cell>
          <cell r="AK18">
            <v>238539.90000000002</v>
          </cell>
          <cell r="AL18">
            <v>20815</v>
          </cell>
          <cell r="AM18">
            <v>24660</v>
          </cell>
          <cell r="AN18">
            <v>121320.25</v>
          </cell>
          <cell r="AO18">
            <v>1.65</v>
          </cell>
          <cell r="AP18">
            <v>1.73</v>
          </cell>
          <cell r="AQ18">
            <v>11.46</v>
          </cell>
          <cell r="AR18">
            <v>5.59</v>
          </cell>
          <cell r="AS18">
            <v>0.54</v>
          </cell>
          <cell r="AT18">
            <v>34.0995131524136</v>
          </cell>
          <cell r="AU18">
            <v>76492.86</v>
          </cell>
          <cell r="AV18">
            <v>13229.58</v>
          </cell>
          <cell r="AW18">
            <v>411416.11999999994</v>
          </cell>
          <cell r="AX18">
            <v>47321.19</v>
          </cell>
          <cell r="AY18">
            <v>17098.404000000002</v>
          </cell>
          <cell r="AZ18">
            <v>494294.88000000006</v>
          </cell>
          <cell r="BA18">
            <v>200178.41249999998</v>
          </cell>
          <cell r="BB18">
            <v>42661.8</v>
          </cell>
          <cell r="BC18">
            <v>238539.90000000002</v>
          </cell>
          <cell r="BD18">
            <v>137849.4</v>
          </cell>
          <cell r="BE18">
            <v>65512.935000000005</v>
          </cell>
          <cell r="BF18">
            <v>709781.36626748904</v>
          </cell>
          <cell r="BG18">
            <v>7.3417413330928702E-2</v>
          </cell>
          <cell r="BH18">
            <v>2.7554999999999996</v>
          </cell>
        </row>
        <row r="19">
          <cell r="A19" t="str">
            <v>AP</v>
          </cell>
          <cell r="B19" t="str">
            <v>IN</v>
          </cell>
          <cell r="C19" t="str">
            <v>D</v>
          </cell>
          <cell r="D19" t="str">
            <v>D</v>
          </cell>
          <cell r="E19">
            <v>836136</v>
          </cell>
          <cell r="F19">
            <v>256383</v>
          </cell>
          <cell r="G19">
            <v>519668</v>
          </cell>
          <cell r="H19">
            <v>205353</v>
          </cell>
          <cell r="I19">
            <v>519668</v>
          </cell>
          <cell r="J19">
            <v>27873</v>
          </cell>
          <cell r="K19">
            <v>20292.75</v>
          </cell>
          <cell r="L19">
            <v>3.36</v>
          </cell>
          <cell r="M19">
            <v>0.22</v>
          </cell>
          <cell r="N19">
            <v>205353</v>
          </cell>
          <cell r="O19">
            <v>0.32</v>
          </cell>
          <cell r="P19">
            <v>0.1</v>
          </cell>
          <cell r="Q19">
            <v>21.1</v>
          </cell>
          <cell r="R19">
            <v>316468</v>
          </cell>
          <cell r="S19">
            <v>27651</v>
          </cell>
          <cell r="T19">
            <v>27873</v>
          </cell>
          <cell r="U19">
            <v>20292.75</v>
          </cell>
          <cell r="V19">
            <v>3.36</v>
          </cell>
          <cell r="W19">
            <v>0.22</v>
          </cell>
          <cell r="X19">
            <v>0.74</v>
          </cell>
          <cell r="Y19">
            <v>0.32</v>
          </cell>
          <cell r="Z19">
            <v>0.1</v>
          </cell>
          <cell r="AA19">
            <v>21.1</v>
          </cell>
          <cell r="AB19">
            <v>316468</v>
          </cell>
          <cell r="AC19">
            <v>68183.64</v>
          </cell>
          <cell r="AD19">
            <v>6132.06</v>
          </cell>
          <cell r="AE19">
            <v>20461.739999999998</v>
          </cell>
          <cell r="AF19">
            <v>8919.36</v>
          </cell>
          <cell r="AG19">
            <v>51030</v>
          </cell>
          <cell r="AH19">
            <v>583436.10000000009</v>
          </cell>
          <cell r="AI19">
            <v>90774.775999999998</v>
          </cell>
          <cell r="AJ19">
            <v>11352.69</v>
          </cell>
          <cell r="AK19">
            <v>51628.639999999999</v>
          </cell>
          <cell r="AL19">
            <v>5948</v>
          </cell>
          <cell r="AM19">
            <v>6639</v>
          </cell>
          <cell r="AN19">
            <v>27341.8</v>
          </cell>
          <cell r="AO19">
            <v>3.32</v>
          </cell>
          <cell r="AP19">
            <v>1.71</v>
          </cell>
          <cell r="AQ19">
            <v>8.68</v>
          </cell>
          <cell r="AR19">
            <v>1.32</v>
          </cell>
          <cell r="AS19">
            <v>0.11</v>
          </cell>
          <cell r="AT19">
            <v>25.98</v>
          </cell>
          <cell r="AU19">
            <v>68183.64</v>
          </cell>
          <cell r="AV19">
            <v>6132.06</v>
          </cell>
          <cell r="AW19">
            <v>20461.739999999998</v>
          </cell>
          <cell r="AX19">
            <v>8919.36</v>
          </cell>
          <cell r="AY19">
            <v>2029.2750000000001</v>
          </cell>
          <cell r="AZ19">
            <v>583436.10000000009</v>
          </cell>
          <cell r="BA19">
            <v>90774.775999999998</v>
          </cell>
          <cell r="BB19">
            <v>11352.69</v>
          </cell>
          <cell r="BC19">
            <v>51628.639999999999</v>
          </cell>
          <cell r="BD19">
            <v>8763.48</v>
          </cell>
          <cell r="BE19">
            <v>3007.598</v>
          </cell>
          <cell r="BF19">
            <v>154529.04</v>
          </cell>
          <cell r="BG19">
            <v>3.4271520735816109E-2</v>
          </cell>
          <cell r="BH19">
            <v>5.5443999999999996</v>
          </cell>
        </row>
        <row r="20">
          <cell r="A20" t="str">
            <v>AP</v>
          </cell>
          <cell r="B20" t="str">
            <v>VN</v>
          </cell>
          <cell r="C20" t="str">
            <v>D</v>
          </cell>
          <cell r="D20" t="str">
            <v>D</v>
          </cell>
          <cell r="E20">
            <v>708675</v>
          </cell>
          <cell r="F20">
            <v>376727</v>
          </cell>
          <cell r="G20">
            <v>412337</v>
          </cell>
          <cell r="H20">
            <v>207454</v>
          </cell>
          <cell r="I20">
            <v>412337</v>
          </cell>
          <cell r="J20">
            <v>15699</v>
          </cell>
          <cell r="K20">
            <v>7714.2</v>
          </cell>
          <cell r="L20">
            <v>1.33</v>
          </cell>
          <cell r="M20">
            <v>0.17</v>
          </cell>
          <cell r="N20">
            <v>207454</v>
          </cell>
          <cell r="O20">
            <v>0.73</v>
          </cell>
          <cell r="P20">
            <v>0.17</v>
          </cell>
          <cell r="Q20">
            <v>22.58</v>
          </cell>
          <cell r="R20">
            <v>296338</v>
          </cell>
          <cell r="S20">
            <v>15636</v>
          </cell>
          <cell r="T20">
            <v>15699</v>
          </cell>
          <cell r="U20">
            <v>7714.2</v>
          </cell>
          <cell r="V20">
            <v>1.33</v>
          </cell>
          <cell r="W20">
            <v>0.17</v>
          </cell>
          <cell r="X20">
            <v>2.75</v>
          </cell>
          <cell r="Y20">
            <v>0.73</v>
          </cell>
          <cell r="Z20">
            <v>0.17</v>
          </cell>
          <cell r="AA20">
            <v>22.58</v>
          </cell>
          <cell r="AB20">
            <v>296338</v>
          </cell>
          <cell r="AC20">
            <v>10259.886</v>
          </cell>
          <cell r="AD20">
            <v>2668.8300000000004</v>
          </cell>
          <cell r="AE20">
            <v>42999</v>
          </cell>
          <cell r="AF20">
            <v>11460.27</v>
          </cell>
          <cell r="AG20">
            <v>169274</v>
          </cell>
          <cell r="AH20">
            <v>353060.87999999995</v>
          </cell>
          <cell r="AI20">
            <v>22862.832999999999</v>
          </cell>
          <cell r="AJ20">
            <v>5898.92</v>
          </cell>
          <cell r="AK20">
            <v>20784.54</v>
          </cell>
          <cell r="AL20">
            <v>2982</v>
          </cell>
          <cell r="AM20">
            <v>3314</v>
          </cell>
          <cell r="AN20">
            <v>17190.099999999999</v>
          </cell>
          <cell r="AO20">
            <v>1.33</v>
          </cell>
          <cell r="AP20">
            <v>1.78</v>
          </cell>
          <cell r="AQ20">
            <v>6.97</v>
          </cell>
          <cell r="AR20">
            <v>1.23</v>
          </cell>
          <cell r="AS20">
            <v>0.14000000000000001</v>
          </cell>
          <cell r="AT20">
            <v>22.586447042641002</v>
          </cell>
          <cell r="AU20">
            <v>10259.886</v>
          </cell>
          <cell r="AV20">
            <v>2668.8300000000004</v>
          </cell>
          <cell r="AW20">
            <v>42999</v>
          </cell>
          <cell r="AX20">
            <v>11460.27</v>
          </cell>
          <cell r="AY20">
            <v>1311.414</v>
          </cell>
          <cell r="AZ20">
            <v>353060.87999999995</v>
          </cell>
          <cell r="BA20">
            <v>22862.832999999999</v>
          </cell>
          <cell r="BB20">
            <v>5898.92</v>
          </cell>
          <cell r="BC20">
            <v>20784.54</v>
          </cell>
          <cell r="BD20">
            <v>4076.22</v>
          </cell>
          <cell r="BE20">
            <v>2406.614</v>
          </cell>
          <cell r="BF20">
            <v>67352.785081155467</v>
          </cell>
          <cell r="BG20">
            <v>2.9047152565437301E-2</v>
          </cell>
          <cell r="BH20">
            <v>2.2210999999999999</v>
          </cell>
        </row>
        <row r="21">
          <cell r="A21" t="str">
            <v>ME</v>
          </cell>
          <cell r="B21" t="str">
            <v>PK</v>
          </cell>
          <cell r="C21" t="str">
            <v>D</v>
          </cell>
          <cell r="D21" t="str">
            <v>D</v>
          </cell>
          <cell r="E21">
            <v>289494</v>
          </cell>
          <cell r="F21">
            <v>171879</v>
          </cell>
          <cell r="G21">
            <v>161359</v>
          </cell>
          <cell r="H21">
            <v>102051</v>
          </cell>
          <cell r="I21">
            <v>161359</v>
          </cell>
          <cell r="J21">
            <v>4424</v>
          </cell>
          <cell r="K21">
            <v>2506.5</v>
          </cell>
          <cell r="L21">
            <v>3.19</v>
          </cell>
          <cell r="M21">
            <v>0.84</v>
          </cell>
          <cell r="N21">
            <v>102051</v>
          </cell>
          <cell r="O21">
            <v>0.39</v>
          </cell>
          <cell r="P21">
            <v>0.12</v>
          </cell>
          <cell r="Q21">
            <v>14.22</v>
          </cell>
          <cell r="R21">
            <v>128135</v>
          </cell>
          <cell r="S21">
            <v>4404</v>
          </cell>
          <cell r="T21">
            <v>4424</v>
          </cell>
          <cell r="U21">
            <v>2506.5</v>
          </cell>
          <cell r="V21">
            <v>3.19</v>
          </cell>
          <cell r="W21">
            <v>0.84</v>
          </cell>
          <cell r="X21">
            <v>1.57</v>
          </cell>
          <cell r="Y21">
            <v>0.39</v>
          </cell>
          <cell r="Z21">
            <v>0.12</v>
          </cell>
          <cell r="AA21">
            <v>14.22</v>
          </cell>
          <cell r="AB21">
            <v>128135</v>
          </cell>
          <cell r="AC21">
            <v>7995.7349999999997</v>
          </cell>
          <cell r="AD21">
            <v>3716.16</v>
          </cell>
          <cell r="AE21">
            <v>6914.2800000000007</v>
          </cell>
          <cell r="AF21">
            <v>1725.3600000000001</v>
          </cell>
          <cell r="AG21">
            <v>69828</v>
          </cell>
          <cell r="AH21">
            <v>62624.880000000005</v>
          </cell>
          <cell r="AI21">
            <v>18489.174999999999</v>
          </cell>
          <cell r="AJ21">
            <v>6907.6600000000008</v>
          </cell>
          <cell r="AK21">
            <v>5020.5599999999995</v>
          </cell>
          <cell r="AL21">
            <v>1101</v>
          </cell>
          <cell r="AM21">
            <v>1214</v>
          </cell>
          <cell r="AN21">
            <v>5964.25</v>
          </cell>
          <cell r="AO21">
            <v>3.1</v>
          </cell>
          <cell r="AP21">
            <v>5.69</v>
          </cell>
          <cell r="AQ21">
            <v>4.5599999999999996</v>
          </cell>
          <cell r="AR21">
            <v>0.79</v>
          </cell>
          <cell r="AS21">
            <v>0.16</v>
          </cell>
          <cell r="AT21">
            <v>28.210731313699899</v>
          </cell>
          <cell r="AU21">
            <v>7995.7349999999997</v>
          </cell>
          <cell r="AV21">
            <v>3716.16</v>
          </cell>
          <cell r="AW21">
            <v>6914.2800000000007</v>
          </cell>
          <cell r="AX21">
            <v>1725.3600000000001</v>
          </cell>
          <cell r="AY21">
            <v>300.77999999999997</v>
          </cell>
          <cell r="AZ21">
            <v>62624.880000000005</v>
          </cell>
          <cell r="BA21">
            <v>18489.174999999999</v>
          </cell>
          <cell r="BB21">
            <v>6907.6600000000008</v>
          </cell>
          <cell r="BC21">
            <v>5020.5599999999995</v>
          </cell>
          <cell r="BD21">
            <v>959.06000000000006</v>
          </cell>
          <cell r="BE21">
            <v>954.28</v>
          </cell>
          <cell r="BF21">
            <v>31060.015176383589</v>
          </cell>
          <cell r="BG21">
            <v>1.1865772582324347E-2</v>
          </cell>
          <cell r="BH21">
            <v>5.1769999999999996</v>
          </cell>
        </row>
        <row r="22">
          <cell r="A22" t="str">
            <v>AP</v>
          </cell>
          <cell r="B22" t="str">
            <v>BD</v>
          </cell>
          <cell r="C22" t="str">
            <v>D</v>
          </cell>
          <cell r="D22" t="str">
            <v>D</v>
          </cell>
          <cell r="E22">
            <v>261059</v>
          </cell>
          <cell r="F22">
            <v>150954</v>
          </cell>
          <cell r="G22">
            <v>151329</v>
          </cell>
          <cell r="H22">
            <v>89199</v>
          </cell>
          <cell r="I22">
            <v>151329</v>
          </cell>
          <cell r="J22">
            <v>5790</v>
          </cell>
          <cell r="K22">
            <v>3157</v>
          </cell>
          <cell r="L22">
            <v>1.55</v>
          </cell>
          <cell r="M22">
            <v>0.18</v>
          </cell>
          <cell r="N22">
            <v>89199</v>
          </cell>
          <cell r="O22">
            <v>0.37</v>
          </cell>
          <cell r="P22">
            <v>0.18</v>
          </cell>
          <cell r="Q22">
            <v>14.29</v>
          </cell>
          <cell r="R22">
            <v>109730</v>
          </cell>
          <cell r="S22">
            <v>5762</v>
          </cell>
          <cell r="T22">
            <v>5790</v>
          </cell>
          <cell r="U22">
            <v>3157</v>
          </cell>
          <cell r="V22">
            <v>1.55</v>
          </cell>
          <cell r="W22">
            <v>0.18</v>
          </cell>
          <cell r="X22">
            <v>1.05</v>
          </cell>
          <cell r="Y22">
            <v>0.37</v>
          </cell>
          <cell r="Z22">
            <v>0.18</v>
          </cell>
          <cell r="AA22">
            <v>14.29</v>
          </cell>
          <cell r="AB22">
            <v>109730</v>
          </cell>
          <cell r="AC22">
            <v>4893.3500000000004</v>
          </cell>
          <cell r="AD22">
            <v>1042.2</v>
          </cell>
          <cell r="AE22">
            <v>6050.1</v>
          </cell>
          <cell r="AF22">
            <v>2142.3000000000002</v>
          </cell>
          <cell r="AG22">
            <v>61755</v>
          </cell>
          <cell r="AH22">
            <v>82338.98</v>
          </cell>
          <cell r="AI22">
            <v>9501.4150000000009</v>
          </cell>
          <cell r="AJ22">
            <v>2215.5</v>
          </cell>
          <cell r="AK22">
            <v>8982.2999999999993</v>
          </cell>
          <cell r="AL22">
            <v>1185</v>
          </cell>
          <cell r="AM22">
            <v>1266</v>
          </cell>
          <cell r="AN22">
            <v>6169.75</v>
          </cell>
          <cell r="AO22">
            <v>1.54</v>
          </cell>
          <cell r="AP22">
            <v>1.75</v>
          </cell>
          <cell r="AQ22">
            <v>7.58</v>
          </cell>
          <cell r="AR22">
            <v>0.82</v>
          </cell>
          <cell r="AS22">
            <v>0.19</v>
          </cell>
          <cell r="AT22">
            <v>22.54</v>
          </cell>
          <cell r="AU22">
            <v>4893.3500000000004</v>
          </cell>
          <cell r="AV22">
            <v>1042.2</v>
          </cell>
          <cell r="AW22">
            <v>6050.1</v>
          </cell>
          <cell r="AX22">
            <v>2142.3000000000002</v>
          </cell>
          <cell r="AY22">
            <v>568.26</v>
          </cell>
          <cell r="AZ22">
            <v>82338.98</v>
          </cell>
          <cell r="BA22">
            <v>9501.4150000000009</v>
          </cell>
          <cell r="BB22">
            <v>2215.5</v>
          </cell>
          <cell r="BC22">
            <v>8982.2999999999993</v>
          </cell>
          <cell r="BD22">
            <v>1038.1199999999999</v>
          </cell>
          <cell r="BE22">
            <v>1172.2525000000001</v>
          </cell>
          <cell r="BF22">
            <v>26709.899999999998</v>
          </cell>
          <cell r="BG22">
            <v>1.0700279537983555E-2</v>
          </cell>
          <cell r="BH22">
            <v>2.5718000000000001</v>
          </cell>
        </row>
        <row r="23">
          <cell r="A23" t="str">
            <v>AP</v>
          </cell>
          <cell r="B23" t="str">
            <v>LK</v>
          </cell>
          <cell r="C23" t="str">
            <v>D</v>
          </cell>
          <cell r="D23" t="str">
            <v>D</v>
          </cell>
          <cell r="E23">
            <v>227668</v>
          </cell>
          <cell r="F23">
            <v>106360</v>
          </cell>
          <cell r="G23">
            <v>115041</v>
          </cell>
          <cell r="H23">
            <v>54801</v>
          </cell>
          <cell r="I23">
            <v>115041</v>
          </cell>
          <cell r="J23">
            <v>6742</v>
          </cell>
          <cell r="K23">
            <v>3251</v>
          </cell>
          <cell r="L23">
            <v>1.24</v>
          </cell>
          <cell r="M23">
            <v>0.17</v>
          </cell>
          <cell r="N23">
            <v>54801</v>
          </cell>
          <cell r="O23">
            <v>0.37</v>
          </cell>
          <cell r="P23">
            <v>7.0000000000000007E-2</v>
          </cell>
          <cell r="Q23">
            <v>7.79</v>
          </cell>
          <cell r="R23">
            <v>112627</v>
          </cell>
          <cell r="S23">
            <v>6704</v>
          </cell>
          <cell r="T23">
            <v>6742</v>
          </cell>
          <cell r="U23">
            <v>3251</v>
          </cell>
          <cell r="V23">
            <v>1.24</v>
          </cell>
          <cell r="W23">
            <v>0.17</v>
          </cell>
          <cell r="X23">
            <v>0.68</v>
          </cell>
          <cell r="Y23">
            <v>0.37</v>
          </cell>
          <cell r="Z23">
            <v>7.0000000000000007E-2</v>
          </cell>
          <cell r="AA23">
            <v>7.79</v>
          </cell>
          <cell r="AB23">
            <v>112627</v>
          </cell>
          <cell r="AC23">
            <v>4031.24</v>
          </cell>
          <cell r="AD23">
            <v>1146.1400000000001</v>
          </cell>
          <cell r="AE23">
            <v>4558.72</v>
          </cell>
          <cell r="AF23">
            <v>2494.54</v>
          </cell>
          <cell r="AG23">
            <v>51559</v>
          </cell>
          <cell r="AH23">
            <v>52224.160000000003</v>
          </cell>
          <cell r="AI23">
            <v>11996.69</v>
          </cell>
          <cell r="AJ23">
            <v>3866.72</v>
          </cell>
          <cell r="AK23">
            <v>7675.29</v>
          </cell>
          <cell r="AL23">
            <v>1953</v>
          </cell>
          <cell r="AM23">
            <v>2197</v>
          </cell>
          <cell r="AN23">
            <v>9674.75</v>
          </cell>
          <cell r="AO23">
            <v>1.24</v>
          </cell>
          <cell r="AP23">
            <v>1.76</v>
          </cell>
          <cell r="AQ23">
            <v>3.93</v>
          </cell>
          <cell r="AR23">
            <v>0.4</v>
          </cell>
          <cell r="AS23">
            <v>7.0000000000000007E-2</v>
          </cell>
          <cell r="AT23">
            <v>22.0180715736895</v>
          </cell>
          <cell r="AU23">
            <v>4031.24</v>
          </cell>
          <cell r="AV23">
            <v>1146.1400000000001</v>
          </cell>
          <cell r="AW23">
            <v>4558.72</v>
          </cell>
          <cell r="AX23">
            <v>2494.54</v>
          </cell>
          <cell r="AY23">
            <v>227.57000000000002</v>
          </cell>
          <cell r="AZ23">
            <v>52224.160000000003</v>
          </cell>
          <cell r="BA23">
            <v>11996.69</v>
          </cell>
          <cell r="BB23">
            <v>3866.72</v>
          </cell>
          <cell r="BC23">
            <v>7675.29</v>
          </cell>
          <cell r="BD23">
            <v>878.80000000000007</v>
          </cell>
          <cell r="BE23">
            <v>677.23250000000007</v>
          </cell>
          <cell r="BF23">
            <v>43001.293783415596</v>
          </cell>
          <cell r="BG23">
            <v>9.3316500938624616E-3</v>
          </cell>
          <cell r="BH23">
            <v>2.0707999999999998</v>
          </cell>
        </row>
        <row r="24">
          <cell r="A24" t="str">
            <v>AP</v>
          </cell>
          <cell r="B24" t="str">
            <v>MM</v>
          </cell>
          <cell r="C24" t="str">
            <v>D</v>
          </cell>
          <cell r="D24" t="str">
            <v>D</v>
          </cell>
          <cell r="E24">
            <v>165607</v>
          </cell>
          <cell r="F24">
            <v>82650</v>
          </cell>
          <cell r="G24">
            <v>109721</v>
          </cell>
          <cell r="H24">
            <v>53945</v>
          </cell>
          <cell r="I24">
            <v>109721</v>
          </cell>
          <cell r="J24">
            <v>3908</v>
          </cell>
          <cell r="K24">
            <v>1836.75</v>
          </cell>
          <cell r="L24">
            <v>1.55</v>
          </cell>
          <cell r="M24">
            <v>0.17</v>
          </cell>
          <cell r="N24">
            <v>53945</v>
          </cell>
          <cell r="O24">
            <v>0.49</v>
          </cell>
          <cell r="P24">
            <v>0.14000000000000001</v>
          </cell>
          <cell r="Q24">
            <v>26.87</v>
          </cell>
          <cell r="R24">
            <v>55886</v>
          </cell>
          <cell r="S24">
            <v>3897</v>
          </cell>
          <cell r="T24">
            <v>3908</v>
          </cell>
          <cell r="U24">
            <v>1836.75</v>
          </cell>
          <cell r="V24">
            <v>1.55</v>
          </cell>
          <cell r="W24">
            <v>0.17</v>
          </cell>
          <cell r="X24">
            <v>1.39</v>
          </cell>
          <cell r="Y24">
            <v>0.49</v>
          </cell>
          <cell r="Z24">
            <v>0.14000000000000001</v>
          </cell>
          <cell r="AA24">
            <v>26.87</v>
          </cell>
          <cell r="AB24">
            <v>55886</v>
          </cell>
          <cell r="AC24">
            <v>2846.9625000000001</v>
          </cell>
          <cell r="AD24">
            <v>664.36</v>
          </cell>
          <cell r="AE24">
            <v>5416.83</v>
          </cell>
          <cell r="AF24">
            <v>1914.92</v>
          </cell>
          <cell r="AG24">
            <v>28704</v>
          </cell>
          <cell r="AH24">
            <v>104712.39</v>
          </cell>
          <cell r="AI24">
            <v>4234.2300000000005</v>
          </cell>
          <cell r="AJ24">
            <v>1380.54</v>
          </cell>
          <cell r="AK24">
            <v>3852.2000000000003</v>
          </cell>
          <cell r="AL24">
            <v>748</v>
          </cell>
          <cell r="AM24">
            <v>798</v>
          </cell>
          <cell r="AN24">
            <v>2749.5</v>
          </cell>
          <cell r="AO24">
            <v>1.54</v>
          </cell>
          <cell r="AP24">
            <v>1.73</v>
          </cell>
          <cell r="AQ24">
            <v>5.15</v>
          </cell>
          <cell r="AR24">
            <v>1.06</v>
          </cell>
          <cell r="AS24">
            <v>0.14000000000000001</v>
          </cell>
          <cell r="AT24">
            <v>26.155608405377802</v>
          </cell>
          <cell r="AU24">
            <v>2846.9625000000001</v>
          </cell>
          <cell r="AV24">
            <v>664.36</v>
          </cell>
          <cell r="AW24">
            <v>5416.83</v>
          </cell>
          <cell r="AX24">
            <v>1914.92</v>
          </cell>
          <cell r="AY24">
            <v>257.14500000000004</v>
          </cell>
          <cell r="AZ24">
            <v>104712.39</v>
          </cell>
          <cell r="BA24">
            <v>4234.2300000000005</v>
          </cell>
          <cell r="BB24">
            <v>1380.54</v>
          </cell>
          <cell r="BC24">
            <v>3852.2000000000003</v>
          </cell>
          <cell r="BD24">
            <v>845.88</v>
          </cell>
          <cell r="BE24">
            <v>384.93000000000006</v>
          </cell>
          <cell r="BF24">
            <v>19564.395087222594</v>
          </cell>
          <cell r="BG24">
            <v>6.7878954314804039E-3</v>
          </cell>
          <cell r="BH24">
            <v>2.5718000000000001</v>
          </cell>
        </row>
        <row r="25">
          <cell r="A25" t="str">
            <v>AP</v>
          </cell>
          <cell r="B25" t="str">
            <v>KH</v>
          </cell>
          <cell r="C25" t="str">
            <v>D</v>
          </cell>
          <cell r="D25" t="str">
            <v>D</v>
          </cell>
          <cell r="E25">
            <v>97969</v>
          </cell>
          <cell r="F25">
            <v>59027</v>
          </cell>
          <cell r="G25">
            <v>50569</v>
          </cell>
          <cell r="H25">
            <v>32238</v>
          </cell>
          <cell r="I25">
            <v>50569</v>
          </cell>
          <cell r="J25">
            <v>1368</v>
          </cell>
          <cell r="K25">
            <v>736.25</v>
          </cell>
          <cell r="L25">
            <v>1.23</v>
          </cell>
          <cell r="M25">
            <v>0.18</v>
          </cell>
          <cell r="N25">
            <v>32238</v>
          </cell>
          <cell r="O25">
            <v>0.49</v>
          </cell>
          <cell r="P25">
            <v>0.14000000000000001</v>
          </cell>
          <cell r="Q25">
            <v>26.87</v>
          </cell>
          <cell r="R25">
            <v>47400</v>
          </cell>
          <cell r="S25">
            <v>1363</v>
          </cell>
          <cell r="T25">
            <v>1368</v>
          </cell>
          <cell r="U25">
            <v>736.25</v>
          </cell>
          <cell r="V25">
            <v>1.23</v>
          </cell>
          <cell r="W25">
            <v>0.18</v>
          </cell>
          <cell r="X25">
            <v>1.39</v>
          </cell>
          <cell r="Y25">
            <v>0.49</v>
          </cell>
          <cell r="Z25">
            <v>0.14000000000000001</v>
          </cell>
          <cell r="AA25">
            <v>26.87</v>
          </cell>
          <cell r="AB25">
            <v>47400</v>
          </cell>
          <cell r="AC25">
            <v>905.58749999999998</v>
          </cell>
          <cell r="AD25">
            <v>246.23999999999998</v>
          </cell>
          <cell r="AE25">
            <v>1894.57</v>
          </cell>
          <cell r="AF25">
            <v>670.31999999999994</v>
          </cell>
          <cell r="AG25">
            <v>26789</v>
          </cell>
          <cell r="AH25">
            <v>36623.810000000005</v>
          </cell>
          <cell r="AI25">
            <v>4743.97</v>
          </cell>
          <cell r="AJ25">
            <v>1051.98</v>
          </cell>
          <cell r="AK25">
            <v>2399.9</v>
          </cell>
          <cell r="AL25">
            <v>466</v>
          </cell>
          <cell r="AM25">
            <v>534</v>
          </cell>
          <cell r="AN25">
            <v>3888.5</v>
          </cell>
          <cell r="AO25">
            <v>1.22</v>
          </cell>
          <cell r="AP25">
            <v>1.97</v>
          </cell>
          <cell r="AQ25">
            <v>5.15</v>
          </cell>
          <cell r="AR25">
            <v>1.06</v>
          </cell>
          <cell r="AS25">
            <v>0.14000000000000001</v>
          </cell>
          <cell r="AT25">
            <v>25.52</v>
          </cell>
          <cell r="AU25">
            <v>905.58749999999998</v>
          </cell>
          <cell r="AV25">
            <v>246.23999999999998</v>
          </cell>
          <cell r="AW25">
            <v>1894.57</v>
          </cell>
          <cell r="AX25">
            <v>670.31999999999994</v>
          </cell>
          <cell r="AY25">
            <v>103.075</v>
          </cell>
          <cell r="AZ25">
            <v>36623.810000000005</v>
          </cell>
          <cell r="BA25">
            <v>4743.97</v>
          </cell>
          <cell r="BB25">
            <v>1051.98</v>
          </cell>
          <cell r="BC25">
            <v>2399.9</v>
          </cell>
          <cell r="BD25">
            <v>566.04000000000008</v>
          </cell>
          <cell r="BE25">
            <v>544.3900000000001</v>
          </cell>
          <cell r="BF25">
            <v>11892.32</v>
          </cell>
          <cell r="BG25">
            <v>4.0155508373843117E-3</v>
          </cell>
          <cell r="BH25">
            <v>2.0373999999999999</v>
          </cell>
        </row>
        <row r="26">
          <cell r="A26" t="str">
            <v>AP</v>
          </cell>
          <cell r="B26" t="str">
            <v>PG</v>
          </cell>
          <cell r="C26" t="str">
            <v>D</v>
          </cell>
          <cell r="D26" t="str">
            <v>D</v>
          </cell>
          <cell r="E26">
            <v>84087</v>
          </cell>
          <cell r="F26">
            <v>15449</v>
          </cell>
          <cell r="G26">
            <v>13484</v>
          </cell>
          <cell r="H26">
            <v>-2111</v>
          </cell>
          <cell r="I26">
            <v>13484</v>
          </cell>
          <cell r="J26">
            <v>931</v>
          </cell>
          <cell r="K26">
            <v>339.25</v>
          </cell>
          <cell r="L26">
            <v>1.6</v>
          </cell>
          <cell r="M26">
            <v>0.14000000000000001</v>
          </cell>
          <cell r="N26">
            <v>-2111</v>
          </cell>
          <cell r="O26">
            <v>0.62</v>
          </cell>
          <cell r="P26">
            <v>0.11</v>
          </cell>
          <cell r="Q26">
            <v>17.71</v>
          </cell>
          <cell r="R26">
            <v>70603</v>
          </cell>
          <cell r="S26">
            <v>931</v>
          </cell>
          <cell r="T26">
            <v>931</v>
          </cell>
          <cell r="U26">
            <v>339.25</v>
          </cell>
          <cell r="V26">
            <v>1.6</v>
          </cell>
          <cell r="W26">
            <v>0.14000000000000001</v>
          </cell>
          <cell r="X26">
            <v>3.41</v>
          </cell>
          <cell r="Y26">
            <v>0.62</v>
          </cell>
          <cell r="Z26">
            <v>0.11</v>
          </cell>
          <cell r="AA26">
            <v>17.71</v>
          </cell>
          <cell r="AB26">
            <v>70603</v>
          </cell>
          <cell r="AC26">
            <v>542.80000000000007</v>
          </cell>
          <cell r="AD26">
            <v>130.34</v>
          </cell>
          <cell r="AE26">
            <v>3174.71</v>
          </cell>
          <cell r="AF26">
            <v>577.22</v>
          </cell>
          <cell r="AG26">
            <v>17560</v>
          </cell>
          <cell r="AH26">
            <v>16488.010000000002</v>
          </cell>
          <cell r="AI26">
            <v>23245.800000000003</v>
          </cell>
          <cell r="AJ26">
            <v>2333.7600000000002</v>
          </cell>
          <cell r="AK26">
            <v>4786.6000000000004</v>
          </cell>
          <cell r="AL26">
            <v>364</v>
          </cell>
          <cell r="AM26">
            <v>748</v>
          </cell>
          <cell r="AN26">
            <v>14620</v>
          </cell>
          <cell r="AO26">
            <v>1.59</v>
          </cell>
          <cell r="AP26">
            <v>3.12</v>
          </cell>
          <cell r="AQ26">
            <v>13.15</v>
          </cell>
          <cell r="AR26">
            <v>2.1</v>
          </cell>
          <cell r="AS26">
            <v>0.14000000000000001</v>
          </cell>
          <cell r="AT26">
            <v>18.097458696900901</v>
          </cell>
          <cell r="AU26">
            <v>542.80000000000007</v>
          </cell>
          <cell r="AV26">
            <v>130.34</v>
          </cell>
          <cell r="AW26">
            <v>3174.71</v>
          </cell>
          <cell r="AX26">
            <v>577.22</v>
          </cell>
          <cell r="AY26">
            <v>37.317500000000003</v>
          </cell>
          <cell r="AZ26">
            <v>16488.010000000002</v>
          </cell>
          <cell r="BA26">
            <v>23245.800000000003</v>
          </cell>
          <cell r="BB26">
            <v>2333.7600000000002</v>
          </cell>
          <cell r="BC26">
            <v>4786.6000000000004</v>
          </cell>
          <cell r="BD26">
            <v>1570.8</v>
          </cell>
          <cell r="BE26">
            <v>2046.8000000000002</v>
          </cell>
          <cell r="BF26">
            <v>6587.4749656719277</v>
          </cell>
          <cell r="BG26">
            <v>3.4465557805339912E-3</v>
          </cell>
          <cell r="BH26">
            <v>2.6553</v>
          </cell>
        </row>
        <row r="27">
          <cell r="A27" t="str">
            <v>AP</v>
          </cell>
          <cell r="B27" t="str">
            <v>NP</v>
          </cell>
          <cell r="C27" t="str">
            <v>D</v>
          </cell>
          <cell r="D27" t="str">
            <v>D</v>
          </cell>
          <cell r="E27">
            <v>60107</v>
          </cell>
          <cell r="F27">
            <v>15848</v>
          </cell>
          <cell r="G27">
            <v>39773</v>
          </cell>
          <cell r="H27">
            <v>20074</v>
          </cell>
          <cell r="I27">
            <v>39773</v>
          </cell>
          <cell r="J27">
            <v>1736</v>
          </cell>
          <cell r="K27">
            <v>711.75</v>
          </cell>
          <cell r="L27">
            <v>2.44</v>
          </cell>
          <cell r="M27">
            <v>0.15</v>
          </cell>
          <cell r="N27">
            <v>20074</v>
          </cell>
          <cell r="O27">
            <v>0.49</v>
          </cell>
          <cell r="P27">
            <v>0.14000000000000001</v>
          </cell>
          <cell r="Q27">
            <v>26.87</v>
          </cell>
          <cell r="R27">
            <v>20334</v>
          </cell>
          <cell r="S27">
            <v>1733</v>
          </cell>
          <cell r="T27">
            <v>1736</v>
          </cell>
          <cell r="U27">
            <v>711.75</v>
          </cell>
          <cell r="V27">
            <v>2.44</v>
          </cell>
          <cell r="W27">
            <v>0.15</v>
          </cell>
          <cell r="X27">
            <v>1.39</v>
          </cell>
          <cell r="Y27">
            <v>0.49</v>
          </cell>
          <cell r="Z27">
            <v>0.14000000000000001</v>
          </cell>
          <cell r="AA27">
            <v>26.87</v>
          </cell>
          <cell r="AB27">
            <v>20334</v>
          </cell>
          <cell r="AC27">
            <v>1736.67</v>
          </cell>
          <cell r="AD27">
            <v>260.39999999999998</v>
          </cell>
          <cell r="AE27">
            <v>2408.87</v>
          </cell>
          <cell r="AF27">
            <v>850.64</v>
          </cell>
          <cell r="AG27">
            <v>-4226</v>
          </cell>
          <cell r="AH27">
            <v>46565.71</v>
          </cell>
          <cell r="AI27">
            <v>12358.6</v>
          </cell>
          <cell r="AJ27">
            <v>835.19999999999993</v>
          </cell>
          <cell r="AK27">
            <v>1431.7</v>
          </cell>
          <cell r="AL27">
            <v>278</v>
          </cell>
          <cell r="AM27">
            <v>360</v>
          </cell>
          <cell r="AN27">
            <v>5065</v>
          </cell>
          <cell r="AO27">
            <v>2.44</v>
          </cell>
          <cell r="AP27">
            <v>2.3199999999999998</v>
          </cell>
          <cell r="AQ27">
            <v>5.15</v>
          </cell>
          <cell r="AR27">
            <v>1.06</v>
          </cell>
          <cell r="AS27">
            <v>0.14000000000000001</v>
          </cell>
          <cell r="AT27">
            <v>14.2</v>
          </cell>
          <cell r="AU27">
            <v>1736.67</v>
          </cell>
          <cell r="AV27">
            <v>260.39999999999998</v>
          </cell>
          <cell r="AW27">
            <v>2408.87</v>
          </cell>
          <cell r="AX27">
            <v>850.64</v>
          </cell>
          <cell r="AY27">
            <v>99.64500000000001</v>
          </cell>
          <cell r="AZ27">
            <v>46565.71</v>
          </cell>
          <cell r="BA27">
            <v>12358.6</v>
          </cell>
          <cell r="BB27">
            <v>835.19999999999993</v>
          </cell>
          <cell r="BC27">
            <v>1431.7</v>
          </cell>
          <cell r="BD27">
            <v>381.6</v>
          </cell>
          <cell r="BE27">
            <v>709.1</v>
          </cell>
          <cell r="BF27">
            <v>3947.6</v>
          </cell>
          <cell r="BG27">
            <v>2.4636641609351818E-3</v>
          </cell>
          <cell r="BH27">
            <v>4.0747999999999998</v>
          </cell>
        </row>
        <row r="28">
          <cell r="A28" t="str">
            <v>US</v>
          </cell>
          <cell r="B28" t="str">
            <v>GU</v>
          </cell>
          <cell r="C28" t="str">
            <v>D</v>
          </cell>
          <cell r="D28" t="str">
            <v>D</v>
          </cell>
          <cell r="E28">
            <v>39174</v>
          </cell>
          <cell r="F28">
            <v>16291</v>
          </cell>
          <cell r="G28">
            <v>19100</v>
          </cell>
          <cell r="H28">
            <v>9691</v>
          </cell>
          <cell r="I28">
            <v>19100</v>
          </cell>
          <cell r="J28">
            <v>434</v>
          </cell>
          <cell r="K28">
            <v>563.5</v>
          </cell>
          <cell r="L28">
            <v>4.25</v>
          </cell>
          <cell r="M28">
            <v>1.02</v>
          </cell>
          <cell r="N28">
            <v>9691</v>
          </cell>
          <cell r="O28">
            <v>1.05</v>
          </cell>
          <cell r="P28">
            <v>0.15</v>
          </cell>
          <cell r="Q28">
            <v>10.28</v>
          </cell>
          <cell r="R28">
            <v>20074</v>
          </cell>
          <cell r="S28">
            <v>408</v>
          </cell>
          <cell r="T28">
            <v>434</v>
          </cell>
          <cell r="U28">
            <v>563.5</v>
          </cell>
          <cell r="V28">
            <v>4.25</v>
          </cell>
          <cell r="W28">
            <v>1.02</v>
          </cell>
          <cell r="X28">
            <v>4.1100000000000003</v>
          </cell>
          <cell r="Y28">
            <v>1.05</v>
          </cell>
          <cell r="Z28">
            <v>0.15</v>
          </cell>
          <cell r="AA28">
            <v>10.28</v>
          </cell>
          <cell r="AB28">
            <v>20074</v>
          </cell>
          <cell r="AC28">
            <v>2394.875</v>
          </cell>
          <cell r="AD28">
            <v>442.68</v>
          </cell>
          <cell r="AE28">
            <v>1676.88</v>
          </cell>
          <cell r="AF28">
            <v>455.70000000000005</v>
          </cell>
          <cell r="AG28">
            <v>6600</v>
          </cell>
          <cell r="AH28">
            <v>4194.24</v>
          </cell>
          <cell r="AI28">
            <v>4294.625</v>
          </cell>
          <cell r="AJ28">
            <v>727.35</v>
          </cell>
          <cell r="AK28">
            <v>3082</v>
          </cell>
          <cell r="AL28">
            <v>134</v>
          </cell>
          <cell r="AM28">
            <v>195</v>
          </cell>
          <cell r="AN28">
            <v>1010.5</v>
          </cell>
          <cell r="AO28">
            <v>4.25</v>
          </cell>
          <cell r="AP28">
            <v>3.73</v>
          </cell>
          <cell r="AQ28">
            <v>23</v>
          </cell>
          <cell r="AR28">
            <v>2.4900000000000002</v>
          </cell>
          <cell r="AS28">
            <v>0.15</v>
          </cell>
          <cell r="AT28">
            <v>7.79</v>
          </cell>
          <cell r="AU28">
            <v>2394.875</v>
          </cell>
          <cell r="AV28">
            <v>442.68</v>
          </cell>
          <cell r="AW28">
            <v>1676.88</v>
          </cell>
          <cell r="AX28">
            <v>455.70000000000005</v>
          </cell>
          <cell r="AY28">
            <v>84.524999999999991</v>
          </cell>
          <cell r="AZ28">
            <v>4194.24</v>
          </cell>
          <cell r="BA28">
            <v>4294.625</v>
          </cell>
          <cell r="BB28">
            <v>727.35</v>
          </cell>
          <cell r="BC28">
            <v>3082</v>
          </cell>
          <cell r="BD28">
            <v>485.55000000000007</v>
          </cell>
          <cell r="BE28">
            <v>151.57499999999999</v>
          </cell>
          <cell r="BF28">
            <v>1043.8599999999999</v>
          </cell>
          <cell r="BG28">
            <v>1.6056628985055784E-3</v>
          </cell>
          <cell r="BH28">
            <v>7.0975000000000001</v>
          </cell>
        </row>
        <row r="29">
          <cell r="A29" t="str">
            <v>AP</v>
          </cell>
          <cell r="B29" t="str">
            <v>MV</v>
          </cell>
          <cell r="C29" t="str">
            <v>D</v>
          </cell>
          <cell r="D29" t="str">
            <v>D</v>
          </cell>
          <cell r="E29">
            <v>38148</v>
          </cell>
          <cell r="F29">
            <v>21342</v>
          </cell>
          <cell r="G29">
            <v>24345</v>
          </cell>
          <cell r="H29">
            <v>13615</v>
          </cell>
          <cell r="I29">
            <v>24345</v>
          </cell>
          <cell r="J29">
            <v>674</v>
          </cell>
          <cell r="K29">
            <v>390.75</v>
          </cell>
          <cell r="L29">
            <v>3.04</v>
          </cell>
          <cell r="M29">
            <v>0.17</v>
          </cell>
          <cell r="N29">
            <v>13615</v>
          </cell>
          <cell r="O29">
            <v>0.49</v>
          </cell>
          <cell r="P29">
            <v>0.14000000000000001</v>
          </cell>
          <cell r="Q29">
            <v>26.87</v>
          </cell>
          <cell r="R29">
            <v>13802</v>
          </cell>
          <cell r="S29">
            <v>673</v>
          </cell>
          <cell r="T29">
            <v>674</v>
          </cell>
          <cell r="U29">
            <v>390.75</v>
          </cell>
          <cell r="V29">
            <v>3.04</v>
          </cell>
          <cell r="W29">
            <v>0.17</v>
          </cell>
          <cell r="X29">
            <v>1.39</v>
          </cell>
          <cell r="Y29">
            <v>0.49</v>
          </cell>
          <cell r="Z29">
            <v>0.14000000000000001</v>
          </cell>
          <cell r="AA29">
            <v>26.87</v>
          </cell>
          <cell r="AB29">
            <v>13802</v>
          </cell>
          <cell r="AC29">
            <v>1187.8800000000001</v>
          </cell>
          <cell r="AD29">
            <v>114.58000000000001</v>
          </cell>
          <cell r="AE29">
            <v>935.46999999999991</v>
          </cell>
          <cell r="AF29">
            <v>330.26</v>
          </cell>
          <cell r="AG29">
            <v>7727</v>
          </cell>
          <cell r="AH29">
            <v>18083.510000000002</v>
          </cell>
          <cell r="AI29">
            <v>1219.8</v>
          </cell>
          <cell r="AJ29">
            <v>246.95999999999998</v>
          </cell>
          <cell r="AK29">
            <v>736.45</v>
          </cell>
          <cell r="AL29">
            <v>143</v>
          </cell>
          <cell r="AM29">
            <v>147</v>
          </cell>
          <cell r="AN29">
            <v>401.25</v>
          </cell>
          <cell r="AO29">
            <v>3.04</v>
          </cell>
          <cell r="AP29">
            <v>1.68</v>
          </cell>
          <cell r="AQ29">
            <v>5.15</v>
          </cell>
          <cell r="AR29">
            <v>1.06</v>
          </cell>
          <cell r="AS29">
            <v>0.14000000000000001</v>
          </cell>
          <cell r="AT29">
            <v>34.498416117276697</v>
          </cell>
          <cell r="AU29">
            <v>1187.8800000000001</v>
          </cell>
          <cell r="AV29">
            <v>114.58000000000001</v>
          </cell>
          <cell r="AW29">
            <v>935.46999999999991</v>
          </cell>
          <cell r="AX29">
            <v>330.26</v>
          </cell>
          <cell r="AY29">
            <v>54.705000000000005</v>
          </cell>
          <cell r="AZ29">
            <v>18083.510000000002</v>
          </cell>
          <cell r="BA29">
            <v>1219.8</v>
          </cell>
          <cell r="BB29">
            <v>246.95999999999998</v>
          </cell>
          <cell r="BC29">
            <v>736.45</v>
          </cell>
          <cell r="BD29">
            <v>155.82000000000002</v>
          </cell>
          <cell r="BE29">
            <v>56.175000000000004</v>
          </cell>
          <cell r="BF29">
            <v>4933.2735047705673</v>
          </cell>
          <cell r="BG29">
            <v>1.5636092370498497E-3</v>
          </cell>
          <cell r="BH29">
            <v>5.0767999999999995</v>
          </cell>
        </row>
        <row r="30">
          <cell r="A30" t="str">
            <v>AP</v>
          </cell>
          <cell r="B30" t="str">
            <v>FJ</v>
          </cell>
          <cell r="C30" t="str">
            <v>D</v>
          </cell>
          <cell r="D30" t="str">
            <v>D</v>
          </cell>
          <cell r="E30">
            <v>26684</v>
          </cell>
          <cell r="F30">
            <v>16269</v>
          </cell>
          <cell r="G30">
            <v>10878</v>
          </cell>
          <cell r="H30">
            <v>6658</v>
          </cell>
          <cell r="I30">
            <v>10878</v>
          </cell>
          <cell r="J30">
            <v>316</v>
          </cell>
          <cell r="K30">
            <v>194.85</v>
          </cell>
          <cell r="L30">
            <v>3.43</v>
          </cell>
          <cell r="M30">
            <v>0.23</v>
          </cell>
          <cell r="N30">
            <v>6658</v>
          </cell>
          <cell r="O30">
            <v>0.45</v>
          </cell>
          <cell r="P30">
            <v>0.12</v>
          </cell>
          <cell r="Q30">
            <v>21.28</v>
          </cell>
          <cell r="R30">
            <v>15805</v>
          </cell>
          <cell r="S30">
            <v>315</v>
          </cell>
          <cell r="T30">
            <v>316</v>
          </cell>
          <cell r="U30">
            <v>194.85</v>
          </cell>
          <cell r="V30">
            <v>3.43</v>
          </cell>
          <cell r="W30">
            <v>0.23</v>
          </cell>
          <cell r="X30">
            <v>2.02</v>
          </cell>
          <cell r="Y30">
            <v>0.45</v>
          </cell>
          <cell r="Z30">
            <v>0.12</v>
          </cell>
          <cell r="AA30">
            <v>21.28</v>
          </cell>
          <cell r="AB30">
            <v>15805</v>
          </cell>
          <cell r="AC30">
            <v>668.33550000000002</v>
          </cell>
          <cell r="AD30">
            <v>72.680000000000007</v>
          </cell>
          <cell r="AE30">
            <v>636.29999999999995</v>
          </cell>
          <cell r="AF30">
            <v>142.20000000000002</v>
          </cell>
          <cell r="AG30">
            <v>9611</v>
          </cell>
          <cell r="AH30">
            <v>6703.2000000000007</v>
          </cell>
          <cell r="AI30">
            <v>2208.0625</v>
          </cell>
          <cell r="AJ30">
            <v>220.17000000000002</v>
          </cell>
          <cell r="AK30">
            <v>469.53000000000003</v>
          </cell>
          <cell r="AL30">
            <v>111</v>
          </cell>
          <cell r="AM30">
            <v>123</v>
          </cell>
          <cell r="AN30">
            <v>643.75</v>
          </cell>
          <cell r="AO30">
            <v>3.43</v>
          </cell>
          <cell r="AP30">
            <v>1.79</v>
          </cell>
          <cell r="AQ30">
            <v>4.2300000000000004</v>
          </cell>
          <cell r="AR30">
            <v>0.69</v>
          </cell>
          <cell r="AS30">
            <v>7.0000000000000007E-2</v>
          </cell>
          <cell r="AT30">
            <v>27.256249447651999</v>
          </cell>
          <cell r="AU30">
            <v>668.33550000000002</v>
          </cell>
          <cell r="AV30">
            <v>72.680000000000007</v>
          </cell>
          <cell r="AW30">
            <v>636.29999999999995</v>
          </cell>
          <cell r="AX30">
            <v>142.20000000000002</v>
          </cell>
          <cell r="AY30">
            <v>23.381999999999998</v>
          </cell>
          <cell r="AZ30">
            <v>6703.2000000000007</v>
          </cell>
          <cell r="BA30">
            <v>2208.0625</v>
          </cell>
          <cell r="BB30">
            <v>220.17000000000002</v>
          </cell>
          <cell r="BC30">
            <v>469.53000000000003</v>
          </cell>
          <cell r="BD30">
            <v>84.86999999999999</v>
          </cell>
          <cell r="BE30">
            <v>45.062500000000007</v>
          </cell>
          <cell r="BF30">
            <v>3025.4436886893718</v>
          </cell>
          <cell r="BG30">
            <v>1.0937231016419783E-3</v>
          </cell>
          <cell r="BH30">
            <v>5.7281000000000004</v>
          </cell>
        </row>
        <row r="31">
          <cell r="A31" t="str">
            <v>AP</v>
          </cell>
          <cell r="B31" t="str">
            <v>PF</v>
          </cell>
          <cell r="C31" t="str">
            <v>D</v>
          </cell>
          <cell r="D31" t="str">
            <v>D</v>
          </cell>
          <cell r="E31">
            <v>18709</v>
          </cell>
          <cell r="F31">
            <v>8986</v>
          </cell>
          <cell r="G31">
            <v>6962</v>
          </cell>
          <cell r="H31">
            <v>4371</v>
          </cell>
          <cell r="I31">
            <v>6962</v>
          </cell>
          <cell r="J31">
            <v>199</v>
          </cell>
          <cell r="K31">
            <v>75.75</v>
          </cell>
          <cell r="L31">
            <v>4.59</v>
          </cell>
          <cell r="M31">
            <v>0.14000000000000001</v>
          </cell>
          <cell r="N31">
            <v>4371</v>
          </cell>
          <cell r="O31">
            <v>0.35</v>
          </cell>
          <cell r="P31">
            <v>0.1</v>
          </cell>
          <cell r="Q31">
            <v>14.47</v>
          </cell>
          <cell r="R31">
            <v>11747</v>
          </cell>
          <cell r="S31">
            <v>199</v>
          </cell>
          <cell r="T31">
            <v>199</v>
          </cell>
          <cell r="U31">
            <v>75.75</v>
          </cell>
          <cell r="V31">
            <v>4.59</v>
          </cell>
          <cell r="W31">
            <v>0.14000000000000001</v>
          </cell>
          <cell r="X31">
            <v>1.19</v>
          </cell>
          <cell r="Y31">
            <v>0.35</v>
          </cell>
          <cell r="Z31">
            <v>0.1</v>
          </cell>
          <cell r="AA31">
            <v>14.47</v>
          </cell>
          <cell r="AB31">
            <v>11747</v>
          </cell>
          <cell r="AC31">
            <v>347.6925</v>
          </cell>
          <cell r="AD31">
            <v>27.860000000000003</v>
          </cell>
          <cell r="AE31">
            <v>236.81</v>
          </cell>
          <cell r="AF31">
            <v>69.649999999999991</v>
          </cell>
          <cell r="AG31">
            <v>4614</v>
          </cell>
          <cell r="AH31">
            <v>2879.53</v>
          </cell>
          <cell r="AI31">
            <v>3070.89</v>
          </cell>
          <cell r="AJ31">
            <v>227.43</v>
          </cell>
          <cell r="AK31">
            <v>815.1</v>
          </cell>
          <cell r="AL31">
            <v>110</v>
          </cell>
          <cell r="AM31">
            <v>133</v>
          </cell>
          <cell r="AN31">
            <v>670.5</v>
          </cell>
          <cell r="AO31">
            <v>4.58</v>
          </cell>
          <cell r="AP31">
            <v>1.71</v>
          </cell>
          <cell r="AQ31">
            <v>7.41</v>
          </cell>
          <cell r="AR31">
            <v>0.69</v>
          </cell>
          <cell r="AS31">
            <v>0.08</v>
          </cell>
          <cell r="AT31">
            <v>29.029867262395101</v>
          </cell>
          <cell r="AU31">
            <v>347.6925</v>
          </cell>
          <cell r="AV31">
            <v>27.860000000000003</v>
          </cell>
          <cell r="AW31">
            <v>236.81</v>
          </cell>
          <cell r="AX31">
            <v>69.649999999999991</v>
          </cell>
          <cell r="AY31">
            <v>7.5750000000000002</v>
          </cell>
          <cell r="AZ31">
            <v>2879.53</v>
          </cell>
          <cell r="BA31">
            <v>3070.89</v>
          </cell>
          <cell r="BB31">
            <v>227.43</v>
          </cell>
          <cell r="BC31">
            <v>815.1</v>
          </cell>
          <cell r="BD31">
            <v>91.77</v>
          </cell>
          <cell r="BE31">
            <v>53.64</v>
          </cell>
          <cell r="BF31">
            <v>3193.2853988634611</v>
          </cell>
          <cell r="BG31">
            <v>7.6684400796806222E-4</v>
          </cell>
          <cell r="BH31">
            <v>7.6486000000000001</v>
          </cell>
        </row>
        <row r="32">
          <cell r="A32" t="str">
            <v>AP</v>
          </cell>
          <cell r="B32" t="str">
            <v>NC</v>
          </cell>
          <cell r="C32" t="str">
            <v>D</v>
          </cell>
          <cell r="D32" t="str">
            <v>D</v>
          </cell>
          <cell r="E32">
            <v>11379</v>
          </cell>
          <cell r="F32">
            <v>6622</v>
          </cell>
          <cell r="G32">
            <v>6908</v>
          </cell>
          <cell r="H32">
            <v>4473</v>
          </cell>
          <cell r="I32">
            <v>6908</v>
          </cell>
          <cell r="J32">
            <v>195</v>
          </cell>
          <cell r="K32">
            <v>75.25</v>
          </cell>
          <cell r="L32">
            <v>4.59</v>
          </cell>
          <cell r="M32">
            <v>0.14000000000000001</v>
          </cell>
          <cell r="N32">
            <v>4473</v>
          </cell>
          <cell r="O32">
            <v>0.35</v>
          </cell>
          <cell r="P32">
            <v>0.1</v>
          </cell>
          <cell r="Q32">
            <v>14.47</v>
          </cell>
          <cell r="R32">
            <v>4471</v>
          </cell>
          <cell r="S32">
            <v>195</v>
          </cell>
          <cell r="T32">
            <v>195</v>
          </cell>
          <cell r="U32">
            <v>75.25</v>
          </cell>
          <cell r="V32">
            <v>4.59</v>
          </cell>
          <cell r="W32">
            <v>0.14000000000000001</v>
          </cell>
          <cell r="X32">
            <v>1.19</v>
          </cell>
          <cell r="Y32">
            <v>0.35</v>
          </cell>
          <cell r="Z32">
            <v>0.1</v>
          </cell>
          <cell r="AA32">
            <v>14.47</v>
          </cell>
          <cell r="AB32">
            <v>4471</v>
          </cell>
          <cell r="AC32">
            <v>345.39749999999998</v>
          </cell>
          <cell r="AD32">
            <v>27.300000000000004</v>
          </cell>
          <cell r="AE32">
            <v>232.04999999999998</v>
          </cell>
          <cell r="AF32">
            <v>68.25</v>
          </cell>
          <cell r="AG32">
            <v>2149</v>
          </cell>
          <cell r="AH32">
            <v>2821.65</v>
          </cell>
          <cell r="AI32">
            <v>812.95</v>
          </cell>
          <cell r="AJ32">
            <v>75.25</v>
          </cell>
          <cell r="AK32">
            <v>296.39999999999998</v>
          </cell>
          <cell r="AL32">
            <v>40</v>
          </cell>
          <cell r="AM32">
            <v>43</v>
          </cell>
          <cell r="AN32">
            <v>177.5</v>
          </cell>
          <cell r="AO32">
            <v>4.58</v>
          </cell>
          <cell r="AP32">
            <v>1.75</v>
          </cell>
          <cell r="AQ32">
            <v>7.41</v>
          </cell>
          <cell r="AR32">
            <v>0.69</v>
          </cell>
          <cell r="AS32">
            <v>0.08</v>
          </cell>
          <cell r="AT32">
            <v>26.87</v>
          </cell>
          <cell r="AU32">
            <v>345.39749999999998</v>
          </cell>
          <cell r="AV32">
            <v>27.300000000000004</v>
          </cell>
          <cell r="AW32">
            <v>232.04999999999998</v>
          </cell>
          <cell r="AX32">
            <v>68.25</v>
          </cell>
          <cell r="AY32">
            <v>7.5250000000000004</v>
          </cell>
          <cell r="AZ32">
            <v>2821.65</v>
          </cell>
          <cell r="BA32">
            <v>812.95</v>
          </cell>
          <cell r="BB32">
            <v>75.25</v>
          </cell>
          <cell r="BC32">
            <v>296.39999999999998</v>
          </cell>
          <cell r="BD32">
            <v>29.669999999999998</v>
          </cell>
          <cell r="BE32">
            <v>14.200000000000001</v>
          </cell>
          <cell r="BF32">
            <v>1074.8</v>
          </cell>
          <cell r="BG32">
            <v>4.6640215760695812E-4</v>
          </cell>
          <cell r="BH32">
            <v>7.6486000000000001</v>
          </cell>
        </row>
        <row r="33">
          <cell r="A33" t="str">
            <v>AP</v>
          </cell>
          <cell r="B33" t="str">
            <v>MN</v>
          </cell>
          <cell r="C33" t="str">
            <v>D</v>
          </cell>
          <cell r="D33" t="str">
            <v>D</v>
          </cell>
          <cell r="E33">
            <v>8887</v>
          </cell>
          <cell r="F33">
            <v>4041</v>
          </cell>
          <cell r="G33">
            <v>3161</v>
          </cell>
          <cell r="H33">
            <v>1244</v>
          </cell>
          <cell r="I33">
            <v>3161</v>
          </cell>
          <cell r="J33">
            <v>106</v>
          </cell>
          <cell r="K33">
            <v>59</v>
          </cell>
          <cell r="L33">
            <v>3.64</v>
          </cell>
          <cell r="M33">
            <v>0.16</v>
          </cell>
          <cell r="N33">
            <v>1244</v>
          </cell>
          <cell r="O33">
            <v>0.72</v>
          </cell>
          <cell r="P33">
            <v>0.25</v>
          </cell>
          <cell r="Q33">
            <v>17.84</v>
          </cell>
          <cell r="R33">
            <v>5726</v>
          </cell>
          <cell r="S33">
            <v>106</v>
          </cell>
          <cell r="T33">
            <v>106</v>
          </cell>
          <cell r="U33">
            <v>59</v>
          </cell>
          <cell r="V33">
            <v>3.64</v>
          </cell>
          <cell r="W33">
            <v>0.16</v>
          </cell>
          <cell r="X33">
            <v>3.16</v>
          </cell>
          <cell r="Y33">
            <v>0.72</v>
          </cell>
          <cell r="Z33">
            <v>0.25</v>
          </cell>
          <cell r="AA33">
            <v>17.84</v>
          </cell>
          <cell r="AB33">
            <v>5726</v>
          </cell>
          <cell r="AC33">
            <v>214.76000000000002</v>
          </cell>
          <cell r="AD33">
            <v>16.96</v>
          </cell>
          <cell r="AE33">
            <v>334.96000000000004</v>
          </cell>
          <cell r="AF33">
            <v>76.319999999999993</v>
          </cell>
          <cell r="AG33">
            <v>2796</v>
          </cell>
          <cell r="AH33">
            <v>1891.04</v>
          </cell>
          <cell r="AI33">
            <v>675.22</v>
          </cell>
          <cell r="AJ33">
            <v>106.64</v>
          </cell>
          <cell r="AK33">
            <v>293.76000000000005</v>
          </cell>
          <cell r="AL33">
            <v>54</v>
          </cell>
          <cell r="AM33">
            <v>62</v>
          </cell>
          <cell r="AN33">
            <v>185.5</v>
          </cell>
          <cell r="AO33">
            <v>3.64</v>
          </cell>
          <cell r="AP33">
            <v>1.72</v>
          </cell>
          <cell r="AQ33">
            <v>5.44</v>
          </cell>
          <cell r="AR33">
            <v>2.4500000000000002</v>
          </cell>
          <cell r="AS33">
            <v>0.51</v>
          </cell>
          <cell r="AT33">
            <v>21.830940723015999</v>
          </cell>
          <cell r="AU33">
            <v>214.76000000000002</v>
          </cell>
          <cell r="AV33">
            <v>16.96</v>
          </cell>
          <cell r="AW33">
            <v>334.96000000000004</v>
          </cell>
          <cell r="AX33">
            <v>76.319999999999993</v>
          </cell>
          <cell r="AY33">
            <v>14.75</v>
          </cell>
          <cell r="AZ33">
            <v>1891.04</v>
          </cell>
          <cell r="BA33">
            <v>675.22</v>
          </cell>
          <cell r="BB33">
            <v>106.64</v>
          </cell>
          <cell r="BC33">
            <v>293.76000000000005</v>
          </cell>
          <cell r="BD33">
            <v>151.9</v>
          </cell>
          <cell r="BE33">
            <v>94.605000000000004</v>
          </cell>
          <cell r="BF33">
            <v>1178.8707990428638</v>
          </cell>
          <cell r="BG33">
            <v>3.6426012607900844E-4</v>
          </cell>
          <cell r="BH33">
            <v>6.0788000000000002</v>
          </cell>
        </row>
        <row r="34">
          <cell r="A34" t="str">
            <v>AP</v>
          </cell>
          <cell r="B34" t="str">
            <v>LA</v>
          </cell>
          <cell r="C34" t="str">
            <v>D</v>
          </cell>
          <cell r="D34" t="str">
            <v>D</v>
          </cell>
          <cell r="E34">
            <v>7753</v>
          </cell>
          <cell r="F34">
            <v>1503</v>
          </cell>
          <cell r="G34">
            <v>3493</v>
          </cell>
          <cell r="H34">
            <v>1450</v>
          </cell>
          <cell r="I34">
            <v>3493</v>
          </cell>
          <cell r="J34">
            <v>158</v>
          </cell>
          <cell r="K34">
            <v>161</v>
          </cell>
          <cell r="L34">
            <v>1.96</v>
          </cell>
          <cell r="M34">
            <v>0.22</v>
          </cell>
          <cell r="N34">
            <v>1450</v>
          </cell>
          <cell r="O34">
            <v>0.49</v>
          </cell>
          <cell r="P34">
            <v>0.14000000000000001</v>
          </cell>
          <cell r="Q34">
            <v>26.87</v>
          </cell>
          <cell r="R34">
            <v>4259</v>
          </cell>
          <cell r="S34">
            <v>154</v>
          </cell>
          <cell r="T34">
            <v>158</v>
          </cell>
          <cell r="U34">
            <v>161</v>
          </cell>
          <cell r="V34">
            <v>1.96</v>
          </cell>
          <cell r="W34">
            <v>0.22</v>
          </cell>
          <cell r="X34">
            <v>1.39</v>
          </cell>
          <cell r="Y34">
            <v>0.49</v>
          </cell>
          <cell r="Z34">
            <v>0.14000000000000001</v>
          </cell>
          <cell r="AA34">
            <v>26.87</v>
          </cell>
          <cell r="AB34">
            <v>4259</v>
          </cell>
          <cell r="AC34">
            <v>315.56</v>
          </cell>
          <cell r="AD34">
            <v>34.76</v>
          </cell>
          <cell r="AE34">
            <v>214.05999999999997</v>
          </cell>
          <cell r="AF34">
            <v>77.42</v>
          </cell>
          <cell r="AG34">
            <v>52</v>
          </cell>
          <cell r="AH34">
            <v>4137.9800000000005</v>
          </cell>
          <cell r="AI34">
            <v>1605.24</v>
          </cell>
          <cell r="AJ34">
            <v>174.72</v>
          </cell>
          <cell r="AK34">
            <v>442.90000000000003</v>
          </cell>
          <cell r="AL34">
            <v>86</v>
          </cell>
          <cell r="AM34">
            <v>91</v>
          </cell>
          <cell r="AN34">
            <v>819</v>
          </cell>
          <cell r="AO34">
            <v>1.96</v>
          </cell>
          <cell r="AP34">
            <v>1.92</v>
          </cell>
          <cell r="AQ34">
            <v>5.15</v>
          </cell>
          <cell r="AR34">
            <v>1.06</v>
          </cell>
          <cell r="AS34">
            <v>0.14000000000000001</v>
          </cell>
          <cell r="AT34">
            <v>23.53</v>
          </cell>
          <cell r="AU34">
            <v>315.56</v>
          </cell>
          <cell r="AV34">
            <v>34.76</v>
          </cell>
          <cell r="AW34">
            <v>214.05999999999997</v>
          </cell>
          <cell r="AX34">
            <v>77.42</v>
          </cell>
          <cell r="AY34">
            <v>22.540000000000003</v>
          </cell>
          <cell r="AZ34">
            <v>4137.9800000000005</v>
          </cell>
          <cell r="BA34">
            <v>1605.24</v>
          </cell>
          <cell r="BB34">
            <v>174.72</v>
          </cell>
          <cell r="BC34">
            <v>442.90000000000003</v>
          </cell>
          <cell r="BD34">
            <v>96.460000000000008</v>
          </cell>
          <cell r="BE34">
            <v>114.66000000000001</v>
          </cell>
          <cell r="BF34">
            <v>2023.5800000000002</v>
          </cell>
          <cell r="BG34">
            <v>3.1777976341741335E-4</v>
          </cell>
          <cell r="BH34">
            <v>3.2731999999999997</v>
          </cell>
        </row>
        <row r="35">
          <cell r="A35" t="str">
            <v>AP</v>
          </cell>
          <cell r="B35" t="str">
            <v>SB</v>
          </cell>
          <cell r="C35" t="str">
            <v>D</v>
          </cell>
          <cell r="D35" t="str">
            <v>D</v>
          </cell>
          <cell r="E35">
            <v>5895</v>
          </cell>
          <cell r="F35">
            <v>3220</v>
          </cell>
          <cell r="G35">
            <v>3741</v>
          </cell>
          <cell r="H35">
            <v>2115</v>
          </cell>
          <cell r="I35">
            <v>3741</v>
          </cell>
          <cell r="J35">
            <v>100</v>
          </cell>
          <cell r="K35">
            <v>39</v>
          </cell>
          <cell r="L35">
            <v>4.59</v>
          </cell>
          <cell r="M35">
            <v>0.14000000000000001</v>
          </cell>
          <cell r="N35">
            <v>2115</v>
          </cell>
          <cell r="O35">
            <v>0.35</v>
          </cell>
          <cell r="P35">
            <v>0.1</v>
          </cell>
          <cell r="Q35">
            <v>14.47</v>
          </cell>
          <cell r="R35">
            <v>2154</v>
          </cell>
          <cell r="S35">
            <v>100</v>
          </cell>
          <cell r="T35">
            <v>100</v>
          </cell>
          <cell r="U35">
            <v>39</v>
          </cell>
          <cell r="V35">
            <v>4.59</v>
          </cell>
          <cell r="W35">
            <v>0.14000000000000001</v>
          </cell>
          <cell r="X35">
            <v>1.19</v>
          </cell>
          <cell r="Y35">
            <v>0.35</v>
          </cell>
          <cell r="Z35">
            <v>0.1</v>
          </cell>
          <cell r="AA35">
            <v>14.47</v>
          </cell>
          <cell r="AB35">
            <v>2154</v>
          </cell>
          <cell r="AC35">
            <v>179.01</v>
          </cell>
          <cell r="AD35">
            <v>14.000000000000002</v>
          </cell>
          <cell r="AE35">
            <v>119</v>
          </cell>
          <cell r="AF35">
            <v>35</v>
          </cell>
          <cell r="AG35">
            <v>1104</v>
          </cell>
          <cell r="AH35">
            <v>1447</v>
          </cell>
          <cell r="AI35">
            <v>385.86500000000001</v>
          </cell>
          <cell r="AJ35">
            <v>28.95</v>
          </cell>
          <cell r="AK35">
            <v>111.15</v>
          </cell>
          <cell r="AL35">
            <v>15</v>
          </cell>
          <cell r="AM35">
            <v>15</v>
          </cell>
          <cell r="AN35">
            <v>84.25</v>
          </cell>
          <cell r="AO35">
            <v>4.58</v>
          </cell>
          <cell r="AP35">
            <v>1.93</v>
          </cell>
          <cell r="AQ35">
            <v>7.41</v>
          </cell>
          <cell r="AR35">
            <v>0.69</v>
          </cell>
          <cell r="AS35">
            <v>0.08</v>
          </cell>
          <cell r="AT35">
            <v>17.386205437715599</v>
          </cell>
          <cell r="AU35">
            <v>179.01</v>
          </cell>
          <cell r="AV35">
            <v>14.000000000000002</v>
          </cell>
          <cell r="AW35">
            <v>119</v>
          </cell>
          <cell r="AX35">
            <v>35</v>
          </cell>
          <cell r="AY35">
            <v>3.9000000000000004</v>
          </cell>
          <cell r="AZ35">
            <v>1447</v>
          </cell>
          <cell r="BA35">
            <v>385.86500000000001</v>
          </cell>
          <cell r="BB35">
            <v>28.95</v>
          </cell>
          <cell r="BC35">
            <v>111.15</v>
          </cell>
          <cell r="BD35">
            <v>10.35</v>
          </cell>
          <cell r="BE35">
            <v>6.74</v>
          </cell>
          <cell r="BF35">
            <v>260.79308156573398</v>
          </cell>
          <cell r="BG35">
            <v>2.4162410748686337E-4</v>
          </cell>
          <cell r="BH35">
            <v>7.6486000000000001</v>
          </cell>
        </row>
        <row r="36">
          <cell r="A36" t="str">
            <v>AP</v>
          </cell>
          <cell r="B36" t="str">
            <v>BT</v>
          </cell>
          <cell r="C36" t="str">
            <v>D</v>
          </cell>
          <cell r="D36" t="str">
            <v>D</v>
          </cell>
          <cell r="E36">
            <v>4346</v>
          </cell>
          <cell r="F36">
            <v>-1297</v>
          </cell>
          <cell r="G36">
            <v>1946</v>
          </cell>
          <cell r="H36">
            <v>795</v>
          </cell>
          <cell r="I36">
            <v>1946</v>
          </cell>
          <cell r="J36">
            <v>74</v>
          </cell>
          <cell r="K36">
            <v>56.25</v>
          </cell>
          <cell r="L36">
            <v>6.59</v>
          </cell>
          <cell r="M36">
            <v>0.26</v>
          </cell>
          <cell r="N36">
            <v>795</v>
          </cell>
          <cell r="O36">
            <v>0.49</v>
          </cell>
          <cell r="P36">
            <v>0.14000000000000001</v>
          </cell>
          <cell r="Q36">
            <v>26.87</v>
          </cell>
          <cell r="R36">
            <v>2400</v>
          </cell>
          <cell r="S36">
            <v>73</v>
          </cell>
          <cell r="T36">
            <v>74</v>
          </cell>
          <cell r="U36">
            <v>56.25</v>
          </cell>
          <cell r="V36">
            <v>6.59</v>
          </cell>
          <cell r="W36">
            <v>0.26</v>
          </cell>
          <cell r="X36">
            <v>1.39</v>
          </cell>
          <cell r="Y36">
            <v>0.49</v>
          </cell>
          <cell r="Z36">
            <v>0.14000000000000001</v>
          </cell>
          <cell r="AA36">
            <v>26.87</v>
          </cell>
          <cell r="AB36">
            <v>2400</v>
          </cell>
          <cell r="AC36">
            <v>370.6875</v>
          </cell>
          <cell r="AD36">
            <v>19.240000000000002</v>
          </cell>
          <cell r="AE36">
            <v>101.47</v>
          </cell>
          <cell r="AF36">
            <v>36.26</v>
          </cell>
          <cell r="AG36">
            <v>-2091</v>
          </cell>
          <cell r="AH36">
            <v>1961.51</v>
          </cell>
          <cell r="AI36">
            <v>3125.3074999999999</v>
          </cell>
          <cell r="AJ36">
            <v>72.789999999999992</v>
          </cell>
          <cell r="AK36">
            <v>118.45</v>
          </cell>
          <cell r="AL36">
            <v>23</v>
          </cell>
          <cell r="AM36">
            <v>29</v>
          </cell>
          <cell r="AN36">
            <v>474.25</v>
          </cell>
          <cell r="AO36">
            <v>6.59</v>
          </cell>
          <cell r="AP36">
            <v>2.5099999999999998</v>
          </cell>
          <cell r="AQ36">
            <v>5.15</v>
          </cell>
          <cell r="AR36">
            <v>1.06</v>
          </cell>
          <cell r="AS36">
            <v>0.14000000000000001</v>
          </cell>
          <cell r="AT36">
            <v>7.55</v>
          </cell>
          <cell r="AU36">
            <v>370.6875</v>
          </cell>
          <cell r="AV36">
            <v>19.240000000000002</v>
          </cell>
          <cell r="AW36">
            <v>101.47</v>
          </cell>
          <cell r="AX36">
            <v>36.26</v>
          </cell>
          <cell r="AY36">
            <v>7.8750000000000009</v>
          </cell>
          <cell r="AZ36">
            <v>1961.51</v>
          </cell>
          <cell r="BA36">
            <v>3125.3074999999999</v>
          </cell>
          <cell r="BB36">
            <v>72.789999999999992</v>
          </cell>
          <cell r="BC36">
            <v>118.45</v>
          </cell>
          <cell r="BD36">
            <v>30.740000000000002</v>
          </cell>
          <cell r="BE36">
            <v>66.39500000000001</v>
          </cell>
          <cell r="BF36">
            <v>173.65</v>
          </cell>
          <cell r="BG36">
            <v>1.781337355619861E-4</v>
          </cell>
          <cell r="BH36">
            <v>11.0053</v>
          </cell>
        </row>
        <row r="37">
          <cell r="A37" t="str">
            <v>AP</v>
          </cell>
          <cell r="B37" t="str">
            <v>KP</v>
          </cell>
          <cell r="C37" t="str">
            <v>D</v>
          </cell>
          <cell r="D37" t="str">
            <v>D</v>
          </cell>
          <cell r="E37">
            <v>3335</v>
          </cell>
          <cell r="F37">
            <v>967</v>
          </cell>
          <cell r="G37">
            <v>2230</v>
          </cell>
          <cell r="H37">
            <v>700</v>
          </cell>
          <cell r="I37">
            <v>2230</v>
          </cell>
          <cell r="J37">
            <v>77</v>
          </cell>
          <cell r="K37">
            <v>46.25</v>
          </cell>
          <cell r="L37">
            <v>4.3899999999999997</v>
          </cell>
          <cell r="M37">
            <v>0.2</v>
          </cell>
          <cell r="N37">
            <v>700</v>
          </cell>
          <cell r="O37">
            <v>0.72</v>
          </cell>
          <cell r="P37">
            <v>0.25</v>
          </cell>
          <cell r="Q37">
            <v>17.84</v>
          </cell>
          <cell r="R37">
            <v>1105</v>
          </cell>
          <cell r="S37">
            <v>77</v>
          </cell>
          <cell r="T37">
            <v>77</v>
          </cell>
          <cell r="U37">
            <v>46.25</v>
          </cell>
          <cell r="V37">
            <v>4.3899999999999997</v>
          </cell>
          <cell r="W37">
            <v>0.2</v>
          </cell>
          <cell r="X37">
            <v>3.16</v>
          </cell>
          <cell r="Y37">
            <v>0.72</v>
          </cell>
          <cell r="Z37">
            <v>0.25</v>
          </cell>
          <cell r="AA37">
            <v>17.84</v>
          </cell>
          <cell r="AB37">
            <v>1105</v>
          </cell>
          <cell r="AC37">
            <v>203.03749999999999</v>
          </cell>
          <cell r="AD37">
            <v>15.4</v>
          </cell>
          <cell r="AE37">
            <v>243.32000000000002</v>
          </cell>
          <cell r="AF37">
            <v>55.44</v>
          </cell>
          <cell r="AG37">
            <v>267</v>
          </cell>
          <cell r="AH37">
            <v>1373.68</v>
          </cell>
          <cell r="AI37">
            <v>289.08</v>
          </cell>
          <cell r="AJ37">
            <v>24</v>
          </cell>
          <cell r="AK37">
            <v>65.28</v>
          </cell>
          <cell r="AL37">
            <v>12</v>
          </cell>
          <cell r="AM37">
            <v>12</v>
          </cell>
          <cell r="AN37">
            <v>66</v>
          </cell>
          <cell r="AO37">
            <v>4.38</v>
          </cell>
          <cell r="AP37">
            <v>2</v>
          </cell>
          <cell r="AQ37">
            <v>5.44</v>
          </cell>
          <cell r="AR37">
            <v>2.4500000000000002</v>
          </cell>
          <cell r="AS37">
            <v>0.51</v>
          </cell>
          <cell r="AT37">
            <v>16.5</v>
          </cell>
          <cell r="AU37">
            <v>203.03749999999999</v>
          </cell>
          <cell r="AV37">
            <v>15.4</v>
          </cell>
          <cell r="AW37">
            <v>243.32000000000002</v>
          </cell>
          <cell r="AX37">
            <v>55.44</v>
          </cell>
          <cell r="AY37">
            <v>11.5625</v>
          </cell>
          <cell r="AZ37">
            <v>1373.68</v>
          </cell>
          <cell r="BA37">
            <v>289.08</v>
          </cell>
          <cell r="BB37">
            <v>24</v>
          </cell>
          <cell r="BC37">
            <v>65.28</v>
          </cell>
          <cell r="BD37">
            <v>29.400000000000002</v>
          </cell>
          <cell r="BE37">
            <v>33.660000000000004</v>
          </cell>
          <cell r="BF37">
            <v>198</v>
          </cell>
          <cell r="BG37">
            <v>1.3669489371818309E-4</v>
          </cell>
          <cell r="BH37">
            <v>7.3145999999999995</v>
          </cell>
        </row>
        <row r="38">
          <cell r="A38" t="str">
            <v>AP</v>
          </cell>
          <cell r="B38" t="str">
            <v>VU</v>
          </cell>
          <cell r="C38" t="str">
            <v>D</v>
          </cell>
          <cell r="D38" t="str">
            <v>D</v>
          </cell>
          <cell r="E38">
            <v>2183</v>
          </cell>
          <cell r="F38">
            <v>822</v>
          </cell>
          <cell r="G38">
            <v>624</v>
          </cell>
          <cell r="H38">
            <v>300</v>
          </cell>
          <cell r="I38">
            <v>624</v>
          </cell>
          <cell r="J38">
            <v>22</v>
          </cell>
          <cell r="K38">
            <v>6</v>
          </cell>
          <cell r="L38">
            <v>4.5999999999999996</v>
          </cell>
          <cell r="M38">
            <v>0.12</v>
          </cell>
          <cell r="N38">
            <v>300</v>
          </cell>
          <cell r="O38">
            <v>0.35</v>
          </cell>
          <cell r="P38">
            <v>0.1</v>
          </cell>
          <cell r="Q38">
            <v>14.47</v>
          </cell>
          <cell r="R38">
            <v>1559</v>
          </cell>
          <cell r="S38">
            <v>22</v>
          </cell>
          <cell r="T38">
            <v>22</v>
          </cell>
          <cell r="U38">
            <v>6</v>
          </cell>
          <cell r="V38">
            <v>4.5999999999999996</v>
          </cell>
          <cell r="W38">
            <v>0.12</v>
          </cell>
          <cell r="X38">
            <v>1.19</v>
          </cell>
          <cell r="Y38">
            <v>0.35</v>
          </cell>
          <cell r="Z38">
            <v>0.1</v>
          </cell>
          <cell r="AA38">
            <v>14.47</v>
          </cell>
          <cell r="AB38">
            <v>1559</v>
          </cell>
          <cell r="AC38">
            <v>27.599999999999998</v>
          </cell>
          <cell r="AD38">
            <v>2.6399999999999997</v>
          </cell>
          <cell r="AE38">
            <v>26.18</v>
          </cell>
          <cell r="AF38">
            <v>7.6999999999999993</v>
          </cell>
          <cell r="AG38">
            <v>522</v>
          </cell>
          <cell r="AH38">
            <v>318.34000000000003</v>
          </cell>
          <cell r="AI38">
            <v>648.07000000000005</v>
          </cell>
          <cell r="AJ38">
            <v>14.04</v>
          </cell>
          <cell r="AK38">
            <v>44.46</v>
          </cell>
          <cell r="AL38">
            <v>6</v>
          </cell>
          <cell r="AM38">
            <v>6</v>
          </cell>
          <cell r="AN38">
            <v>141.5</v>
          </cell>
          <cell r="AO38">
            <v>4.58</v>
          </cell>
          <cell r="AP38">
            <v>2.34</v>
          </cell>
          <cell r="AQ38">
            <v>7.41</v>
          </cell>
          <cell r="AR38">
            <v>0.69</v>
          </cell>
          <cell r="AS38">
            <v>0.08</v>
          </cell>
          <cell r="AT38">
            <v>26.9384463598292</v>
          </cell>
          <cell r="AU38">
            <v>27.599999999999998</v>
          </cell>
          <cell r="AV38">
            <v>2.6399999999999997</v>
          </cell>
          <cell r="AW38">
            <v>26.18</v>
          </cell>
          <cell r="AX38">
            <v>7.6999999999999993</v>
          </cell>
          <cell r="AY38">
            <v>0.60000000000000009</v>
          </cell>
          <cell r="AZ38">
            <v>318.34000000000003</v>
          </cell>
          <cell r="BA38">
            <v>648.07000000000005</v>
          </cell>
          <cell r="BB38">
            <v>14.04</v>
          </cell>
          <cell r="BC38">
            <v>44.46</v>
          </cell>
          <cell r="BD38">
            <v>4.1399999999999997</v>
          </cell>
          <cell r="BE38">
            <v>11.32</v>
          </cell>
          <cell r="BF38">
            <v>161.6306781589752</v>
          </cell>
          <cell r="BG38">
            <v>8.947674752227697E-5</v>
          </cell>
          <cell r="BH38">
            <v>7.6486000000000001</v>
          </cell>
        </row>
        <row r="39">
          <cell r="A39" t="str">
            <v>AP</v>
          </cell>
          <cell r="B39" t="str">
            <v>WS</v>
          </cell>
          <cell r="C39" t="str">
            <v>D</v>
          </cell>
          <cell r="D39" t="str">
            <v>D</v>
          </cell>
          <cell r="E39">
            <v>1278</v>
          </cell>
          <cell r="F39">
            <v>705</v>
          </cell>
          <cell r="G39">
            <v>490</v>
          </cell>
          <cell r="H39">
            <v>307</v>
          </cell>
          <cell r="I39">
            <v>490</v>
          </cell>
          <cell r="J39">
            <v>14</v>
          </cell>
          <cell r="K39">
            <v>4</v>
          </cell>
          <cell r="L39">
            <v>4.5999999999999996</v>
          </cell>
          <cell r="M39">
            <v>0.12</v>
          </cell>
          <cell r="N39">
            <v>307</v>
          </cell>
          <cell r="O39">
            <v>0.35</v>
          </cell>
          <cell r="P39">
            <v>0.1</v>
          </cell>
          <cell r="Q39">
            <v>14.47</v>
          </cell>
          <cell r="R39">
            <v>788</v>
          </cell>
          <cell r="S39">
            <v>14</v>
          </cell>
          <cell r="T39">
            <v>14</v>
          </cell>
          <cell r="U39">
            <v>4</v>
          </cell>
          <cell r="V39">
            <v>4.5999999999999996</v>
          </cell>
          <cell r="W39">
            <v>0.12</v>
          </cell>
          <cell r="X39">
            <v>1.19</v>
          </cell>
          <cell r="Y39">
            <v>0.35</v>
          </cell>
          <cell r="Z39">
            <v>0.1</v>
          </cell>
          <cell r="AA39">
            <v>14.47</v>
          </cell>
          <cell r="AB39">
            <v>788</v>
          </cell>
          <cell r="AC39">
            <v>18.399999999999999</v>
          </cell>
          <cell r="AD39">
            <v>1.68</v>
          </cell>
          <cell r="AE39">
            <v>16.66</v>
          </cell>
          <cell r="AF39">
            <v>4.8999999999999995</v>
          </cell>
          <cell r="AG39">
            <v>398</v>
          </cell>
          <cell r="AH39">
            <v>202.58</v>
          </cell>
          <cell r="AI39">
            <v>100.76</v>
          </cell>
          <cell r="AJ39">
            <v>13.2</v>
          </cell>
          <cell r="AK39">
            <v>59.28</v>
          </cell>
          <cell r="AL39">
            <v>8</v>
          </cell>
          <cell r="AM39">
            <v>8</v>
          </cell>
          <cell r="AN39">
            <v>22</v>
          </cell>
          <cell r="AO39">
            <v>4.58</v>
          </cell>
          <cell r="AP39">
            <v>1.65</v>
          </cell>
          <cell r="AQ39">
            <v>7.41</v>
          </cell>
          <cell r="AR39">
            <v>0.69</v>
          </cell>
          <cell r="AS39">
            <v>0.08</v>
          </cell>
          <cell r="AT39">
            <v>28.713622530194701</v>
          </cell>
          <cell r="AU39">
            <v>18.399999999999999</v>
          </cell>
          <cell r="AV39">
            <v>1.68</v>
          </cell>
          <cell r="AW39">
            <v>16.66</v>
          </cell>
          <cell r="AX39">
            <v>4.8999999999999995</v>
          </cell>
          <cell r="AY39">
            <v>0.4</v>
          </cell>
          <cell r="AZ39">
            <v>202.58</v>
          </cell>
          <cell r="BA39">
            <v>100.76</v>
          </cell>
          <cell r="BB39">
            <v>13.2</v>
          </cell>
          <cell r="BC39">
            <v>59.28</v>
          </cell>
          <cell r="BD39">
            <v>5.52</v>
          </cell>
          <cell r="BE39">
            <v>1.76</v>
          </cell>
          <cell r="BF39">
            <v>229.70898024155761</v>
          </cell>
          <cell r="BG39">
            <v>5.2382630936083355E-5</v>
          </cell>
          <cell r="BH39">
            <v>7.6486000000000001</v>
          </cell>
        </row>
        <row r="40">
          <cell r="A40" t="str">
            <v>AP</v>
          </cell>
          <cell r="B40" t="str">
            <v>CK</v>
          </cell>
          <cell r="C40" t="str">
            <v>D</v>
          </cell>
          <cell r="D40" t="str">
            <v>D</v>
          </cell>
          <cell r="E40">
            <v>828</v>
          </cell>
          <cell r="F40">
            <v>514</v>
          </cell>
          <cell r="G40">
            <v>828</v>
          </cell>
          <cell r="H40">
            <v>514</v>
          </cell>
          <cell r="I40">
            <v>828</v>
          </cell>
          <cell r="J40">
            <v>7.25</v>
          </cell>
          <cell r="K40">
            <v>21</v>
          </cell>
          <cell r="L40">
            <v>4.59</v>
          </cell>
          <cell r="M40">
            <v>0.19</v>
          </cell>
          <cell r="N40">
            <v>514</v>
          </cell>
          <cell r="O40">
            <v>0.35</v>
          </cell>
          <cell r="P40">
            <v>0.1</v>
          </cell>
          <cell r="Q40">
            <v>14.47</v>
          </cell>
          <cell r="R40">
            <v>26.87</v>
          </cell>
          <cell r="S40">
            <v>21</v>
          </cell>
          <cell r="T40">
            <v>7.25</v>
          </cell>
          <cell r="U40">
            <v>21</v>
          </cell>
          <cell r="V40">
            <v>4.59</v>
          </cell>
          <cell r="W40">
            <v>0.19</v>
          </cell>
          <cell r="X40">
            <v>1.19</v>
          </cell>
          <cell r="Y40">
            <v>0.35</v>
          </cell>
          <cell r="Z40">
            <v>0.1</v>
          </cell>
          <cell r="AA40">
            <v>14.47</v>
          </cell>
          <cell r="AB40">
            <v>0</v>
          </cell>
          <cell r="AC40">
            <v>0</v>
          </cell>
          <cell r="AD40">
            <v>0</v>
          </cell>
          <cell r="AE40">
            <v>3.3938042578307524E-5</v>
          </cell>
          <cell r="AF40">
            <v>7.6652999999999993</v>
          </cell>
          <cell r="AG40">
            <v>0</v>
          </cell>
          <cell r="AH40">
            <v>0</v>
          </cell>
          <cell r="AI40">
            <v>0</v>
          </cell>
          <cell r="AJ40">
            <v>0</v>
          </cell>
          <cell r="AK40">
            <v>0</v>
          </cell>
          <cell r="AL40">
            <v>0</v>
          </cell>
          <cell r="AM40">
            <v>0</v>
          </cell>
          <cell r="AN40">
            <v>0</v>
          </cell>
          <cell r="AO40">
            <v>0</v>
          </cell>
          <cell r="AP40">
            <v>0</v>
          </cell>
          <cell r="AQ40">
            <v>0</v>
          </cell>
          <cell r="AR40">
            <v>0</v>
          </cell>
          <cell r="AS40">
            <v>0</v>
          </cell>
          <cell r="AT40">
            <v>26.87</v>
          </cell>
          <cell r="AU40">
            <v>96.39</v>
          </cell>
          <cell r="AV40">
            <v>1.3774999999999999</v>
          </cell>
          <cell r="AW40">
            <v>24.99</v>
          </cell>
          <cell r="AX40">
            <v>2.5374999999999996</v>
          </cell>
          <cell r="AY40">
            <v>2.1</v>
          </cell>
          <cell r="AZ40">
            <v>303.87</v>
          </cell>
          <cell r="BA40">
            <v>0</v>
          </cell>
          <cell r="BB40">
            <v>0</v>
          </cell>
          <cell r="BC40">
            <v>0</v>
          </cell>
          <cell r="BD40">
            <v>0</v>
          </cell>
          <cell r="BE40">
            <v>0</v>
          </cell>
          <cell r="BF40">
            <v>0</v>
          </cell>
          <cell r="BG40">
            <v>3.3938042578307524E-5</v>
          </cell>
          <cell r="BH40">
            <v>7.6652999999999993</v>
          </cell>
        </row>
        <row r="41">
          <cell r="A41" t="str">
            <v>AP</v>
          </cell>
          <cell r="B41" t="str">
            <v>NR</v>
          </cell>
          <cell r="C41" t="str">
            <v>D</v>
          </cell>
          <cell r="D41" t="str">
            <v>D</v>
          </cell>
          <cell r="E41">
            <v>681</v>
          </cell>
          <cell r="F41">
            <v>417</v>
          </cell>
          <cell r="G41">
            <v>681</v>
          </cell>
          <cell r="H41">
            <v>417</v>
          </cell>
          <cell r="I41">
            <v>3</v>
          </cell>
          <cell r="J41">
            <v>3</v>
          </cell>
          <cell r="K41">
            <v>19.75</v>
          </cell>
          <cell r="L41">
            <v>4.58</v>
          </cell>
          <cell r="M41">
            <v>1.65</v>
          </cell>
          <cell r="N41">
            <v>7.41</v>
          </cell>
          <cell r="O41">
            <v>0.69</v>
          </cell>
          <cell r="P41">
            <v>0.08</v>
          </cell>
          <cell r="Q41">
            <v>42.87</v>
          </cell>
          <cell r="R41">
            <v>0</v>
          </cell>
          <cell r="S41">
            <v>0</v>
          </cell>
          <cell r="T41">
            <v>0</v>
          </cell>
          <cell r="U41">
            <v>0</v>
          </cell>
          <cell r="V41">
            <v>0</v>
          </cell>
          <cell r="W41">
            <v>0</v>
          </cell>
          <cell r="X41">
            <v>90.454999999999998</v>
          </cell>
          <cell r="Y41">
            <v>4.9499999999999993</v>
          </cell>
          <cell r="Z41">
            <v>22.23</v>
          </cell>
          <cell r="AA41">
            <v>2.0699999999999998</v>
          </cell>
          <cell r="AB41">
            <v>681</v>
          </cell>
          <cell r="AC41">
            <v>128.60999999999999</v>
          </cell>
          <cell r="AD41">
            <v>2.7912810381434087E-5</v>
          </cell>
          <cell r="AE41">
            <v>7.6486000000000001</v>
          </cell>
          <cell r="AF41">
            <v>0</v>
          </cell>
          <cell r="AG41">
            <v>417</v>
          </cell>
          <cell r="AH41">
            <v>0</v>
          </cell>
          <cell r="AI41">
            <v>0</v>
          </cell>
          <cell r="AJ41">
            <v>0</v>
          </cell>
          <cell r="AK41">
            <v>0</v>
          </cell>
          <cell r="AL41">
            <v>3</v>
          </cell>
          <cell r="AM41">
            <v>3</v>
          </cell>
          <cell r="AN41">
            <v>19.75</v>
          </cell>
          <cell r="AO41">
            <v>4.58</v>
          </cell>
          <cell r="AP41">
            <v>1.65</v>
          </cell>
          <cell r="AQ41">
            <v>7.41</v>
          </cell>
          <cell r="AR41">
            <v>0.69</v>
          </cell>
          <cell r="AS41">
            <v>0.08</v>
          </cell>
          <cell r="AT41">
            <v>42.87</v>
          </cell>
          <cell r="AU41">
            <v>0</v>
          </cell>
          <cell r="AV41">
            <v>0</v>
          </cell>
          <cell r="AW41">
            <v>0</v>
          </cell>
          <cell r="AX41">
            <v>0</v>
          </cell>
          <cell r="AY41">
            <v>0</v>
          </cell>
          <cell r="AZ41">
            <v>0</v>
          </cell>
          <cell r="BA41">
            <v>90.454999999999998</v>
          </cell>
          <cell r="BB41">
            <v>4.9499999999999993</v>
          </cell>
          <cell r="BC41">
            <v>22.23</v>
          </cell>
          <cell r="BD41">
            <v>2.0699999999999998</v>
          </cell>
          <cell r="BE41">
            <v>1.58</v>
          </cell>
          <cell r="BF41">
            <v>128.60999999999999</v>
          </cell>
          <cell r="BG41">
            <v>2.7912810381434087E-5</v>
          </cell>
          <cell r="BH41">
            <v>7.6486000000000001</v>
          </cell>
        </row>
        <row r="42">
          <cell r="A42" t="str">
            <v>AP</v>
          </cell>
          <cell r="B42" t="str">
            <v>TO</v>
          </cell>
          <cell r="C42" t="str">
            <v>D</v>
          </cell>
          <cell r="D42" t="str">
            <v>D</v>
          </cell>
          <cell r="E42">
            <v>514</v>
          </cell>
          <cell r="F42">
            <v>268</v>
          </cell>
          <cell r="G42">
            <v>176</v>
          </cell>
          <cell r="H42">
            <v>103</v>
          </cell>
          <cell r="I42">
            <v>176</v>
          </cell>
          <cell r="J42">
            <v>6</v>
          </cell>
          <cell r="K42">
            <v>1.5</v>
          </cell>
          <cell r="L42">
            <v>4.5999999999999996</v>
          </cell>
          <cell r="M42">
            <v>0.12</v>
          </cell>
          <cell r="N42">
            <v>103</v>
          </cell>
          <cell r="O42">
            <v>0.35</v>
          </cell>
          <cell r="P42">
            <v>0.1</v>
          </cell>
          <cell r="Q42">
            <v>14.47</v>
          </cell>
          <cell r="R42">
            <v>338</v>
          </cell>
          <cell r="S42">
            <v>6</v>
          </cell>
          <cell r="T42">
            <v>6</v>
          </cell>
          <cell r="U42">
            <v>1.5</v>
          </cell>
          <cell r="V42">
            <v>4.5999999999999996</v>
          </cell>
          <cell r="W42">
            <v>0.12</v>
          </cell>
          <cell r="X42">
            <v>1.19</v>
          </cell>
          <cell r="Y42">
            <v>0.35</v>
          </cell>
          <cell r="Z42">
            <v>0.1</v>
          </cell>
          <cell r="AA42">
            <v>14.47</v>
          </cell>
          <cell r="AB42">
            <v>338</v>
          </cell>
          <cell r="AC42">
            <v>6.8999999999999995</v>
          </cell>
          <cell r="AD42">
            <v>0.72</v>
          </cell>
          <cell r="AE42">
            <v>7.14</v>
          </cell>
          <cell r="AF42">
            <v>2.0999999999999996</v>
          </cell>
          <cell r="AG42">
            <v>165</v>
          </cell>
          <cell r="AH42">
            <v>86.820000000000007</v>
          </cell>
          <cell r="AI42">
            <v>20.61</v>
          </cell>
          <cell r="AJ42">
            <v>6.6</v>
          </cell>
          <cell r="AK42">
            <v>29.64</v>
          </cell>
          <cell r="AL42">
            <v>4</v>
          </cell>
          <cell r="AM42">
            <v>4</v>
          </cell>
          <cell r="AN42">
            <v>4.5</v>
          </cell>
          <cell r="AO42">
            <v>4.58</v>
          </cell>
          <cell r="AP42">
            <v>1.65</v>
          </cell>
          <cell r="AQ42">
            <v>7.41</v>
          </cell>
          <cell r="AR42">
            <v>0.69</v>
          </cell>
          <cell r="AS42">
            <v>0.08</v>
          </cell>
          <cell r="AT42">
            <v>17.516785990997899</v>
          </cell>
          <cell r="AU42">
            <v>6.8999999999999995</v>
          </cell>
          <cell r="AV42">
            <v>0.72</v>
          </cell>
          <cell r="AW42">
            <v>7.14</v>
          </cell>
          <cell r="AX42">
            <v>2.0999999999999996</v>
          </cell>
          <cell r="AY42">
            <v>0.15000000000000002</v>
          </cell>
          <cell r="AZ42">
            <v>86.820000000000007</v>
          </cell>
          <cell r="BA42">
            <v>20.61</v>
          </cell>
          <cell r="BB42">
            <v>6.6</v>
          </cell>
          <cell r="BC42">
            <v>29.64</v>
          </cell>
          <cell r="BD42">
            <v>2.76</v>
          </cell>
          <cell r="BE42">
            <v>0.36</v>
          </cell>
          <cell r="BF42">
            <v>70.067143963991597</v>
          </cell>
          <cell r="BG42">
            <v>2.1067818701992834E-5</v>
          </cell>
          <cell r="BH42">
            <v>7.6486000000000001</v>
          </cell>
        </row>
        <row r="43">
          <cell r="A43" t="str">
            <v>AP</v>
          </cell>
          <cell r="B43" t="str">
            <v>KI</v>
          </cell>
          <cell r="C43" t="str">
            <v>D</v>
          </cell>
          <cell r="D43" t="str">
            <v>D</v>
          </cell>
          <cell r="E43">
            <v>243</v>
          </cell>
          <cell r="F43">
            <v>144</v>
          </cell>
          <cell r="G43">
            <v>156</v>
          </cell>
          <cell r="H43">
            <v>87</v>
          </cell>
          <cell r="I43">
            <v>156</v>
          </cell>
          <cell r="J43">
            <v>4</v>
          </cell>
          <cell r="K43">
            <v>1.5</v>
          </cell>
          <cell r="L43">
            <v>4.59</v>
          </cell>
          <cell r="M43">
            <v>0.12</v>
          </cell>
          <cell r="N43">
            <v>87</v>
          </cell>
          <cell r="O43">
            <v>0.35</v>
          </cell>
          <cell r="P43">
            <v>0.1</v>
          </cell>
          <cell r="Q43">
            <v>14.47</v>
          </cell>
          <cell r="R43">
            <v>87</v>
          </cell>
          <cell r="S43">
            <v>4</v>
          </cell>
          <cell r="T43">
            <v>4</v>
          </cell>
          <cell r="U43">
            <v>1.5</v>
          </cell>
          <cell r="V43">
            <v>4.59</v>
          </cell>
          <cell r="W43">
            <v>0.12</v>
          </cell>
          <cell r="X43">
            <v>1.19</v>
          </cell>
          <cell r="Y43">
            <v>0.35</v>
          </cell>
          <cell r="Z43">
            <v>0.1</v>
          </cell>
          <cell r="AA43">
            <v>14.47</v>
          </cell>
          <cell r="AB43">
            <v>87</v>
          </cell>
          <cell r="AC43">
            <v>6.8849999999999998</v>
          </cell>
          <cell r="AD43">
            <v>0.48</v>
          </cell>
          <cell r="AE43">
            <v>4.76</v>
          </cell>
          <cell r="AF43">
            <v>1.4</v>
          </cell>
          <cell r="AG43">
            <v>57</v>
          </cell>
          <cell r="AH43">
            <v>57.88</v>
          </cell>
          <cell r="AI43">
            <v>1.1499999999999999</v>
          </cell>
          <cell r="AJ43">
            <v>1.65</v>
          </cell>
          <cell r="AK43">
            <v>7.41</v>
          </cell>
          <cell r="AL43">
            <v>1</v>
          </cell>
          <cell r="AM43">
            <v>1</v>
          </cell>
          <cell r="AN43">
            <v>0.25</v>
          </cell>
          <cell r="AO43">
            <v>4.5999999999999996</v>
          </cell>
          <cell r="AP43">
            <v>1.65</v>
          </cell>
          <cell r="AQ43">
            <v>7.41</v>
          </cell>
          <cell r="AR43">
            <v>0.69</v>
          </cell>
          <cell r="AS43">
            <v>0.08</v>
          </cell>
          <cell r="AT43">
            <v>17.71</v>
          </cell>
          <cell r="AU43">
            <v>6.8849999999999998</v>
          </cell>
          <cell r="AV43">
            <v>0.48</v>
          </cell>
          <cell r="AW43">
            <v>4.76</v>
          </cell>
          <cell r="AX43">
            <v>1.4</v>
          </cell>
          <cell r="AY43">
            <v>0.15000000000000002</v>
          </cell>
          <cell r="AZ43">
            <v>57.88</v>
          </cell>
          <cell r="BA43">
            <v>1.1499999999999999</v>
          </cell>
          <cell r="BB43">
            <v>1.65</v>
          </cell>
          <cell r="BC43">
            <v>7.41</v>
          </cell>
          <cell r="BD43">
            <v>0.69</v>
          </cell>
          <cell r="BE43">
            <v>0.02</v>
          </cell>
          <cell r="BF43">
            <v>17.71</v>
          </cell>
          <cell r="BG43">
            <v>9.9600777131989482E-6</v>
          </cell>
          <cell r="BH43">
            <v>7.6819999999999995</v>
          </cell>
        </row>
        <row r="44">
          <cell r="A44" t="str">
            <v>AP</v>
          </cell>
          <cell r="B44" t="str">
            <v>TV</v>
          </cell>
          <cell r="C44" t="str">
            <v>D</v>
          </cell>
          <cell r="D44" t="str">
            <v>D</v>
          </cell>
          <cell r="E44">
            <v>102</v>
          </cell>
          <cell r="F44">
            <v>42</v>
          </cell>
          <cell r="G44">
            <v>102</v>
          </cell>
          <cell r="H44">
            <v>42</v>
          </cell>
          <cell r="I44">
            <v>102</v>
          </cell>
          <cell r="J44">
            <v>1.5</v>
          </cell>
          <cell r="K44">
            <v>4</v>
          </cell>
          <cell r="L44">
            <v>4.59</v>
          </cell>
          <cell r="M44">
            <v>0.12</v>
          </cell>
          <cell r="N44">
            <v>42</v>
          </cell>
          <cell r="O44">
            <v>0.35</v>
          </cell>
          <cell r="P44">
            <v>0.1</v>
          </cell>
          <cell r="Q44">
            <v>14.47</v>
          </cell>
          <cell r="R44">
            <v>25.4</v>
          </cell>
          <cell r="S44">
            <v>4</v>
          </cell>
          <cell r="T44">
            <v>1.5</v>
          </cell>
          <cell r="U44">
            <v>4</v>
          </cell>
          <cell r="V44">
            <v>4.59</v>
          </cell>
          <cell r="W44">
            <v>0.12</v>
          </cell>
          <cell r="X44">
            <v>1.19</v>
          </cell>
          <cell r="Y44">
            <v>0.35</v>
          </cell>
          <cell r="Z44">
            <v>0.1</v>
          </cell>
          <cell r="AA44">
            <v>14.47</v>
          </cell>
          <cell r="AB44">
            <v>0</v>
          </cell>
          <cell r="AC44">
            <v>0</v>
          </cell>
          <cell r="AD44">
            <v>0</v>
          </cell>
          <cell r="AE44">
            <v>4.1807733610958546E-6</v>
          </cell>
          <cell r="AF44">
            <v>7.6652999999999993</v>
          </cell>
          <cell r="AG44">
            <v>0</v>
          </cell>
          <cell r="AH44">
            <v>0</v>
          </cell>
          <cell r="AI44">
            <v>0</v>
          </cell>
          <cell r="AJ44">
            <v>0</v>
          </cell>
          <cell r="AK44">
            <v>0</v>
          </cell>
          <cell r="AL44">
            <v>0</v>
          </cell>
          <cell r="AM44">
            <v>0</v>
          </cell>
          <cell r="AN44">
            <v>0</v>
          </cell>
          <cell r="AO44">
            <v>0</v>
          </cell>
          <cell r="AP44">
            <v>0</v>
          </cell>
          <cell r="AQ44">
            <v>0</v>
          </cell>
          <cell r="AR44">
            <v>0</v>
          </cell>
          <cell r="AS44">
            <v>0</v>
          </cell>
          <cell r="AT44">
            <v>25.4</v>
          </cell>
          <cell r="AU44">
            <v>18.36</v>
          </cell>
          <cell r="AV44">
            <v>0.18</v>
          </cell>
          <cell r="AW44">
            <v>4.76</v>
          </cell>
          <cell r="AX44">
            <v>0.52499999999999991</v>
          </cell>
          <cell r="AY44">
            <v>0.4</v>
          </cell>
          <cell r="AZ44">
            <v>57.88</v>
          </cell>
          <cell r="BA44">
            <v>0</v>
          </cell>
          <cell r="BB44">
            <v>0</v>
          </cell>
          <cell r="BC44">
            <v>0</v>
          </cell>
          <cell r="BD44">
            <v>0</v>
          </cell>
          <cell r="BE44">
            <v>0</v>
          </cell>
          <cell r="BF44">
            <v>0</v>
          </cell>
          <cell r="BG44">
            <v>4.1807733610958546E-6</v>
          </cell>
          <cell r="BH44">
            <v>7.6652999999999993</v>
          </cell>
        </row>
        <row r="45">
          <cell r="A45" t="str">
            <v>US</v>
          </cell>
          <cell r="B45" t="str">
            <v>US</v>
          </cell>
          <cell r="C45" t="str">
            <v>E</v>
          </cell>
          <cell r="D45" t="str">
            <v>E</v>
          </cell>
          <cell r="E45">
            <v>2775919</v>
          </cell>
          <cell r="F45">
            <v>207082</v>
          </cell>
          <cell r="G45">
            <v>1143584</v>
          </cell>
          <cell r="H45">
            <v>131133</v>
          </cell>
          <cell r="I45">
            <v>1143584</v>
          </cell>
          <cell r="J45">
            <v>59848</v>
          </cell>
          <cell r="K45">
            <v>54540.25</v>
          </cell>
          <cell r="L45">
            <v>3.56</v>
          </cell>
          <cell r="M45">
            <v>0.84</v>
          </cell>
          <cell r="N45">
            <v>131133</v>
          </cell>
          <cell r="O45">
            <v>0.65</v>
          </cell>
          <cell r="P45">
            <v>0.09</v>
          </cell>
          <cell r="Q45">
            <v>10.28</v>
          </cell>
          <cell r="R45">
            <v>1632335</v>
          </cell>
          <cell r="S45">
            <v>57773</v>
          </cell>
          <cell r="T45">
            <v>59848</v>
          </cell>
          <cell r="U45">
            <v>54540.25</v>
          </cell>
          <cell r="V45">
            <v>3.56</v>
          </cell>
          <cell r="W45">
            <v>0.84</v>
          </cell>
          <cell r="X45">
            <v>3.82</v>
          </cell>
          <cell r="Y45">
            <v>0.65</v>
          </cell>
          <cell r="Z45">
            <v>0.09</v>
          </cell>
          <cell r="AA45">
            <v>10.28</v>
          </cell>
          <cell r="AB45">
            <v>1632335</v>
          </cell>
          <cell r="AC45">
            <v>194163.29</v>
          </cell>
          <cell r="AD45">
            <v>50272.32</v>
          </cell>
          <cell r="AE45">
            <v>220692.86</v>
          </cell>
          <cell r="AF45">
            <v>38901.200000000004</v>
          </cell>
          <cell r="AG45">
            <v>75949</v>
          </cell>
          <cell r="AH45">
            <v>593906.43999999994</v>
          </cell>
          <cell r="AI45">
            <v>683525.16</v>
          </cell>
          <cell r="AJ45">
            <v>94763.680000000008</v>
          </cell>
          <cell r="AK45">
            <v>225902.52</v>
          </cell>
          <cell r="AL45">
            <v>19764</v>
          </cell>
          <cell r="AM45">
            <v>25751</v>
          </cell>
          <cell r="AN45">
            <v>189868.1</v>
          </cell>
          <cell r="AO45">
            <v>3.6</v>
          </cell>
          <cell r="AP45">
            <v>3.68</v>
          </cell>
          <cell r="AQ45">
            <v>11.43</v>
          </cell>
          <cell r="AR45">
            <v>1.49</v>
          </cell>
          <cell r="AS45">
            <v>0.09</v>
          </cell>
          <cell r="AT45">
            <v>22.94</v>
          </cell>
          <cell r="AU45">
            <v>194163.29</v>
          </cell>
          <cell r="AV45">
            <v>50272.32</v>
          </cell>
          <cell r="AW45">
            <v>220692.86</v>
          </cell>
          <cell r="AX45">
            <v>38901.200000000004</v>
          </cell>
          <cell r="AY45">
            <v>4908.6224999999995</v>
          </cell>
          <cell r="AZ45">
            <v>593906.43999999994</v>
          </cell>
          <cell r="BA45">
            <v>683525.16</v>
          </cell>
          <cell r="BB45">
            <v>94763.680000000008</v>
          </cell>
          <cell r="BC45">
            <v>225902.52</v>
          </cell>
          <cell r="BD45">
            <v>38368.99</v>
          </cell>
          <cell r="BE45">
            <v>17088.129000000001</v>
          </cell>
          <cell r="BF45">
            <v>453386.16000000003</v>
          </cell>
          <cell r="BG45">
            <v>0.11377929615450827</v>
          </cell>
          <cell r="BH45">
            <v>6.0119999999999996</v>
          </cell>
        </row>
        <row r="46">
          <cell r="A46" t="str">
            <v>CA</v>
          </cell>
          <cell r="B46" t="str">
            <v>CA</v>
          </cell>
          <cell r="C46" t="str">
            <v>E</v>
          </cell>
          <cell r="D46" t="str">
            <v>E</v>
          </cell>
          <cell r="E46">
            <v>133586</v>
          </cell>
          <cell r="F46">
            <v>13301</v>
          </cell>
          <cell r="G46">
            <v>82808</v>
          </cell>
          <cell r="H46">
            <v>11181</v>
          </cell>
          <cell r="I46">
            <v>82808</v>
          </cell>
          <cell r="J46">
            <v>3870</v>
          </cell>
          <cell r="K46">
            <v>4315.5</v>
          </cell>
          <cell r="L46">
            <v>4.5999999999999996</v>
          </cell>
          <cell r="M46">
            <v>0.94</v>
          </cell>
          <cell r="N46">
            <v>11181</v>
          </cell>
          <cell r="O46">
            <v>0.17</v>
          </cell>
          <cell r="P46">
            <v>0.04</v>
          </cell>
          <cell r="Q46">
            <v>8.07</v>
          </cell>
          <cell r="R46">
            <v>50778</v>
          </cell>
          <cell r="S46">
            <v>3804</v>
          </cell>
          <cell r="T46">
            <v>3870</v>
          </cell>
          <cell r="U46">
            <v>4315.5</v>
          </cell>
          <cell r="V46">
            <v>4.5999999999999996</v>
          </cell>
          <cell r="W46">
            <v>0.94</v>
          </cell>
          <cell r="X46">
            <v>2.89</v>
          </cell>
          <cell r="Y46">
            <v>0.17</v>
          </cell>
          <cell r="Z46">
            <v>0.04</v>
          </cell>
          <cell r="AA46">
            <v>8.07</v>
          </cell>
          <cell r="AB46">
            <v>50778</v>
          </cell>
          <cell r="AC46">
            <v>19851.3</v>
          </cell>
          <cell r="AD46">
            <v>3637.7999999999997</v>
          </cell>
          <cell r="AE46">
            <v>10993.560000000001</v>
          </cell>
          <cell r="AF46">
            <v>657.90000000000009</v>
          </cell>
          <cell r="AG46">
            <v>2120</v>
          </cell>
          <cell r="AH46">
            <v>30698.280000000002</v>
          </cell>
          <cell r="AI46">
            <v>20304.285</v>
          </cell>
          <cell r="AJ46">
            <v>4611.8900000000003</v>
          </cell>
          <cell r="AK46">
            <v>4887.25</v>
          </cell>
          <cell r="AL46">
            <v>865</v>
          </cell>
          <cell r="AM46">
            <v>947</v>
          </cell>
          <cell r="AN46">
            <v>4433.25</v>
          </cell>
          <cell r="AO46">
            <v>4.58</v>
          </cell>
          <cell r="AP46">
            <v>4.87</v>
          </cell>
          <cell r="AQ46">
            <v>5.65</v>
          </cell>
          <cell r="AR46">
            <v>0.45</v>
          </cell>
          <cell r="AS46">
            <v>0.04</v>
          </cell>
          <cell r="AT46">
            <v>10.72</v>
          </cell>
          <cell r="AU46">
            <v>19851.3</v>
          </cell>
          <cell r="AV46">
            <v>3637.7999999999997</v>
          </cell>
          <cell r="AW46">
            <v>10993.560000000001</v>
          </cell>
          <cell r="AX46">
            <v>657.90000000000009</v>
          </cell>
          <cell r="AY46">
            <v>172.62</v>
          </cell>
          <cell r="AZ46">
            <v>30698.280000000002</v>
          </cell>
          <cell r="BA46">
            <v>20304.285</v>
          </cell>
          <cell r="BB46">
            <v>4611.8900000000003</v>
          </cell>
          <cell r="BC46">
            <v>4887.25</v>
          </cell>
          <cell r="BD46">
            <v>426.15000000000003</v>
          </cell>
          <cell r="BE46">
            <v>177.33</v>
          </cell>
          <cell r="BF46">
            <v>9272.8000000000011</v>
          </cell>
          <cell r="BG46">
            <v>5.4754195119152043E-3</v>
          </cell>
          <cell r="BH46">
            <v>7.6486000000000001</v>
          </cell>
        </row>
        <row r="47">
          <cell r="A47" t="str">
            <v>MX</v>
          </cell>
          <cell r="B47" t="str">
            <v>MX</v>
          </cell>
          <cell r="C47" t="str">
            <v>E</v>
          </cell>
          <cell r="D47" t="str">
            <v>E</v>
          </cell>
          <cell r="E47">
            <v>65087</v>
          </cell>
          <cell r="F47">
            <v>29434</v>
          </cell>
          <cell r="G47">
            <v>31094</v>
          </cell>
          <cell r="H47">
            <v>15905</v>
          </cell>
          <cell r="I47">
            <v>31094</v>
          </cell>
          <cell r="J47">
            <v>841</v>
          </cell>
          <cell r="K47">
            <v>366.5</v>
          </cell>
          <cell r="L47">
            <v>4.8499999999999996</v>
          </cell>
          <cell r="M47">
            <v>0.63</v>
          </cell>
          <cell r="N47">
            <v>15905</v>
          </cell>
          <cell r="O47">
            <v>0.26</v>
          </cell>
          <cell r="P47">
            <v>0.03</v>
          </cell>
          <cell r="Q47">
            <v>12.77</v>
          </cell>
          <cell r="R47">
            <v>33994</v>
          </cell>
          <cell r="S47">
            <v>836</v>
          </cell>
          <cell r="T47">
            <v>841</v>
          </cell>
          <cell r="U47">
            <v>366.5</v>
          </cell>
          <cell r="V47">
            <v>4.8499999999999996</v>
          </cell>
          <cell r="W47">
            <v>0.63</v>
          </cell>
          <cell r="X47">
            <v>2.95</v>
          </cell>
          <cell r="Y47">
            <v>0.26</v>
          </cell>
          <cell r="Z47">
            <v>0.03</v>
          </cell>
          <cell r="AA47">
            <v>12.77</v>
          </cell>
          <cell r="AB47">
            <v>33994</v>
          </cell>
          <cell r="AC47">
            <v>1777.5249999999999</v>
          </cell>
          <cell r="AD47">
            <v>529.83000000000004</v>
          </cell>
          <cell r="AE47">
            <v>2466.2000000000003</v>
          </cell>
          <cell r="AF47">
            <v>218.66</v>
          </cell>
          <cell r="AG47">
            <v>13530</v>
          </cell>
          <cell r="AH47">
            <v>10675.72</v>
          </cell>
          <cell r="AI47">
            <v>8688.7749999999996</v>
          </cell>
          <cell r="AJ47">
            <v>1157.8500000000001</v>
          </cell>
          <cell r="AK47">
            <v>1364.1599999999999</v>
          </cell>
          <cell r="AL47">
            <v>168</v>
          </cell>
          <cell r="AM47">
            <v>249</v>
          </cell>
          <cell r="AN47">
            <v>1791.5</v>
          </cell>
          <cell r="AO47">
            <v>4.8499999999999996</v>
          </cell>
          <cell r="AP47">
            <v>4.6500000000000004</v>
          </cell>
          <cell r="AQ47">
            <v>8.1199999999999992</v>
          </cell>
          <cell r="AR47">
            <v>1.48</v>
          </cell>
          <cell r="AS47">
            <v>0.08</v>
          </cell>
          <cell r="AT47">
            <v>69.290000000000006</v>
          </cell>
          <cell r="AU47">
            <v>1777.5249999999999</v>
          </cell>
          <cell r="AV47">
            <v>529.83000000000004</v>
          </cell>
          <cell r="AW47">
            <v>2466.2000000000003</v>
          </cell>
          <cell r="AX47">
            <v>218.66</v>
          </cell>
          <cell r="AY47">
            <v>10.994999999999999</v>
          </cell>
          <cell r="AZ47">
            <v>10675.72</v>
          </cell>
          <cell r="BA47">
            <v>8688.7749999999996</v>
          </cell>
          <cell r="BB47">
            <v>1157.8500000000001</v>
          </cell>
          <cell r="BC47">
            <v>1364.1599999999999</v>
          </cell>
          <cell r="BD47">
            <v>368.52</v>
          </cell>
          <cell r="BE47">
            <v>143.32</v>
          </cell>
          <cell r="BF47">
            <v>11640.720000000001</v>
          </cell>
          <cell r="BG47">
            <v>2.6677842720945677E-3</v>
          </cell>
          <cell r="BH47">
            <v>8.099499999999999</v>
          </cell>
        </row>
        <row r="48">
          <cell r="A48" t="str">
            <v>EA</v>
          </cell>
          <cell r="B48" t="str">
            <v>GB</v>
          </cell>
          <cell r="C48" t="str">
            <v>F</v>
          </cell>
          <cell r="D48" t="str">
            <v>F</v>
          </cell>
          <cell r="E48">
            <v>1168215</v>
          </cell>
          <cell r="F48">
            <v>234901</v>
          </cell>
          <cell r="G48">
            <v>612939</v>
          </cell>
          <cell r="H48">
            <v>152629</v>
          </cell>
          <cell r="I48">
            <v>612939</v>
          </cell>
          <cell r="J48">
            <v>29670</v>
          </cell>
          <cell r="K48">
            <v>30293.75</v>
          </cell>
          <cell r="L48">
            <v>2.52</v>
          </cell>
          <cell r="M48">
            <v>0.27</v>
          </cell>
          <cell r="N48">
            <v>152629</v>
          </cell>
          <cell r="O48">
            <v>1.1000000000000001</v>
          </cell>
          <cell r="P48">
            <v>0.18</v>
          </cell>
          <cell r="Q48">
            <v>25.8631203334322</v>
          </cell>
          <cell r="R48">
            <v>555276</v>
          </cell>
          <cell r="S48">
            <v>29123</v>
          </cell>
          <cell r="T48">
            <v>29670</v>
          </cell>
          <cell r="U48">
            <v>30293.75</v>
          </cell>
          <cell r="V48">
            <v>2.52</v>
          </cell>
          <cell r="W48">
            <v>0.27</v>
          </cell>
          <cell r="X48">
            <v>3.47</v>
          </cell>
          <cell r="Y48">
            <v>1.1000000000000001</v>
          </cell>
          <cell r="Z48">
            <v>0.18</v>
          </cell>
          <cell r="AA48">
            <v>25.8631203334322</v>
          </cell>
          <cell r="AB48">
            <v>555276</v>
          </cell>
          <cell r="AC48">
            <v>76340.25</v>
          </cell>
          <cell r="AD48">
            <v>8010.9000000000005</v>
          </cell>
          <cell r="AE48">
            <v>101056.81000000001</v>
          </cell>
          <cell r="AF48">
            <v>32637.000000000004</v>
          </cell>
          <cell r="AG48">
            <v>82272</v>
          </cell>
          <cell r="AH48">
            <v>753211.65347054589</v>
          </cell>
          <cell r="AI48">
            <v>161833.76999999999</v>
          </cell>
          <cell r="AJ48">
            <v>17772.48</v>
          </cell>
          <cell r="AK48">
            <v>76171.360000000001</v>
          </cell>
          <cell r="AL48">
            <v>8069</v>
          </cell>
          <cell r="AM48">
            <v>10098</v>
          </cell>
          <cell r="AN48">
            <v>64219.75</v>
          </cell>
          <cell r="AO48">
            <v>2.52</v>
          </cell>
          <cell r="AP48">
            <v>1.76</v>
          </cell>
          <cell r="AQ48">
            <v>9.44</v>
          </cell>
          <cell r="AR48">
            <v>1.33</v>
          </cell>
          <cell r="AS48">
            <v>0.19</v>
          </cell>
          <cell r="AT48">
            <v>30.392438663057799</v>
          </cell>
          <cell r="AU48">
            <v>76340.25</v>
          </cell>
          <cell r="AV48">
            <v>8010.9000000000005</v>
          </cell>
          <cell r="AW48">
            <v>101056.81000000001</v>
          </cell>
          <cell r="AX48">
            <v>32637.000000000004</v>
          </cell>
          <cell r="AY48">
            <v>5452.875</v>
          </cell>
          <cell r="AZ48">
            <v>753211.65347054589</v>
          </cell>
          <cell r="BA48">
            <v>161833.76999999999</v>
          </cell>
          <cell r="BB48">
            <v>17772.48</v>
          </cell>
          <cell r="BC48">
            <v>76171.360000000001</v>
          </cell>
          <cell r="BD48">
            <v>13430.34</v>
          </cell>
          <cell r="BE48">
            <v>12201.752500000001</v>
          </cell>
          <cell r="BF48">
            <v>245236.58757221338</v>
          </cell>
          <cell r="BG48">
            <v>4.7882766196397974E-2</v>
          </cell>
          <cell r="BH48">
            <v>4.2084000000000001</v>
          </cell>
        </row>
        <row r="49">
          <cell r="A49" t="str">
            <v>EA</v>
          </cell>
          <cell r="B49" t="str">
            <v>DE</v>
          </cell>
          <cell r="C49" t="str">
            <v>F</v>
          </cell>
          <cell r="D49" t="str">
            <v>F</v>
          </cell>
          <cell r="E49">
            <v>551266</v>
          </cell>
          <cell r="F49">
            <v>119125</v>
          </cell>
          <cell r="G49">
            <v>229463</v>
          </cell>
          <cell r="H49">
            <v>33915</v>
          </cell>
          <cell r="I49">
            <v>229463</v>
          </cell>
          <cell r="J49">
            <v>10969</v>
          </cell>
          <cell r="K49">
            <v>9052</v>
          </cell>
          <cell r="L49">
            <v>2.37</v>
          </cell>
          <cell r="M49">
            <v>0.24</v>
          </cell>
          <cell r="N49">
            <v>33915</v>
          </cell>
          <cell r="O49">
            <v>1.34</v>
          </cell>
          <cell r="P49">
            <v>7.0000000000000007E-2</v>
          </cell>
          <cell r="Q49">
            <v>20.3788593702151</v>
          </cell>
          <cell r="R49">
            <v>321803</v>
          </cell>
          <cell r="S49">
            <v>10878</v>
          </cell>
          <cell r="T49">
            <v>10969</v>
          </cell>
          <cell r="U49">
            <v>9052</v>
          </cell>
          <cell r="V49">
            <v>2.37</v>
          </cell>
          <cell r="W49">
            <v>0.24</v>
          </cell>
          <cell r="X49">
            <v>4.76</v>
          </cell>
          <cell r="Y49">
            <v>1.34</v>
          </cell>
          <cell r="Z49">
            <v>7.0000000000000007E-2</v>
          </cell>
          <cell r="AA49">
            <v>20.3788593702151</v>
          </cell>
          <cell r="AB49">
            <v>321803</v>
          </cell>
          <cell r="AC49">
            <v>21453.24</v>
          </cell>
          <cell r="AD49">
            <v>2632.56</v>
          </cell>
          <cell r="AE49">
            <v>51779.28</v>
          </cell>
          <cell r="AF49">
            <v>14698.460000000001</v>
          </cell>
          <cell r="AG49">
            <v>85210</v>
          </cell>
          <cell r="AH49">
            <v>221681.23222919984</v>
          </cell>
          <cell r="AI49">
            <v>80513.047500000001</v>
          </cell>
          <cell r="AJ49">
            <v>7518.2400000000007</v>
          </cell>
          <cell r="AK49">
            <v>34712.81</v>
          </cell>
          <cell r="AL49">
            <v>3553</v>
          </cell>
          <cell r="AM49">
            <v>4086</v>
          </cell>
          <cell r="AN49">
            <v>33971.75</v>
          </cell>
          <cell r="AO49">
            <v>2.37</v>
          </cell>
          <cell r="AP49">
            <v>1.84</v>
          </cell>
          <cell r="AQ49">
            <v>9.77</v>
          </cell>
          <cell r="AR49">
            <v>3.71</v>
          </cell>
          <cell r="AS49">
            <v>0.15</v>
          </cell>
          <cell r="AT49">
            <v>47.443157600585003</v>
          </cell>
          <cell r="AU49">
            <v>21453.24</v>
          </cell>
          <cell r="AV49">
            <v>2632.56</v>
          </cell>
          <cell r="AW49">
            <v>51779.28</v>
          </cell>
          <cell r="AX49">
            <v>14698.460000000001</v>
          </cell>
          <cell r="AY49">
            <v>633.6400000000001</v>
          </cell>
          <cell r="AZ49">
            <v>221681.23222919984</v>
          </cell>
          <cell r="BA49">
            <v>80513.047500000001</v>
          </cell>
          <cell r="BB49">
            <v>7518.2400000000007</v>
          </cell>
          <cell r="BC49">
            <v>34712.81</v>
          </cell>
          <cell r="BD49">
            <v>15159.06</v>
          </cell>
          <cell r="BE49">
            <v>5095.7624999999998</v>
          </cell>
          <cell r="BF49">
            <v>168565.53895487852</v>
          </cell>
          <cell r="BG49">
            <v>2.2595276545861444E-2</v>
          </cell>
          <cell r="BH49">
            <v>3.9579</v>
          </cell>
        </row>
        <row r="50">
          <cell r="A50" t="str">
            <v>EA</v>
          </cell>
          <cell r="B50" t="str">
            <v>FR</v>
          </cell>
          <cell r="C50" t="str">
            <v>F</v>
          </cell>
          <cell r="D50" t="str">
            <v>F</v>
          </cell>
          <cell r="E50">
            <v>406367</v>
          </cell>
          <cell r="F50">
            <v>52030</v>
          </cell>
          <cell r="G50">
            <v>190376</v>
          </cell>
          <cell r="H50">
            <v>30333</v>
          </cell>
          <cell r="I50">
            <v>190376</v>
          </cell>
          <cell r="J50">
            <v>9459</v>
          </cell>
          <cell r="K50">
            <v>7844</v>
          </cell>
          <cell r="L50">
            <v>2.82</v>
          </cell>
          <cell r="M50">
            <v>0.41</v>
          </cell>
          <cell r="N50">
            <v>30333</v>
          </cell>
          <cell r="O50">
            <v>1.17</v>
          </cell>
          <cell r="P50">
            <v>0.13</v>
          </cell>
          <cell r="Q50">
            <v>22.963008355512201</v>
          </cell>
          <cell r="R50">
            <v>215990</v>
          </cell>
          <cell r="S50">
            <v>9346</v>
          </cell>
          <cell r="T50">
            <v>9459</v>
          </cell>
          <cell r="U50">
            <v>7844</v>
          </cell>
          <cell r="V50">
            <v>2.82</v>
          </cell>
          <cell r="W50">
            <v>0.41</v>
          </cell>
          <cell r="X50">
            <v>5.18</v>
          </cell>
          <cell r="Y50">
            <v>1.17</v>
          </cell>
          <cell r="Z50">
            <v>0.13</v>
          </cell>
          <cell r="AA50">
            <v>22.963008355512201</v>
          </cell>
          <cell r="AB50">
            <v>215990</v>
          </cell>
          <cell r="AC50">
            <v>22120.079999999998</v>
          </cell>
          <cell r="AD50">
            <v>3878.1899999999996</v>
          </cell>
          <cell r="AE50">
            <v>48412.28</v>
          </cell>
          <cell r="AF50">
            <v>11067.029999999999</v>
          </cell>
          <cell r="AG50">
            <v>21697</v>
          </cell>
          <cell r="AH50">
            <v>214612.27609061703</v>
          </cell>
          <cell r="AI50">
            <v>76918.292499999996</v>
          </cell>
          <cell r="AJ50">
            <v>9676.8000000000011</v>
          </cell>
          <cell r="AK50">
            <v>24584.7</v>
          </cell>
          <cell r="AL50">
            <v>2415</v>
          </cell>
          <cell r="AM50">
            <v>3024</v>
          </cell>
          <cell r="AN50">
            <v>25554.25</v>
          </cell>
          <cell r="AO50">
            <v>3.01</v>
          </cell>
          <cell r="AP50">
            <v>3.2</v>
          </cell>
          <cell r="AQ50">
            <v>10.18</v>
          </cell>
          <cell r="AR50">
            <v>2.69</v>
          </cell>
          <cell r="AS50">
            <v>0.12</v>
          </cell>
          <cell r="AT50">
            <v>25.26</v>
          </cell>
          <cell r="AU50">
            <v>22120.079999999998</v>
          </cell>
          <cell r="AV50">
            <v>3878.1899999999996</v>
          </cell>
          <cell r="AW50">
            <v>48412.28</v>
          </cell>
          <cell r="AX50">
            <v>11067.029999999999</v>
          </cell>
          <cell r="AY50">
            <v>1019.72</v>
          </cell>
          <cell r="AZ50">
            <v>214612.27609061703</v>
          </cell>
          <cell r="BA50">
            <v>76918.292499999996</v>
          </cell>
          <cell r="BB50">
            <v>9676.8000000000011</v>
          </cell>
          <cell r="BC50">
            <v>24584.7</v>
          </cell>
          <cell r="BD50">
            <v>8134.5599999999995</v>
          </cell>
          <cell r="BE50">
            <v>3066.5099999999998</v>
          </cell>
          <cell r="BF50">
            <v>61002.9</v>
          </cell>
          <cell r="BG50">
            <v>1.6656160082631755E-2</v>
          </cell>
          <cell r="BH50">
            <v>5.0266999999999991</v>
          </cell>
        </row>
        <row r="51">
          <cell r="A51" t="str">
            <v>EB</v>
          </cell>
          <cell r="B51" t="str">
            <v>NL</v>
          </cell>
          <cell r="C51" t="str">
            <v>F</v>
          </cell>
          <cell r="D51" t="str">
            <v>F</v>
          </cell>
          <cell r="E51">
            <v>293625</v>
          </cell>
          <cell r="F51">
            <v>51839</v>
          </cell>
          <cell r="G51">
            <v>142837</v>
          </cell>
          <cell r="H51">
            <v>32131</v>
          </cell>
          <cell r="I51">
            <v>142837</v>
          </cell>
          <cell r="J51">
            <v>7252</v>
          </cell>
          <cell r="K51">
            <v>5014.25</v>
          </cell>
          <cell r="L51">
            <v>2.5099999999999998</v>
          </cell>
          <cell r="M51">
            <v>0.22</v>
          </cell>
          <cell r="N51">
            <v>32131</v>
          </cell>
          <cell r="O51">
            <v>0.64</v>
          </cell>
          <cell r="P51">
            <v>0.15</v>
          </cell>
          <cell r="Q51">
            <v>35.869090709581698</v>
          </cell>
          <cell r="R51">
            <v>150788</v>
          </cell>
          <cell r="S51">
            <v>7199</v>
          </cell>
          <cell r="T51">
            <v>7252</v>
          </cell>
          <cell r="U51">
            <v>5014.25</v>
          </cell>
          <cell r="V51">
            <v>2.5099999999999998</v>
          </cell>
          <cell r="W51">
            <v>0.22</v>
          </cell>
          <cell r="X51">
            <v>3.82</v>
          </cell>
          <cell r="Y51">
            <v>0.64</v>
          </cell>
          <cell r="Z51">
            <v>0.15</v>
          </cell>
          <cell r="AA51">
            <v>35.869090709581698</v>
          </cell>
          <cell r="AB51">
            <v>150788</v>
          </cell>
          <cell r="AC51">
            <v>12585.767499999998</v>
          </cell>
          <cell r="AD51">
            <v>1595.44</v>
          </cell>
          <cell r="AE51">
            <v>27500.18</v>
          </cell>
          <cell r="AF51">
            <v>4641.28</v>
          </cell>
          <cell r="AG51">
            <v>19708</v>
          </cell>
          <cell r="AH51">
            <v>258221.58401827863</v>
          </cell>
          <cell r="AI51">
            <v>42195.625</v>
          </cell>
          <cell r="AJ51">
            <v>4987.71</v>
          </cell>
          <cell r="AK51">
            <v>22535.91</v>
          </cell>
          <cell r="AL51">
            <v>2169</v>
          </cell>
          <cell r="AM51">
            <v>2639</v>
          </cell>
          <cell r="AN51">
            <v>16878.25</v>
          </cell>
          <cell r="AO51">
            <v>2.5</v>
          </cell>
          <cell r="AP51">
            <v>1.89</v>
          </cell>
          <cell r="AQ51">
            <v>10.39</v>
          </cell>
          <cell r="AR51">
            <v>1.59</v>
          </cell>
          <cell r="AS51">
            <v>0.18</v>
          </cell>
          <cell r="AT51">
            <v>25.773660397899398</v>
          </cell>
          <cell r="AU51">
            <v>12585.767499999998</v>
          </cell>
          <cell r="AV51">
            <v>1595.44</v>
          </cell>
          <cell r="AW51">
            <v>27500.18</v>
          </cell>
          <cell r="AX51">
            <v>4641.28</v>
          </cell>
          <cell r="AY51">
            <v>752.13749999999993</v>
          </cell>
          <cell r="AZ51">
            <v>258221.58401827863</v>
          </cell>
          <cell r="BA51">
            <v>42195.625</v>
          </cell>
          <cell r="BB51">
            <v>4987.71</v>
          </cell>
          <cell r="BC51">
            <v>22535.91</v>
          </cell>
          <cell r="BD51">
            <v>4196.01</v>
          </cell>
          <cell r="BE51">
            <v>3038.085</v>
          </cell>
          <cell r="BF51">
            <v>55903.069403043795</v>
          </cell>
          <cell r="BG51">
            <v>1.2035093903448727E-2</v>
          </cell>
          <cell r="BH51">
            <v>4.1749999999999998</v>
          </cell>
        </row>
        <row r="52">
          <cell r="A52" t="str">
            <v>EB</v>
          </cell>
          <cell r="B52" t="str">
            <v>BE</v>
          </cell>
          <cell r="C52" t="str">
            <v>F</v>
          </cell>
          <cell r="D52" t="str">
            <v>F</v>
          </cell>
          <cell r="E52">
            <v>167351</v>
          </cell>
          <cell r="F52">
            <v>26275</v>
          </cell>
          <cell r="G52">
            <v>66486</v>
          </cell>
          <cell r="H52">
            <v>15662</v>
          </cell>
          <cell r="I52">
            <v>66486</v>
          </cell>
          <cell r="J52">
            <v>3477</v>
          </cell>
          <cell r="K52">
            <v>2387.25</v>
          </cell>
          <cell r="L52">
            <v>2.35</v>
          </cell>
          <cell r="M52">
            <v>0.22</v>
          </cell>
          <cell r="N52">
            <v>15662</v>
          </cell>
          <cell r="O52">
            <v>1.32</v>
          </cell>
          <cell r="P52">
            <v>0.09</v>
          </cell>
          <cell r="Q52">
            <v>29.9968883454276</v>
          </cell>
          <cell r="R52">
            <v>100865</v>
          </cell>
          <cell r="S52">
            <v>3453</v>
          </cell>
          <cell r="T52">
            <v>3477</v>
          </cell>
          <cell r="U52">
            <v>2387.25</v>
          </cell>
          <cell r="V52">
            <v>2.35</v>
          </cell>
          <cell r="W52">
            <v>0.22</v>
          </cell>
          <cell r="X52">
            <v>4.46</v>
          </cell>
          <cell r="Y52">
            <v>1.32</v>
          </cell>
          <cell r="Z52">
            <v>0.09</v>
          </cell>
          <cell r="AA52">
            <v>29.9968883454276</v>
          </cell>
          <cell r="AB52">
            <v>100865</v>
          </cell>
          <cell r="AC52">
            <v>5610.0375000000004</v>
          </cell>
          <cell r="AD52">
            <v>764.94</v>
          </cell>
          <cell r="AE52">
            <v>15400.38</v>
          </cell>
          <cell r="AF52">
            <v>4589.6400000000003</v>
          </cell>
          <cell r="AG52">
            <v>10613</v>
          </cell>
          <cell r="AH52">
            <v>103579.2554567615</v>
          </cell>
          <cell r="AI52">
            <v>39482.235000000001</v>
          </cell>
          <cell r="AJ52">
            <v>3052.56</v>
          </cell>
          <cell r="AK52">
            <v>6603.24</v>
          </cell>
          <cell r="AL52">
            <v>1123</v>
          </cell>
          <cell r="AM52">
            <v>1659</v>
          </cell>
          <cell r="AN52">
            <v>16872.75</v>
          </cell>
          <cell r="AO52">
            <v>2.34</v>
          </cell>
          <cell r="AP52">
            <v>1.84</v>
          </cell>
          <cell r="AQ52">
            <v>5.88</v>
          </cell>
          <cell r="AR52">
            <v>3.29</v>
          </cell>
          <cell r="AS52">
            <v>0.16</v>
          </cell>
          <cell r="AT52">
            <v>26.87</v>
          </cell>
          <cell r="AU52">
            <v>5610.0375000000004</v>
          </cell>
          <cell r="AV52">
            <v>764.94</v>
          </cell>
          <cell r="AW52">
            <v>15400.38</v>
          </cell>
          <cell r="AX52">
            <v>4589.6400000000003</v>
          </cell>
          <cell r="AY52">
            <v>214.85249999999999</v>
          </cell>
          <cell r="AZ52">
            <v>103579.2554567615</v>
          </cell>
          <cell r="BA52">
            <v>39482.235000000001</v>
          </cell>
          <cell r="BB52">
            <v>3052.56</v>
          </cell>
          <cell r="BC52">
            <v>6603.24</v>
          </cell>
          <cell r="BD52">
            <v>5458.11</v>
          </cell>
          <cell r="BE52">
            <v>2699.64</v>
          </cell>
          <cell r="BF52">
            <v>30175.010000000002</v>
          </cell>
          <cell r="BG52">
            <v>6.8593784583603169E-3</v>
          </cell>
          <cell r="BH52">
            <v>3.9077999999999995</v>
          </cell>
        </row>
        <row r="53">
          <cell r="A53" t="str">
            <v>EA</v>
          </cell>
          <cell r="B53" t="str">
            <v>IT</v>
          </cell>
          <cell r="C53" t="str">
            <v>F</v>
          </cell>
          <cell r="D53" t="str">
            <v>F</v>
          </cell>
          <cell r="E53">
            <v>159017</v>
          </cell>
          <cell r="F53">
            <v>34384</v>
          </cell>
          <cell r="G53">
            <v>90005</v>
          </cell>
          <cell r="H53">
            <v>25135</v>
          </cell>
          <cell r="I53">
            <v>90005</v>
          </cell>
          <cell r="J53">
            <v>4480</v>
          </cell>
          <cell r="K53">
            <v>2286</v>
          </cell>
          <cell r="L53">
            <v>4.9400000000000004</v>
          </cell>
          <cell r="M53">
            <v>0.18</v>
          </cell>
          <cell r="N53">
            <v>25135</v>
          </cell>
          <cell r="O53">
            <v>0.68</v>
          </cell>
          <cell r="P53">
            <v>0.27</v>
          </cell>
          <cell r="Q53">
            <v>23.479333688824099</v>
          </cell>
          <cell r="R53">
            <v>69012</v>
          </cell>
          <cell r="S53">
            <v>4470</v>
          </cell>
          <cell r="T53">
            <v>4480</v>
          </cell>
          <cell r="U53">
            <v>2286</v>
          </cell>
          <cell r="V53">
            <v>4.9400000000000004</v>
          </cell>
          <cell r="W53">
            <v>0.18</v>
          </cell>
          <cell r="X53">
            <v>2.94</v>
          </cell>
          <cell r="Y53">
            <v>0.68</v>
          </cell>
          <cell r="Z53">
            <v>0.27</v>
          </cell>
          <cell r="AA53">
            <v>23.479333688824099</v>
          </cell>
          <cell r="AB53">
            <v>69012</v>
          </cell>
          <cell r="AC53">
            <v>11292.84</v>
          </cell>
          <cell r="AD53">
            <v>806.4</v>
          </cell>
          <cell r="AE53">
            <v>13141.8</v>
          </cell>
          <cell r="AF53">
            <v>3046.4</v>
          </cell>
          <cell r="AG53">
            <v>9249</v>
          </cell>
          <cell r="AH53">
            <v>104952.62158904372</v>
          </cell>
          <cell r="AI53">
            <v>25091.55</v>
          </cell>
          <cell r="AJ53">
            <v>1953.6</v>
          </cell>
          <cell r="AK53">
            <v>4950</v>
          </cell>
          <cell r="AL53">
            <v>990</v>
          </cell>
          <cell r="AM53">
            <v>1110</v>
          </cell>
          <cell r="AN53">
            <v>5069</v>
          </cell>
          <cell r="AO53">
            <v>4.95</v>
          </cell>
          <cell r="AP53">
            <v>1.76</v>
          </cell>
          <cell r="AQ53">
            <v>5</v>
          </cell>
          <cell r="AR53">
            <v>2.15</v>
          </cell>
          <cell r="AS53">
            <v>0.1</v>
          </cell>
          <cell r="AT53">
            <v>18.5711510933005</v>
          </cell>
          <cell r="AU53">
            <v>11292.84</v>
          </cell>
          <cell r="AV53">
            <v>806.4</v>
          </cell>
          <cell r="AW53">
            <v>13141.8</v>
          </cell>
          <cell r="AX53">
            <v>3046.4</v>
          </cell>
          <cell r="AY53">
            <v>617.22</v>
          </cell>
          <cell r="AZ53">
            <v>104952.62158904372</v>
          </cell>
          <cell r="BA53">
            <v>25091.55</v>
          </cell>
          <cell r="BB53">
            <v>1953.6</v>
          </cell>
          <cell r="BC53">
            <v>4950</v>
          </cell>
          <cell r="BD53">
            <v>2386.5</v>
          </cell>
          <cell r="BE53">
            <v>506.90000000000003</v>
          </cell>
          <cell r="BF53">
            <v>18385.439582367497</v>
          </cell>
          <cell r="BG53">
            <v>6.517784681974309E-3</v>
          </cell>
          <cell r="BH53">
            <v>8.2665000000000006</v>
          </cell>
        </row>
        <row r="54">
          <cell r="A54" t="str">
            <v>EB</v>
          </cell>
          <cell r="B54" t="str">
            <v>LU</v>
          </cell>
          <cell r="C54" t="str">
            <v>F</v>
          </cell>
          <cell r="D54" t="str">
            <v>F</v>
          </cell>
          <cell r="E54">
            <v>6003</v>
          </cell>
          <cell r="F54">
            <v>637</v>
          </cell>
          <cell r="G54">
            <v>4259</v>
          </cell>
          <cell r="H54">
            <v>783</v>
          </cell>
          <cell r="I54">
            <v>4259</v>
          </cell>
          <cell r="J54">
            <v>251</v>
          </cell>
          <cell r="K54">
            <v>144.25</v>
          </cell>
          <cell r="L54">
            <v>3.11</v>
          </cell>
          <cell r="M54">
            <v>0.71</v>
          </cell>
          <cell r="N54">
            <v>783</v>
          </cell>
          <cell r="O54">
            <v>0.81</v>
          </cell>
          <cell r="P54">
            <v>0.09</v>
          </cell>
          <cell r="Q54">
            <v>25.52</v>
          </cell>
          <cell r="R54">
            <v>1744</v>
          </cell>
          <cell r="S54">
            <v>251</v>
          </cell>
          <cell r="T54">
            <v>251</v>
          </cell>
          <cell r="U54">
            <v>144.25</v>
          </cell>
          <cell r="V54">
            <v>3.11</v>
          </cell>
          <cell r="W54">
            <v>0.71</v>
          </cell>
          <cell r="X54">
            <v>1.7</v>
          </cell>
          <cell r="Y54">
            <v>0.81</v>
          </cell>
          <cell r="Z54">
            <v>0.09</v>
          </cell>
          <cell r="AA54">
            <v>25.52</v>
          </cell>
          <cell r="AB54">
            <v>1744</v>
          </cell>
          <cell r="AC54">
            <v>448.61750000000001</v>
          </cell>
          <cell r="AD54">
            <v>178.20999999999998</v>
          </cell>
          <cell r="AE54">
            <v>426.7</v>
          </cell>
          <cell r="AF54">
            <v>203.31</v>
          </cell>
          <cell r="AG54">
            <v>-146</v>
          </cell>
          <cell r="AH54">
            <v>6405.5199999999995</v>
          </cell>
          <cell r="AI54">
            <v>269.79249999999996</v>
          </cell>
          <cell r="AJ54">
            <v>168.72000000000003</v>
          </cell>
          <cell r="AK54">
            <v>586.81999999999994</v>
          </cell>
          <cell r="AL54">
            <v>37</v>
          </cell>
          <cell r="AM54">
            <v>38</v>
          </cell>
          <cell r="AN54">
            <v>86.75</v>
          </cell>
          <cell r="AO54">
            <v>3.11</v>
          </cell>
          <cell r="AP54">
            <v>4.4400000000000004</v>
          </cell>
          <cell r="AQ54">
            <v>15.86</v>
          </cell>
          <cell r="AR54">
            <v>1.93</v>
          </cell>
          <cell r="AS54">
            <v>0.12</v>
          </cell>
          <cell r="AT54">
            <v>24.3</v>
          </cell>
          <cell r="AU54">
            <v>448.61750000000001</v>
          </cell>
          <cell r="AV54">
            <v>178.20999999999998</v>
          </cell>
          <cell r="AW54">
            <v>426.7</v>
          </cell>
          <cell r="AX54">
            <v>203.31</v>
          </cell>
          <cell r="AY54">
            <v>12.9825</v>
          </cell>
          <cell r="AZ54">
            <v>6405.5199999999995</v>
          </cell>
          <cell r="BA54">
            <v>269.79249999999996</v>
          </cell>
          <cell r="BB54">
            <v>168.72000000000003</v>
          </cell>
          <cell r="BC54">
            <v>586.81999999999994</v>
          </cell>
          <cell r="BD54">
            <v>73.34</v>
          </cell>
          <cell r="BE54">
            <v>10.41</v>
          </cell>
          <cell r="BF54">
            <v>899.1</v>
          </cell>
          <cell r="BG54">
            <v>2.4605080869272958E-4</v>
          </cell>
          <cell r="BH54">
            <v>5.1936999999999998</v>
          </cell>
        </row>
        <row r="55">
          <cell r="A55" t="str">
            <v>ME</v>
          </cell>
          <cell r="B55" t="str">
            <v>AE</v>
          </cell>
          <cell r="C55" t="str">
            <v>G</v>
          </cell>
          <cell r="D55" t="str">
            <v>G</v>
          </cell>
          <cell r="E55">
            <v>376241</v>
          </cell>
          <cell r="F55">
            <v>245602</v>
          </cell>
          <cell r="G55">
            <v>215814</v>
          </cell>
          <cell r="H55">
            <v>139673</v>
          </cell>
          <cell r="I55">
            <v>215814</v>
          </cell>
          <cell r="J55">
            <v>6202</v>
          </cell>
          <cell r="K55">
            <v>5725.25</v>
          </cell>
          <cell r="L55">
            <v>2.0099999999999998</v>
          </cell>
          <cell r="M55">
            <v>0.25</v>
          </cell>
          <cell r="N55">
            <v>139673</v>
          </cell>
          <cell r="O55">
            <v>0.24</v>
          </cell>
          <cell r="P55">
            <v>0.02</v>
          </cell>
          <cell r="Q55">
            <v>19.68</v>
          </cell>
          <cell r="R55">
            <v>160427</v>
          </cell>
          <cell r="S55">
            <v>6121</v>
          </cell>
          <cell r="T55">
            <v>6202</v>
          </cell>
          <cell r="U55">
            <v>5725.25</v>
          </cell>
          <cell r="V55">
            <v>2.0099999999999998</v>
          </cell>
          <cell r="W55">
            <v>0.25</v>
          </cell>
          <cell r="X55">
            <v>1.7</v>
          </cell>
          <cell r="Y55">
            <v>0.24</v>
          </cell>
          <cell r="Z55">
            <v>0.02</v>
          </cell>
          <cell r="AA55">
            <v>19.68</v>
          </cell>
          <cell r="AB55">
            <v>160427</v>
          </cell>
          <cell r="AC55">
            <v>11507.752499999999</v>
          </cell>
          <cell r="AD55">
            <v>1550.5</v>
          </cell>
          <cell r="AE55">
            <v>10405.699999999999</v>
          </cell>
          <cell r="AF55">
            <v>1488.48</v>
          </cell>
          <cell r="AG55">
            <v>105930</v>
          </cell>
          <cell r="AH55">
            <v>120461.28</v>
          </cell>
          <cell r="AI55">
            <v>18674.407499999998</v>
          </cell>
          <cell r="AJ55">
            <v>2695.42</v>
          </cell>
          <cell r="AK55">
            <v>2362.4500000000003</v>
          </cell>
          <cell r="AL55">
            <v>1277</v>
          </cell>
          <cell r="AM55">
            <v>1481</v>
          </cell>
          <cell r="AN55">
            <v>9290.75</v>
          </cell>
          <cell r="AO55">
            <v>2.0099999999999998</v>
          </cell>
          <cell r="AP55">
            <v>1.82</v>
          </cell>
          <cell r="AQ55">
            <v>1.85</v>
          </cell>
          <cell r="AR55">
            <v>0.31</v>
          </cell>
          <cell r="AS55">
            <v>0.03</v>
          </cell>
          <cell r="AT55">
            <v>15.14</v>
          </cell>
          <cell r="AU55">
            <v>11507.752499999999</v>
          </cell>
          <cell r="AV55">
            <v>1550.5</v>
          </cell>
          <cell r="AW55">
            <v>10405.699999999999</v>
          </cell>
          <cell r="AX55">
            <v>1488.48</v>
          </cell>
          <cell r="AY55">
            <v>114.505</v>
          </cell>
          <cell r="AZ55">
            <v>120461.28</v>
          </cell>
          <cell r="BA55">
            <v>18674.407499999998</v>
          </cell>
          <cell r="BB55">
            <v>2695.42</v>
          </cell>
          <cell r="BC55">
            <v>2362.4500000000003</v>
          </cell>
          <cell r="BD55">
            <v>459.11</v>
          </cell>
          <cell r="BE55">
            <v>278.72249999999997</v>
          </cell>
          <cell r="BF55">
            <v>19333.780000000002</v>
          </cell>
          <cell r="BG55">
            <v>1.5421356374039857E-2</v>
          </cell>
          <cell r="BH55">
            <v>3.3566999999999996</v>
          </cell>
        </row>
        <row r="56">
          <cell r="A56" t="str">
            <v>EB</v>
          </cell>
          <cell r="B56" t="str">
            <v>IE</v>
          </cell>
          <cell r="C56" t="str">
            <v>G</v>
          </cell>
          <cell r="D56" t="str">
            <v>G</v>
          </cell>
          <cell r="E56">
            <v>271823</v>
          </cell>
          <cell r="F56">
            <v>151714</v>
          </cell>
          <cell r="G56">
            <v>23475</v>
          </cell>
          <cell r="H56">
            <v>9194</v>
          </cell>
          <cell r="I56">
            <v>23475</v>
          </cell>
          <cell r="J56">
            <v>803</v>
          </cell>
          <cell r="K56">
            <v>526</v>
          </cell>
          <cell r="L56">
            <v>3.16</v>
          </cell>
          <cell r="M56">
            <v>0.73</v>
          </cell>
          <cell r="N56">
            <v>9194</v>
          </cell>
          <cell r="O56">
            <v>0.99</v>
          </cell>
          <cell r="P56">
            <v>0.09</v>
          </cell>
          <cell r="Q56">
            <v>18.223682872104401</v>
          </cell>
          <cell r="R56">
            <v>248347</v>
          </cell>
          <cell r="S56">
            <v>802</v>
          </cell>
          <cell r="T56">
            <v>803</v>
          </cell>
          <cell r="U56">
            <v>526</v>
          </cell>
          <cell r="V56">
            <v>3.16</v>
          </cell>
          <cell r="W56">
            <v>0.73</v>
          </cell>
          <cell r="X56">
            <v>6.01</v>
          </cell>
          <cell r="Y56">
            <v>0.99</v>
          </cell>
          <cell r="Z56">
            <v>0.09</v>
          </cell>
          <cell r="AA56">
            <v>18.223682872104401</v>
          </cell>
          <cell r="AB56">
            <v>248347</v>
          </cell>
          <cell r="AC56">
            <v>1662.16</v>
          </cell>
          <cell r="AD56">
            <v>586.18999999999994</v>
          </cell>
          <cell r="AE56">
            <v>4820.0199999999995</v>
          </cell>
          <cell r="AF56">
            <v>794.97</v>
          </cell>
          <cell r="AG56">
            <v>142520</v>
          </cell>
          <cell r="AH56">
            <v>14615.393663427731</v>
          </cell>
          <cell r="AI56">
            <v>78391.067999999999</v>
          </cell>
          <cell r="AJ56">
            <v>2172.48</v>
          </cell>
          <cell r="AK56">
            <v>2015</v>
          </cell>
          <cell r="AL56">
            <v>310</v>
          </cell>
          <cell r="AM56">
            <v>438</v>
          </cell>
          <cell r="AN56">
            <v>24807.3</v>
          </cell>
          <cell r="AO56">
            <v>3.16</v>
          </cell>
          <cell r="AP56">
            <v>4.96</v>
          </cell>
          <cell r="AQ56">
            <v>6.5</v>
          </cell>
          <cell r="AR56">
            <v>1.68</v>
          </cell>
          <cell r="AS56">
            <v>0.02</v>
          </cell>
          <cell r="AT56">
            <v>9.17</v>
          </cell>
          <cell r="AU56">
            <v>1662.16</v>
          </cell>
          <cell r="AV56">
            <v>586.18999999999994</v>
          </cell>
          <cell r="AW56">
            <v>4820.0199999999995</v>
          </cell>
          <cell r="AX56">
            <v>794.97</v>
          </cell>
          <cell r="AY56">
            <v>47.339999999999996</v>
          </cell>
          <cell r="AZ56">
            <v>14615.393663427731</v>
          </cell>
          <cell r="BA56">
            <v>78391.067999999999</v>
          </cell>
          <cell r="BB56">
            <v>2172.48</v>
          </cell>
          <cell r="BC56">
            <v>2015</v>
          </cell>
          <cell r="BD56">
            <v>735.83999999999992</v>
          </cell>
          <cell r="BE56">
            <v>496.14600000000002</v>
          </cell>
          <cell r="BF56">
            <v>2842.7</v>
          </cell>
          <cell r="BG56">
            <v>1.1141474091501553E-2</v>
          </cell>
          <cell r="BH56">
            <v>5.2771999999999997</v>
          </cell>
        </row>
        <row r="57">
          <cell r="A57" t="str">
            <v>EH</v>
          </cell>
          <cell r="B57" t="str">
            <v>FI</v>
          </cell>
          <cell r="C57" t="str">
            <v>G</v>
          </cell>
          <cell r="D57" t="str">
            <v>G</v>
          </cell>
          <cell r="E57">
            <v>212126</v>
          </cell>
          <cell r="F57">
            <v>83309</v>
          </cell>
          <cell r="G57">
            <v>32136</v>
          </cell>
          <cell r="H57">
            <v>11714</v>
          </cell>
          <cell r="I57">
            <v>32136</v>
          </cell>
          <cell r="J57">
            <v>1199</v>
          </cell>
          <cell r="K57">
            <v>616.75</v>
          </cell>
          <cell r="L57">
            <v>3.04</v>
          </cell>
          <cell r="M57">
            <v>0.68</v>
          </cell>
          <cell r="N57">
            <v>11714</v>
          </cell>
          <cell r="O57">
            <v>0.53</v>
          </cell>
          <cell r="P57">
            <v>0.1</v>
          </cell>
          <cell r="Q57">
            <v>23.389648942713801</v>
          </cell>
          <cell r="R57">
            <v>179990</v>
          </cell>
          <cell r="S57">
            <v>1195</v>
          </cell>
          <cell r="T57">
            <v>1199</v>
          </cell>
          <cell r="U57">
            <v>616.75</v>
          </cell>
          <cell r="V57">
            <v>3.04</v>
          </cell>
          <cell r="W57">
            <v>0.68</v>
          </cell>
          <cell r="X57">
            <v>5.39</v>
          </cell>
          <cell r="Y57">
            <v>0.53</v>
          </cell>
          <cell r="Z57">
            <v>0.1</v>
          </cell>
          <cell r="AA57">
            <v>23.389648942713801</v>
          </cell>
          <cell r="AB57">
            <v>179990</v>
          </cell>
          <cell r="AC57">
            <v>1874.92</v>
          </cell>
          <cell r="AD57">
            <v>815.32</v>
          </cell>
          <cell r="AE57">
            <v>6441.0499999999993</v>
          </cell>
          <cell r="AF57">
            <v>635.47</v>
          </cell>
          <cell r="AG57">
            <v>71595</v>
          </cell>
          <cell r="AH57">
            <v>27950.630486542992</v>
          </cell>
          <cell r="AI57">
            <v>60706.281499999997</v>
          </cell>
          <cell r="AJ57">
            <v>4529.5200000000004</v>
          </cell>
          <cell r="AK57">
            <v>7605.36</v>
          </cell>
          <cell r="AL57">
            <v>503</v>
          </cell>
          <cell r="AM57">
            <v>648</v>
          </cell>
          <cell r="AN57">
            <v>17394.349999999999</v>
          </cell>
          <cell r="AO57">
            <v>3.49</v>
          </cell>
          <cell r="AP57">
            <v>6.99</v>
          </cell>
          <cell r="AQ57">
            <v>15.12</v>
          </cell>
          <cell r="AR57">
            <v>2.37</v>
          </cell>
          <cell r="AS57">
            <v>0.08</v>
          </cell>
          <cell r="AT57">
            <v>48.559287361799598</v>
          </cell>
          <cell r="AU57">
            <v>1874.92</v>
          </cell>
          <cell r="AV57">
            <v>815.32</v>
          </cell>
          <cell r="AW57">
            <v>6441.0499999999993</v>
          </cell>
          <cell r="AX57">
            <v>635.47</v>
          </cell>
          <cell r="AY57">
            <v>61.675000000000004</v>
          </cell>
          <cell r="AZ57">
            <v>27950.630486542992</v>
          </cell>
          <cell r="BA57">
            <v>60706.281499999997</v>
          </cell>
          <cell r="BB57">
            <v>4529.5200000000004</v>
          </cell>
          <cell r="BC57">
            <v>7605.36</v>
          </cell>
          <cell r="BD57">
            <v>1535.76</v>
          </cell>
          <cell r="BE57">
            <v>1391.548</v>
          </cell>
          <cell r="BF57">
            <v>24425.321542985199</v>
          </cell>
          <cell r="BG57">
            <v>8.6946149999590112E-3</v>
          </cell>
          <cell r="BH57">
            <v>5.8283000000000005</v>
          </cell>
        </row>
        <row r="58">
          <cell r="A58" t="str">
            <v>EC</v>
          </cell>
          <cell r="B58" t="str">
            <v>ZA</v>
          </cell>
          <cell r="C58" t="str">
            <v>G</v>
          </cell>
          <cell r="D58" t="str">
            <v>G</v>
          </cell>
          <cell r="E58">
            <v>184395</v>
          </cell>
          <cell r="F58">
            <v>100797</v>
          </cell>
          <cell r="G58">
            <v>101319</v>
          </cell>
          <cell r="H58">
            <v>56967</v>
          </cell>
          <cell r="I58">
            <v>101319</v>
          </cell>
          <cell r="J58">
            <v>3573</v>
          </cell>
          <cell r="K58">
            <v>2025.25</v>
          </cell>
          <cell r="L58">
            <v>3.56</v>
          </cell>
          <cell r="M58">
            <v>0.19</v>
          </cell>
          <cell r="N58">
            <v>56967</v>
          </cell>
          <cell r="O58">
            <v>0.17</v>
          </cell>
          <cell r="P58">
            <v>0.42</v>
          </cell>
          <cell r="Q58">
            <v>21.992577891751299</v>
          </cell>
          <cell r="R58">
            <v>83076</v>
          </cell>
          <cell r="S58">
            <v>3549</v>
          </cell>
          <cell r="T58">
            <v>3573</v>
          </cell>
          <cell r="U58">
            <v>2025.25</v>
          </cell>
          <cell r="V58">
            <v>3.56</v>
          </cell>
          <cell r="W58">
            <v>0.19</v>
          </cell>
          <cell r="X58">
            <v>1.62</v>
          </cell>
          <cell r="Y58">
            <v>0.17</v>
          </cell>
          <cell r="Z58">
            <v>0.42</v>
          </cell>
          <cell r="AA58">
            <v>21.992577891751299</v>
          </cell>
          <cell r="AB58">
            <v>83076</v>
          </cell>
          <cell r="AC58">
            <v>7209.89</v>
          </cell>
          <cell r="AD58">
            <v>678.87</v>
          </cell>
          <cell r="AE58">
            <v>5749.38</v>
          </cell>
          <cell r="AF58">
            <v>607.41000000000008</v>
          </cell>
          <cell r="AG58">
            <v>43830</v>
          </cell>
          <cell r="AH58">
            <v>78051.658937825356</v>
          </cell>
          <cell r="AI58">
            <v>15941.68</v>
          </cell>
          <cell r="AJ58">
            <v>1600.08</v>
          </cell>
          <cell r="AK58">
            <v>2159.6800000000003</v>
          </cell>
          <cell r="AL58">
            <v>794</v>
          </cell>
          <cell r="AM58">
            <v>904</v>
          </cell>
          <cell r="AN58">
            <v>4478</v>
          </cell>
          <cell r="AO58">
            <v>3.56</v>
          </cell>
          <cell r="AP58">
            <v>1.77</v>
          </cell>
          <cell r="AQ58">
            <v>2.72</v>
          </cell>
          <cell r="AR58">
            <v>0.59</v>
          </cell>
          <cell r="AS58">
            <v>0.09</v>
          </cell>
          <cell r="AT58">
            <v>27.28</v>
          </cell>
          <cell r="AU58">
            <v>7209.89</v>
          </cell>
          <cell r="AV58">
            <v>678.87</v>
          </cell>
          <cell r="AW58">
            <v>5749.38</v>
          </cell>
          <cell r="AX58">
            <v>607.41000000000008</v>
          </cell>
          <cell r="AY58">
            <v>850.60500000000002</v>
          </cell>
          <cell r="AZ58">
            <v>78051.658937825356</v>
          </cell>
          <cell r="BA58">
            <v>15941.68</v>
          </cell>
          <cell r="BB58">
            <v>1600.08</v>
          </cell>
          <cell r="BC58">
            <v>2159.6800000000003</v>
          </cell>
          <cell r="BD58">
            <v>533.36</v>
          </cell>
          <cell r="BE58">
            <v>403.02</v>
          </cell>
          <cell r="BF58">
            <v>21660.32</v>
          </cell>
          <cell r="BG58">
            <v>7.5579774894046084E-3</v>
          </cell>
          <cell r="BH58">
            <v>5.9451999999999998</v>
          </cell>
        </row>
        <row r="59">
          <cell r="A59" t="str">
            <v>ME</v>
          </cell>
          <cell r="B59" t="str">
            <v>SA</v>
          </cell>
          <cell r="C59" t="str">
            <v>G</v>
          </cell>
          <cell r="D59" t="str">
            <v>G</v>
          </cell>
          <cell r="E59">
            <v>145952</v>
          </cell>
          <cell r="F59">
            <v>48335</v>
          </cell>
          <cell r="G59">
            <v>79959</v>
          </cell>
          <cell r="H59">
            <v>27382</v>
          </cell>
          <cell r="I59">
            <v>79959</v>
          </cell>
          <cell r="J59">
            <v>2547</v>
          </cell>
          <cell r="K59">
            <v>1397</v>
          </cell>
          <cell r="L59">
            <v>3.89</v>
          </cell>
          <cell r="M59">
            <v>0.84</v>
          </cell>
          <cell r="N59">
            <v>27382</v>
          </cell>
          <cell r="O59">
            <v>0.37</v>
          </cell>
          <cell r="P59">
            <v>0.09</v>
          </cell>
          <cell r="Q59">
            <v>12.23</v>
          </cell>
          <cell r="R59">
            <v>65993</v>
          </cell>
          <cell r="S59">
            <v>2538</v>
          </cell>
          <cell r="T59">
            <v>2547</v>
          </cell>
          <cell r="U59">
            <v>1397</v>
          </cell>
          <cell r="V59">
            <v>3.89</v>
          </cell>
          <cell r="W59">
            <v>0.84</v>
          </cell>
          <cell r="X59">
            <v>6.36</v>
          </cell>
          <cell r="Y59">
            <v>0.37</v>
          </cell>
          <cell r="Z59">
            <v>0.09</v>
          </cell>
          <cell r="AA59">
            <v>12.23</v>
          </cell>
          <cell r="AB59">
            <v>65993</v>
          </cell>
          <cell r="AC59">
            <v>5434.33</v>
          </cell>
          <cell r="AD59">
            <v>2139.48</v>
          </cell>
          <cell r="AE59">
            <v>16141.68</v>
          </cell>
          <cell r="AF59">
            <v>942.39</v>
          </cell>
          <cell r="AG59">
            <v>20953</v>
          </cell>
          <cell r="AH59">
            <v>31039.74</v>
          </cell>
          <cell r="AI59">
            <v>13053.6</v>
          </cell>
          <cell r="AJ59">
            <v>3714.88</v>
          </cell>
          <cell r="AK59">
            <v>9401.06</v>
          </cell>
          <cell r="AL59">
            <v>514</v>
          </cell>
          <cell r="AM59">
            <v>611</v>
          </cell>
          <cell r="AN59">
            <v>3626</v>
          </cell>
          <cell r="AO59">
            <v>3.6</v>
          </cell>
          <cell r="AP59">
            <v>6.08</v>
          </cell>
          <cell r="AQ59">
            <v>18.29</v>
          </cell>
          <cell r="AR59">
            <v>0.68</v>
          </cell>
          <cell r="AS59">
            <v>0.1</v>
          </cell>
          <cell r="AT59">
            <v>12.4831254454222</v>
          </cell>
          <cell r="AU59">
            <v>5434.33</v>
          </cell>
          <cell r="AV59">
            <v>2139.48</v>
          </cell>
          <cell r="AW59">
            <v>16141.68</v>
          </cell>
          <cell r="AX59">
            <v>942.39</v>
          </cell>
          <cell r="AY59">
            <v>125.72999999999999</v>
          </cell>
          <cell r="AZ59">
            <v>31039.74</v>
          </cell>
          <cell r="BA59">
            <v>13053.6</v>
          </cell>
          <cell r="BB59">
            <v>3714.88</v>
          </cell>
          <cell r="BC59">
            <v>9401.06</v>
          </cell>
          <cell r="BD59">
            <v>415.48</v>
          </cell>
          <cell r="BE59">
            <v>362.6</v>
          </cell>
          <cell r="BF59">
            <v>6416.3264789470104</v>
          </cell>
          <cell r="BG59">
            <v>5.9822767999868839E-3</v>
          </cell>
          <cell r="BH59">
            <v>6.0119999999999996</v>
          </cell>
        </row>
        <row r="60">
          <cell r="A60" t="str">
            <v>ED</v>
          </cell>
          <cell r="B60" t="str">
            <v>CH</v>
          </cell>
          <cell r="C60" t="str">
            <v>G</v>
          </cell>
          <cell r="D60" t="str">
            <v>G</v>
          </cell>
          <cell r="E60">
            <v>144600</v>
          </cell>
          <cell r="F60">
            <v>20141</v>
          </cell>
          <cell r="G60">
            <v>85758</v>
          </cell>
          <cell r="H60">
            <v>14000</v>
          </cell>
          <cell r="I60">
            <v>85758</v>
          </cell>
          <cell r="J60">
            <v>3920</v>
          </cell>
          <cell r="K60">
            <v>2141.5</v>
          </cell>
          <cell r="L60">
            <v>4.3499999999999996</v>
          </cell>
          <cell r="M60">
            <v>0.27</v>
          </cell>
          <cell r="N60">
            <v>14000</v>
          </cell>
          <cell r="O60">
            <v>0.93</v>
          </cell>
          <cell r="P60">
            <v>0.3</v>
          </cell>
          <cell r="Q60">
            <v>14.4410587643019</v>
          </cell>
          <cell r="R60">
            <v>58842</v>
          </cell>
          <cell r="S60">
            <v>3900</v>
          </cell>
          <cell r="T60">
            <v>3920</v>
          </cell>
          <cell r="U60">
            <v>2141.5</v>
          </cell>
          <cell r="V60">
            <v>4.3499999999999996</v>
          </cell>
          <cell r="W60">
            <v>0.27</v>
          </cell>
          <cell r="X60">
            <v>4.67</v>
          </cell>
          <cell r="Y60">
            <v>0.93</v>
          </cell>
          <cell r="Z60">
            <v>0.3</v>
          </cell>
          <cell r="AA60">
            <v>14.4410587643019</v>
          </cell>
          <cell r="AB60">
            <v>58842</v>
          </cell>
          <cell r="AC60">
            <v>9315.5249999999996</v>
          </cell>
          <cell r="AD60">
            <v>1058.4000000000001</v>
          </cell>
          <cell r="AE60">
            <v>18213</v>
          </cell>
          <cell r="AF60">
            <v>3645.6000000000004</v>
          </cell>
          <cell r="AG60">
            <v>6140</v>
          </cell>
          <cell r="AH60">
            <v>56320.129180777411</v>
          </cell>
          <cell r="AI60">
            <v>17019.989500000003</v>
          </cell>
          <cell r="AJ60">
            <v>2303.0700000000002</v>
          </cell>
          <cell r="AK60">
            <v>7016.3099999999995</v>
          </cell>
          <cell r="AL60">
            <v>903</v>
          </cell>
          <cell r="AM60">
            <v>997</v>
          </cell>
          <cell r="AN60">
            <v>4062.05</v>
          </cell>
          <cell r="AO60">
            <v>4.1900000000000004</v>
          </cell>
          <cell r="AP60">
            <v>2.31</v>
          </cell>
          <cell r="AQ60">
            <v>7.77</v>
          </cell>
          <cell r="AR60">
            <v>3.13</v>
          </cell>
          <cell r="AS60">
            <v>0.36</v>
          </cell>
          <cell r="AT60">
            <v>26.87</v>
          </cell>
          <cell r="AU60">
            <v>9315.5249999999996</v>
          </cell>
          <cell r="AV60">
            <v>1058.4000000000001</v>
          </cell>
          <cell r="AW60">
            <v>18213</v>
          </cell>
          <cell r="AX60">
            <v>3645.6000000000004</v>
          </cell>
          <cell r="AY60">
            <v>642.44999999999993</v>
          </cell>
          <cell r="AZ60">
            <v>56320.129180777411</v>
          </cell>
          <cell r="BA60">
            <v>17019.989500000003</v>
          </cell>
          <cell r="BB60">
            <v>2303.0700000000002</v>
          </cell>
          <cell r="BC60">
            <v>7016.3099999999995</v>
          </cell>
          <cell r="BD60">
            <v>3120.6099999999997</v>
          </cell>
          <cell r="BE60">
            <v>1462.338</v>
          </cell>
          <cell r="BF60">
            <v>24263.61</v>
          </cell>
          <cell r="BG60">
            <v>5.9268610589652999E-3</v>
          </cell>
          <cell r="BH60">
            <v>6.9973000000000001</v>
          </cell>
        </row>
        <row r="61">
          <cell r="A61" t="str">
            <v>EH</v>
          </cell>
          <cell r="B61" t="str">
            <v>NO</v>
          </cell>
          <cell r="C61" t="str">
            <v>G</v>
          </cell>
          <cell r="D61" t="str">
            <v>G</v>
          </cell>
          <cell r="E61">
            <v>113747</v>
          </cell>
          <cell r="F61">
            <v>45094</v>
          </cell>
          <cell r="G61">
            <v>59066</v>
          </cell>
          <cell r="H61">
            <v>21116</v>
          </cell>
          <cell r="I61">
            <v>59066</v>
          </cell>
          <cell r="J61">
            <v>1916</v>
          </cell>
          <cell r="K61">
            <v>1262.5</v>
          </cell>
          <cell r="L61">
            <v>2.89</v>
          </cell>
          <cell r="M61">
            <v>0.78</v>
          </cell>
          <cell r="N61">
            <v>21116</v>
          </cell>
          <cell r="O61">
            <v>0.69</v>
          </cell>
          <cell r="P61">
            <v>0.26</v>
          </cell>
          <cell r="Q61">
            <v>28.635381548952701</v>
          </cell>
          <cell r="R61">
            <v>54681</v>
          </cell>
          <cell r="S61">
            <v>1910</v>
          </cell>
          <cell r="T61">
            <v>1916</v>
          </cell>
          <cell r="U61">
            <v>1262.5</v>
          </cell>
          <cell r="V61">
            <v>2.89</v>
          </cell>
          <cell r="W61">
            <v>0.78</v>
          </cell>
          <cell r="X61">
            <v>4.17</v>
          </cell>
          <cell r="Y61">
            <v>0.69</v>
          </cell>
          <cell r="Z61">
            <v>0.26</v>
          </cell>
          <cell r="AA61">
            <v>28.635381548952701</v>
          </cell>
          <cell r="AB61">
            <v>54681</v>
          </cell>
          <cell r="AC61">
            <v>3648.625</v>
          </cell>
          <cell r="AD61">
            <v>1494.48</v>
          </cell>
          <cell r="AE61">
            <v>7964.7</v>
          </cell>
          <cell r="AF61">
            <v>1322.04</v>
          </cell>
          <cell r="AG61">
            <v>23978</v>
          </cell>
          <cell r="AH61">
            <v>54693.578758499658</v>
          </cell>
          <cell r="AI61">
            <v>10982.519</v>
          </cell>
          <cell r="AJ61">
            <v>2390.96</v>
          </cell>
          <cell r="AK61">
            <v>2316.8000000000002</v>
          </cell>
          <cell r="AL61">
            <v>362</v>
          </cell>
          <cell r="AM61">
            <v>494</v>
          </cell>
          <cell r="AN61">
            <v>3748.3</v>
          </cell>
          <cell r="AO61">
            <v>2.93</v>
          </cell>
          <cell r="AP61">
            <v>4.84</v>
          </cell>
          <cell r="AQ61">
            <v>6.4</v>
          </cell>
          <cell r="AR61">
            <v>2.1800000000000002</v>
          </cell>
          <cell r="AS61">
            <v>0.12</v>
          </cell>
          <cell r="AT61">
            <v>63.17</v>
          </cell>
          <cell r="AU61">
            <v>3648.625</v>
          </cell>
          <cell r="AV61">
            <v>1494.48</v>
          </cell>
          <cell r="AW61">
            <v>7964.7</v>
          </cell>
          <cell r="AX61">
            <v>1322.04</v>
          </cell>
          <cell r="AY61">
            <v>328.25</v>
          </cell>
          <cell r="AZ61">
            <v>54693.578758499658</v>
          </cell>
          <cell r="BA61">
            <v>10982.519</v>
          </cell>
          <cell r="BB61">
            <v>2390.96</v>
          </cell>
          <cell r="BC61">
            <v>2316.8000000000002</v>
          </cell>
          <cell r="BD61">
            <v>1076.92</v>
          </cell>
          <cell r="BE61">
            <v>449.79599999999999</v>
          </cell>
          <cell r="BF61">
            <v>22867.54</v>
          </cell>
          <cell r="BG61">
            <v>4.6622590931820604E-3</v>
          </cell>
          <cell r="BH61">
            <v>4.8931000000000004</v>
          </cell>
        </row>
        <row r="62">
          <cell r="A62" t="str">
            <v>EB</v>
          </cell>
          <cell r="B62" t="str">
            <v>ES</v>
          </cell>
          <cell r="C62" t="str">
            <v>G</v>
          </cell>
          <cell r="D62" t="str">
            <v>G</v>
          </cell>
          <cell r="E62">
            <v>101910</v>
          </cell>
          <cell r="F62">
            <v>32713</v>
          </cell>
          <cell r="G62">
            <v>47727</v>
          </cell>
          <cell r="H62">
            <v>17966</v>
          </cell>
          <cell r="I62">
            <v>47727</v>
          </cell>
          <cell r="J62">
            <v>1936</v>
          </cell>
          <cell r="K62">
            <v>973.25</v>
          </cell>
          <cell r="L62">
            <v>5.58</v>
          </cell>
          <cell r="M62">
            <v>0.65</v>
          </cell>
          <cell r="N62">
            <v>17966</v>
          </cell>
          <cell r="O62">
            <v>0.84</v>
          </cell>
          <cell r="P62">
            <v>0.16</v>
          </cell>
          <cell r="Q62">
            <v>35.2619719756335</v>
          </cell>
          <cell r="R62">
            <v>54183</v>
          </cell>
          <cell r="S62">
            <v>1933</v>
          </cell>
          <cell r="T62">
            <v>1936</v>
          </cell>
          <cell r="U62">
            <v>973.25</v>
          </cell>
          <cell r="V62">
            <v>5.58</v>
          </cell>
          <cell r="W62">
            <v>0.65</v>
          </cell>
          <cell r="X62">
            <v>2.79</v>
          </cell>
          <cell r="Y62">
            <v>0.84</v>
          </cell>
          <cell r="Z62">
            <v>0.16</v>
          </cell>
          <cell r="AA62">
            <v>35.2619719756335</v>
          </cell>
          <cell r="AB62">
            <v>54183</v>
          </cell>
          <cell r="AC62">
            <v>5430.7349999999997</v>
          </cell>
          <cell r="AD62">
            <v>1258.4000000000001</v>
          </cell>
          <cell r="AE62">
            <v>5393.07</v>
          </cell>
          <cell r="AF62">
            <v>1626.24</v>
          </cell>
          <cell r="AG62">
            <v>14747</v>
          </cell>
          <cell r="AH62">
            <v>68161.391828899563</v>
          </cell>
          <cell r="AI62">
            <v>18603.022499999999</v>
          </cell>
          <cell r="AJ62">
            <v>2689.0499999999997</v>
          </cell>
          <cell r="AK62">
            <v>2464.33</v>
          </cell>
          <cell r="AL62">
            <v>473</v>
          </cell>
          <cell r="AM62">
            <v>591</v>
          </cell>
          <cell r="AN62">
            <v>3464.25</v>
          </cell>
          <cell r="AO62">
            <v>5.37</v>
          </cell>
          <cell r="AP62">
            <v>4.55</v>
          </cell>
          <cell r="AQ62">
            <v>5.21</v>
          </cell>
          <cell r="AR62">
            <v>1.25</v>
          </cell>
          <cell r="AS62">
            <v>0.1</v>
          </cell>
          <cell r="AT62">
            <v>35.880000000000003</v>
          </cell>
          <cell r="AU62">
            <v>5430.7349999999997</v>
          </cell>
          <cell r="AV62">
            <v>1258.4000000000001</v>
          </cell>
          <cell r="AW62">
            <v>5393.07</v>
          </cell>
          <cell r="AX62">
            <v>1626.24</v>
          </cell>
          <cell r="AY62">
            <v>155.72</v>
          </cell>
          <cell r="AZ62">
            <v>68161.391828899563</v>
          </cell>
          <cell r="BA62">
            <v>18603.022499999999</v>
          </cell>
          <cell r="BB62">
            <v>2689.0499999999997</v>
          </cell>
          <cell r="BC62">
            <v>2464.33</v>
          </cell>
          <cell r="BD62">
            <v>738.75</v>
          </cell>
          <cell r="BE62">
            <v>346.42500000000001</v>
          </cell>
          <cell r="BF62">
            <v>16971.240000000002</v>
          </cell>
          <cell r="BG62">
            <v>4.1770844434242992E-3</v>
          </cell>
          <cell r="BH62">
            <v>8.9679000000000002</v>
          </cell>
        </row>
        <row r="63">
          <cell r="A63" t="str">
            <v>EH</v>
          </cell>
          <cell r="B63" t="str">
            <v>SE</v>
          </cell>
          <cell r="C63" t="str">
            <v>G</v>
          </cell>
          <cell r="D63" t="str">
            <v>G</v>
          </cell>
          <cell r="E63">
            <v>96741</v>
          </cell>
          <cell r="F63">
            <v>31324</v>
          </cell>
          <cell r="G63">
            <v>48884</v>
          </cell>
          <cell r="H63">
            <v>15750</v>
          </cell>
          <cell r="I63">
            <v>48884</v>
          </cell>
          <cell r="J63">
            <v>1691</v>
          </cell>
          <cell r="K63">
            <v>1054</v>
          </cell>
          <cell r="L63">
            <v>3.45</v>
          </cell>
          <cell r="M63">
            <v>0.42</v>
          </cell>
          <cell r="N63">
            <v>15750</v>
          </cell>
          <cell r="O63">
            <v>1.36</v>
          </cell>
          <cell r="P63">
            <v>0.14000000000000001</v>
          </cell>
          <cell r="Q63">
            <v>14.78</v>
          </cell>
          <cell r="R63">
            <v>47857</v>
          </cell>
          <cell r="S63">
            <v>1686</v>
          </cell>
          <cell r="T63">
            <v>1691</v>
          </cell>
          <cell r="U63">
            <v>1054</v>
          </cell>
          <cell r="V63">
            <v>3.45</v>
          </cell>
          <cell r="W63">
            <v>0.42</v>
          </cell>
          <cell r="X63">
            <v>4.5</v>
          </cell>
          <cell r="Y63">
            <v>1.36</v>
          </cell>
          <cell r="Z63">
            <v>0.14000000000000001</v>
          </cell>
          <cell r="AA63">
            <v>14.78</v>
          </cell>
          <cell r="AB63">
            <v>47857</v>
          </cell>
          <cell r="AC63">
            <v>3636.3</v>
          </cell>
          <cell r="AD63">
            <v>710.22</v>
          </cell>
          <cell r="AE63">
            <v>7587</v>
          </cell>
          <cell r="AF63">
            <v>2299.7600000000002</v>
          </cell>
          <cell r="AG63">
            <v>15574</v>
          </cell>
          <cell r="AH63">
            <v>24919.079999999998</v>
          </cell>
          <cell r="AI63">
            <v>8764.9470000000001</v>
          </cell>
          <cell r="AJ63">
            <v>1909.2</v>
          </cell>
          <cell r="AK63">
            <v>4354.08</v>
          </cell>
          <cell r="AL63">
            <v>579</v>
          </cell>
          <cell r="AM63">
            <v>645</v>
          </cell>
          <cell r="AN63">
            <v>2562.85</v>
          </cell>
          <cell r="AO63">
            <v>3.42</v>
          </cell>
          <cell r="AP63">
            <v>2.96</v>
          </cell>
          <cell r="AQ63">
            <v>7.52</v>
          </cell>
          <cell r="AR63">
            <v>2.19</v>
          </cell>
          <cell r="AS63">
            <v>0.34</v>
          </cell>
          <cell r="AT63">
            <v>32.380000000000003</v>
          </cell>
          <cell r="AU63">
            <v>3636.3</v>
          </cell>
          <cell r="AV63">
            <v>710.22</v>
          </cell>
          <cell r="AW63">
            <v>7587</v>
          </cell>
          <cell r="AX63">
            <v>2299.7600000000002</v>
          </cell>
          <cell r="AY63">
            <v>147.56</v>
          </cell>
          <cell r="AZ63">
            <v>24919.079999999998</v>
          </cell>
          <cell r="BA63">
            <v>8764.9470000000001</v>
          </cell>
          <cell r="BB63">
            <v>1909.2</v>
          </cell>
          <cell r="BC63">
            <v>4354.08</v>
          </cell>
          <cell r="BD63">
            <v>1412.55</v>
          </cell>
          <cell r="BE63">
            <v>871.36900000000003</v>
          </cell>
          <cell r="BF63">
            <v>18748.02</v>
          </cell>
          <cell r="BG63">
            <v>3.9652176051546478E-3</v>
          </cell>
          <cell r="BH63">
            <v>5.7113999999999994</v>
          </cell>
        </row>
        <row r="64">
          <cell r="A64" t="str">
            <v>EH</v>
          </cell>
          <cell r="B64" t="str">
            <v>DK</v>
          </cell>
          <cell r="C64" t="str">
            <v>G</v>
          </cell>
          <cell r="D64" t="str">
            <v>G</v>
          </cell>
          <cell r="E64">
            <v>83326</v>
          </cell>
          <cell r="F64">
            <v>32110</v>
          </cell>
          <cell r="G64">
            <v>43845</v>
          </cell>
          <cell r="H64">
            <v>16093</v>
          </cell>
          <cell r="I64">
            <v>43845</v>
          </cell>
          <cell r="J64">
            <v>1703</v>
          </cell>
          <cell r="K64">
            <v>1055.75</v>
          </cell>
          <cell r="L64">
            <v>2.4700000000000002</v>
          </cell>
          <cell r="M64">
            <v>0.21</v>
          </cell>
          <cell r="N64">
            <v>16093</v>
          </cell>
          <cell r="O64">
            <v>0.64</v>
          </cell>
          <cell r="P64">
            <v>0.04</v>
          </cell>
          <cell r="Q64">
            <v>19.365882328041302</v>
          </cell>
          <cell r="R64">
            <v>39481</v>
          </cell>
          <cell r="S64">
            <v>1701</v>
          </cell>
          <cell r="T64">
            <v>1703</v>
          </cell>
          <cell r="U64">
            <v>1055.75</v>
          </cell>
          <cell r="V64">
            <v>2.4700000000000002</v>
          </cell>
          <cell r="W64">
            <v>0.21</v>
          </cell>
          <cell r="X64">
            <v>5.0199999999999996</v>
          </cell>
          <cell r="Y64">
            <v>0.64</v>
          </cell>
          <cell r="Z64">
            <v>0.04</v>
          </cell>
          <cell r="AA64">
            <v>19.365882328041302</v>
          </cell>
          <cell r="AB64">
            <v>39481</v>
          </cell>
          <cell r="AC64">
            <v>2607.7025000000003</v>
          </cell>
          <cell r="AD64">
            <v>357.63</v>
          </cell>
          <cell r="AE64">
            <v>8539.0199999999986</v>
          </cell>
          <cell r="AF64">
            <v>1089.92</v>
          </cell>
          <cell r="AG64">
            <v>16017</v>
          </cell>
          <cell r="AH64">
            <v>32941.365839998252</v>
          </cell>
          <cell r="AI64">
            <v>4783.1550000000007</v>
          </cell>
          <cell r="AJ64">
            <v>757.74</v>
          </cell>
          <cell r="AK64">
            <v>5025</v>
          </cell>
          <cell r="AL64">
            <v>402</v>
          </cell>
          <cell r="AM64">
            <v>438</v>
          </cell>
          <cell r="AN64">
            <v>1936.5</v>
          </cell>
          <cell r="AO64">
            <v>2.4700000000000002</v>
          </cell>
          <cell r="AP64">
            <v>1.73</v>
          </cell>
          <cell r="AQ64">
            <v>12.5</v>
          </cell>
          <cell r="AR64">
            <v>2.27</v>
          </cell>
          <cell r="AS64">
            <v>0.12</v>
          </cell>
          <cell r="AT64">
            <v>16.79</v>
          </cell>
          <cell r="AU64">
            <v>2607.7025000000003</v>
          </cell>
          <cell r="AV64">
            <v>357.63</v>
          </cell>
          <cell r="AW64">
            <v>8539.0199999999986</v>
          </cell>
          <cell r="AX64">
            <v>1089.92</v>
          </cell>
          <cell r="AY64">
            <v>42.230000000000004</v>
          </cell>
          <cell r="AZ64">
            <v>32941.365839998252</v>
          </cell>
          <cell r="BA64">
            <v>4783.1550000000007</v>
          </cell>
          <cell r="BB64">
            <v>757.74</v>
          </cell>
          <cell r="BC64">
            <v>5025</v>
          </cell>
          <cell r="BD64">
            <v>994.26</v>
          </cell>
          <cell r="BE64">
            <v>232.38</v>
          </cell>
          <cell r="BF64">
            <v>6749.58</v>
          </cell>
          <cell r="BG64">
            <v>3.4153639322222862E-3</v>
          </cell>
          <cell r="BH64">
            <v>4.1249000000000002</v>
          </cell>
        </row>
        <row r="65">
          <cell r="A65" t="str">
            <v>ED</v>
          </cell>
          <cell r="B65" t="str">
            <v>GR</v>
          </cell>
          <cell r="C65" t="str">
            <v>G</v>
          </cell>
          <cell r="D65" t="str">
            <v>G</v>
          </cell>
          <cell r="E65">
            <v>67500</v>
          </cell>
          <cell r="F65">
            <v>29963</v>
          </cell>
          <cell r="G65">
            <v>52670</v>
          </cell>
          <cell r="H65">
            <v>25658</v>
          </cell>
          <cell r="I65">
            <v>52670</v>
          </cell>
          <cell r="J65">
            <v>1577</v>
          </cell>
          <cell r="K65">
            <v>1170.5</v>
          </cell>
          <cell r="L65">
            <v>5.56</v>
          </cell>
          <cell r="M65">
            <v>0.84</v>
          </cell>
          <cell r="N65">
            <v>25658</v>
          </cell>
          <cell r="O65">
            <v>0.3</v>
          </cell>
          <cell r="P65">
            <v>0.09</v>
          </cell>
          <cell r="Q65">
            <v>41.794497856194397</v>
          </cell>
          <cell r="R65">
            <v>14830</v>
          </cell>
          <cell r="S65">
            <v>1568</v>
          </cell>
          <cell r="T65">
            <v>1577</v>
          </cell>
          <cell r="U65">
            <v>1170.5</v>
          </cell>
          <cell r="V65">
            <v>5.56</v>
          </cell>
          <cell r="W65">
            <v>0.84</v>
          </cell>
          <cell r="X65">
            <v>1.5</v>
          </cell>
          <cell r="Y65">
            <v>0.3</v>
          </cell>
          <cell r="Z65">
            <v>0.09</v>
          </cell>
          <cell r="AA65">
            <v>41.794497856194397</v>
          </cell>
          <cell r="AB65">
            <v>14830</v>
          </cell>
          <cell r="AC65">
            <v>6507.98</v>
          </cell>
          <cell r="AD65">
            <v>1324.68</v>
          </cell>
          <cell r="AE65">
            <v>2352</v>
          </cell>
          <cell r="AF65">
            <v>473.09999999999997</v>
          </cell>
          <cell r="AG65">
            <v>4305</v>
          </cell>
          <cell r="AH65">
            <v>65533.772638512812</v>
          </cell>
          <cell r="AI65">
            <v>3790.5299999999997</v>
          </cell>
          <cell r="AJ65">
            <v>906.98</v>
          </cell>
          <cell r="AK65">
            <v>873.19999999999993</v>
          </cell>
          <cell r="AL65">
            <v>185</v>
          </cell>
          <cell r="AM65">
            <v>202</v>
          </cell>
          <cell r="AN65">
            <v>681.75</v>
          </cell>
          <cell r="AO65">
            <v>5.56</v>
          </cell>
          <cell r="AP65">
            <v>4.49</v>
          </cell>
          <cell r="AQ65">
            <v>4.72</v>
          </cell>
          <cell r="AR65">
            <v>1.76</v>
          </cell>
          <cell r="AS65">
            <v>0.11</v>
          </cell>
          <cell r="AT65">
            <v>12.49</v>
          </cell>
          <cell r="AU65">
            <v>6507.98</v>
          </cell>
          <cell r="AV65">
            <v>1324.68</v>
          </cell>
          <cell r="AW65">
            <v>2352</v>
          </cell>
          <cell r="AX65">
            <v>473.09999999999997</v>
          </cell>
          <cell r="AY65">
            <v>105.345</v>
          </cell>
          <cell r="AZ65">
            <v>65533.772638512812</v>
          </cell>
          <cell r="BA65">
            <v>3790.5299999999997</v>
          </cell>
          <cell r="BB65">
            <v>906.98</v>
          </cell>
          <cell r="BC65">
            <v>873.19999999999993</v>
          </cell>
          <cell r="BD65">
            <v>355.52</v>
          </cell>
          <cell r="BE65">
            <v>74.992500000000007</v>
          </cell>
          <cell r="BF65">
            <v>2310.65</v>
          </cell>
          <cell r="BG65">
            <v>2.7666882536663742E-3</v>
          </cell>
          <cell r="BH65">
            <v>9.2851999999999997</v>
          </cell>
        </row>
        <row r="66">
          <cell r="A66" t="str">
            <v>EE</v>
          </cell>
          <cell r="B66" t="str">
            <v>HU</v>
          </cell>
          <cell r="C66" t="str">
            <v>G</v>
          </cell>
          <cell r="D66" t="str">
            <v>G</v>
          </cell>
          <cell r="E66">
            <v>66866</v>
          </cell>
          <cell r="F66">
            <v>19731</v>
          </cell>
          <cell r="G66">
            <v>13555</v>
          </cell>
          <cell r="H66">
            <v>5124</v>
          </cell>
          <cell r="I66">
            <v>13555</v>
          </cell>
          <cell r="J66">
            <v>512</v>
          </cell>
          <cell r="K66">
            <v>245.25</v>
          </cell>
          <cell r="L66">
            <v>4.4400000000000004</v>
          </cell>
          <cell r="M66">
            <v>0.62</v>
          </cell>
          <cell r="N66">
            <v>5124</v>
          </cell>
          <cell r="O66">
            <v>1.07</v>
          </cell>
          <cell r="P66">
            <v>0.12</v>
          </cell>
          <cell r="Q66">
            <v>37.208979949469999</v>
          </cell>
          <cell r="R66">
            <v>53312</v>
          </cell>
          <cell r="S66">
            <v>511</v>
          </cell>
          <cell r="T66">
            <v>512</v>
          </cell>
          <cell r="U66">
            <v>245.25</v>
          </cell>
          <cell r="V66">
            <v>4.4400000000000004</v>
          </cell>
          <cell r="W66">
            <v>0.62</v>
          </cell>
          <cell r="X66">
            <v>1.96</v>
          </cell>
          <cell r="Y66">
            <v>1.07</v>
          </cell>
          <cell r="Z66">
            <v>0.12</v>
          </cell>
          <cell r="AA66">
            <v>37.208979949469999</v>
          </cell>
          <cell r="AB66">
            <v>53312</v>
          </cell>
          <cell r="AC66">
            <v>1088.9100000000001</v>
          </cell>
          <cell r="AD66">
            <v>317.44</v>
          </cell>
          <cell r="AE66">
            <v>1001.56</v>
          </cell>
          <cell r="AF66">
            <v>547.84</v>
          </cell>
          <cell r="AG66">
            <v>14607</v>
          </cell>
          <cell r="AH66">
            <v>19013.788754179168</v>
          </cell>
          <cell r="AI66">
            <v>20274.150000000001</v>
          </cell>
          <cell r="AJ66">
            <v>1760</v>
          </cell>
          <cell r="AK66">
            <v>2172.39</v>
          </cell>
          <cell r="AL66">
            <v>227</v>
          </cell>
          <cell r="AM66">
            <v>352</v>
          </cell>
          <cell r="AN66">
            <v>4566.25</v>
          </cell>
          <cell r="AO66">
            <v>4.4400000000000004</v>
          </cell>
          <cell r="AP66">
            <v>5</v>
          </cell>
          <cell r="AQ66">
            <v>9.57</v>
          </cell>
          <cell r="AR66">
            <v>1.97</v>
          </cell>
          <cell r="AS66">
            <v>0.26</v>
          </cell>
          <cell r="AT66">
            <v>11.06</v>
          </cell>
          <cell r="AU66">
            <v>1088.9100000000001</v>
          </cell>
          <cell r="AV66">
            <v>317.44</v>
          </cell>
          <cell r="AW66">
            <v>1001.56</v>
          </cell>
          <cell r="AX66">
            <v>547.84</v>
          </cell>
          <cell r="AY66">
            <v>29.43</v>
          </cell>
          <cell r="AZ66">
            <v>19013.788754179168</v>
          </cell>
          <cell r="BA66">
            <v>20274.150000000001</v>
          </cell>
          <cell r="BB66">
            <v>1760</v>
          </cell>
          <cell r="BC66">
            <v>2172.39</v>
          </cell>
          <cell r="BD66">
            <v>693.43999999999994</v>
          </cell>
          <cell r="BE66">
            <v>1187.2250000000001</v>
          </cell>
          <cell r="BF66">
            <v>2510.62</v>
          </cell>
          <cell r="BG66">
            <v>2.7407018780689746E-3</v>
          </cell>
          <cell r="BH66">
            <v>7.4148000000000005</v>
          </cell>
        </row>
        <row r="67">
          <cell r="A67" t="str">
            <v>ED</v>
          </cell>
          <cell r="B67" t="str">
            <v>AT</v>
          </cell>
          <cell r="C67" t="str">
            <v>G</v>
          </cell>
          <cell r="D67" t="str">
            <v>G</v>
          </cell>
          <cell r="E67">
            <v>57623</v>
          </cell>
          <cell r="F67">
            <v>16803</v>
          </cell>
          <cell r="G67">
            <v>20412</v>
          </cell>
          <cell r="H67">
            <v>6500</v>
          </cell>
          <cell r="I67">
            <v>20412</v>
          </cell>
          <cell r="J67">
            <v>853</v>
          </cell>
          <cell r="K67">
            <v>420.25</v>
          </cell>
          <cell r="L67">
            <v>3.13</v>
          </cell>
          <cell r="M67">
            <v>0.62</v>
          </cell>
          <cell r="N67">
            <v>6500</v>
          </cell>
          <cell r="O67">
            <v>1.03</v>
          </cell>
          <cell r="P67">
            <v>0.15</v>
          </cell>
          <cell r="Q67">
            <v>22.512921180361001</v>
          </cell>
          <cell r="R67">
            <v>37211</v>
          </cell>
          <cell r="S67">
            <v>853</v>
          </cell>
          <cell r="T67">
            <v>853</v>
          </cell>
          <cell r="U67">
            <v>420.25</v>
          </cell>
          <cell r="V67">
            <v>3.13</v>
          </cell>
          <cell r="W67">
            <v>0.62</v>
          </cell>
          <cell r="X67">
            <v>5.17</v>
          </cell>
          <cell r="Y67">
            <v>1.03</v>
          </cell>
          <cell r="Z67">
            <v>0.15</v>
          </cell>
          <cell r="AA67">
            <v>22.512921180361001</v>
          </cell>
          <cell r="AB67">
            <v>37211</v>
          </cell>
          <cell r="AC67">
            <v>1315.3824999999999</v>
          </cell>
          <cell r="AD67">
            <v>528.86</v>
          </cell>
          <cell r="AE67">
            <v>4410.01</v>
          </cell>
          <cell r="AF67">
            <v>878.59</v>
          </cell>
          <cell r="AG67">
            <v>10303</v>
          </cell>
          <cell r="AH67">
            <v>19203.521766847934</v>
          </cell>
          <cell r="AI67">
            <v>10847.014999999999</v>
          </cell>
          <cell r="AJ67">
            <v>1898.82</v>
          </cell>
          <cell r="AK67">
            <v>3333.96</v>
          </cell>
          <cell r="AL67">
            <v>294</v>
          </cell>
          <cell r="AM67">
            <v>411</v>
          </cell>
          <cell r="AN67">
            <v>3465.5</v>
          </cell>
          <cell r="AO67">
            <v>3.13</v>
          </cell>
          <cell r="AP67">
            <v>4.62</v>
          </cell>
          <cell r="AQ67">
            <v>11.34</v>
          </cell>
          <cell r="AR67">
            <v>2.14</v>
          </cell>
          <cell r="AS67">
            <v>0.16</v>
          </cell>
          <cell r="AT67">
            <v>33.58</v>
          </cell>
          <cell r="AU67">
            <v>1315.3824999999999</v>
          </cell>
          <cell r="AV67">
            <v>528.86</v>
          </cell>
          <cell r="AW67">
            <v>4410.01</v>
          </cell>
          <cell r="AX67">
            <v>878.59</v>
          </cell>
          <cell r="AY67">
            <v>63.037499999999994</v>
          </cell>
          <cell r="AZ67">
            <v>19203.521766847934</v>
          </cell>
          <cell r="BA67">
            <v>10847.014999999999</v>
          </cell>
          <cell r="BB67">
            <v>1898.82</v>
          </cell>
          <cell r="BC67">
            <v>3333.96</v>
          </cell>
          <cell r="BD67">
            <v>879.54000000000008</v>
          </cell>
          <cell r="BE67">
            <v>554.48</v>
          </cell>
          <cell r="BF67">
            <v>9872.5199999999986</v>
          </cell>
          <cell r="BG67">
            <v>2.3618500332002589E-3</v>
          </cell>
          <cell r="BH67">
            <v>5.2270999999999992</v>
          </cell>
        </row>
        <row r="68">
          <cell r="A68" t="str">
            <v>ME</v>
          </cell>
          <cell r="B68" t="str">
            <v>KW</v>
          </cell>
          <cell r="C68" t="str">
            <v>G</v>
          </cell>
          <cell r="D68" t="str">
            <v>G</v>
          </cell>
          <cell r="E68">
            <v>51410</v>
          </cell>
          <cell r="F68">
            <v>30374</v>
          </cell>
          <cell r="G68">
            <v>31798</v>
          </cell>
          <cell r="H68">
            <v>19083</v>
          </cell>
          <cell r="I68">
            <v>31798</v>
          </cell>
          <cell r="J68">
            <v>860</v>
          </cell>
          <cell r="K68">
            <v>411.5</v>
          </cell>
          <cell r="L68">
            <v>2.96</v>
          </cell>
          <cell r="M68">
            <v>0.74</v>
          </cell>
          <cell r="N68">
            <v>19083</v>
          </cell>
          <cell r="O68">
            <v>0.4</v>
          </cell>
          <cell r="P68">
            <v>0.03</v>
          </cell>
          <cell r="Q68">
            <v>7.56</v>
          </cell>
          <cell r="R68">
            <v>19612</v>
          </cell>
          <cell r="S68">
            <v>860</v>
          </cell>
          <cell r="T68">
            <v>860</v>
          </cell>
          <cell r="U68">
            <v>411.5</v>
          </cell>
          <cell r="V68">
            <v>2.96</v>
          </cell>
          <cell r="W68">
            <v>0.74</v>
          </cell>
          <cell r="X68">
            <v>1.94</v>
          </cell>
          <cell r="Y68">
            <v>0.4</v>
          </cell>
          <cell r="Z68">
            <v>0.03</v>
          </cell>
          <cell r="AA68">
            <v>7.56</v>
          </cell>
          <cell r="AB68">
            <v>19612</v>
          </cell>
          <cell r="AC68">
            <v>1218.04</v>
          </cell>
          <cell r="AD68">
            <v>636.4</v>
          </cell>
          <cell r="AE68">
            <v>1668.3999999999999</v>
          </cell>
          <cell r="AF68">
            <v>344</v>
          </cell>
          <cell r="AG68">
            <v>11291</v>
          </cell>
          <cell r="AH68">
            <v>6501.5999999999995</v>
          </cell>
          <cell r="AI68">
            <v>2557.44</v>
          </cell>
          <cell r="AJ68">
            <v>946.07999999999993</v>
          </cell>
          <cell r="AK68">
            <v>834.71999999999991</v>
          </cell>
          <cell r="AL68">
            <v>148</v>
          </cell>
          <cell r="AM68">
            <v>162</v>
          </cell>
          <cell r="AN68">
            <v>864</v>
          </cell>
          <cell r="AO68">
            <v>2.96</v>
          </cell>
          <cell r="AP68">
            <v>5.84</v>
          </cell>
          <cell r="AQ68">
            <v>5.64</v>
          </cell>
          <cell r="AR68">
            <v>0.56000000000000005</v>
          </cell>
          <cell r="AS68">
            <v>0.03</v>
          </cell>
          <cell r="AT68">
            <v>5.7</v>
          </cell>
          <cell r="AU68">
            <v>1218.04</v>
          </cell>
          <cell r="AV68">
            <v>636.4</v>
          </cell>
          <cell r="AW68">
            <v>1668.3999999999999</v>
          </cell>
          <cell r="AX68">
            <v>344</v>
          </cell>
          <cell r="AY68">
            <v>12.344999999999999</v>
          </cell>
          <cell r="AZ68">
            <v>6501.5999999999995</v>
          </cell>
          <cell r="BA68">
            <v>2557.44</v>
          </cell>
          <cell r="BB68">
            <v>946.07999999999993</v>
          </cell>
          <cell r="BC68">
            <v>834.71999999999991</v>
          </cell>
          <cell r="BD68">
            <v>90.720000000000013</v>
          </cell>
          <cell r="BE68">
            <v>25.919999999999998</v>
          </cell>
          <cell r="BF68">
            <v>843.6</v>
          </cell>
          <cell r="BG68">
            <v>2.1071917499405676E-3</v>
          </cell>
          <cell r="BH68">
            <v>4.9432</v>
          </cell>
        </row>
        <row r="69">
          <cell r="A69" t="str">
            <v>ED</v>
          </cell>
          <cell r="B69" t="str">
            <v>TR</v>
          </cell>
          <cell r="C69" t="str">
            <v>G</v>
          </cell>
          <cell r="D69" t="str">
            <v>G</v>
          </cell>
          <cell r="E69">
            <v>46453</v>
          </cell>
          <cell r="F69">
            <v>18427</v>
          </cell>
          <cell r="G69">
            <v>25765</v>
          </cell>
          <cell r="H69">
            <v>10838</v>
          </cell>
          <cell r="I69">
            <v>25765</v>
          </cell>
          <cell r="J69">
            <v>910</v>
          </cell>
          <cell r="K69">
            <v>441.5</v>
          </cell>
          <cell r="L69">
            <v>4.92</v>
          </cell>
          <cell r="M69">
            <v>0.68</v>
          </cell>
          <cell r="N69">
            <v>10838</v>
          </cell>
          <cell r="O69">
            <v>0.63</v>
          </cell>
          <cell r="P69">
            <v>0.36</v>
          </cell>
          <cell r="Q69">
            <v>52.0172596203438</v>
          </cell>
          <cell r="R69">
            <v>20688</v>
          </cell>
          <cell r="S69">
            <v>906</v>
          </cell>
          <cell r="T69">
            <v>910</v>
          </cell>
          <cell r="U69">
            <v>441.5</v>
          </cell>
          <cell r="V69">
            <v>4.92</v>
          </cell>
          <cell r="W69">
            <v>0.68</v>
          </cell>
          <cell r="X69">
            <v>1.65</v>
          </cell>
          <cell r="Y69">
            <v>0.63</v>
          </cell>
          <cell r="Z69">
            <v>0.36</v>
          </cell>
          <cell r="AA69">
            <v>52.0172596203438</v>
          </cell>
          <cell r="AB69">
            <v>20688</v>
          </cell>
          <cell r="AC69">
            <v>2172.1799999999998</v>
          </cell>
          <cell r="AD69">
            <v>618.80000000000007</v>
          </cell>
          <cell r="AE69">
            <v>1494.8999999999999</v>
          </cell>
          <cell r="AF69">
            <v>573.29999999999995</v>
          </cell>
          <cell r="AG69">
            <v>7589</v>
          </cell>
          <cell r="AH69">
            <v>47127.637216031486</v>
          </cell>
          <cell r="AI69">
            <v>4726.3500000000004</v>
          </cell>
          <cell r="AJ69">
            <v>1085.28</v>
          </cell>
          <cell r="AK69">
            <v>740.88</v>
          </cell>
          <cell r="AL69">
            <v>216</v>
          </cell>
          <cell r="AM69">
            <v>228</v>
          </cell>
          <cell r="AN69">
            <v>972.5</v>
          </cell>
          <cell r="AO69">
            <v>4.8600000000000003</v>
          </cell>
          <cell r="AP69">
            <v>4.76</v>
          </cell>
          <cell r="AQ69">
            <v>3.43</v>
          </cell>
          <cell r="AR69">
            <v>1.93</v>
          </cell>
          <cell r="AS69">
            <v>0.19</v>
          </cell>
          <cell r="AT69">
            <v>23.55</v>
          </cell>
          <cell r="AU69">
            <v>2172.1799999999998</v>
          </cell>
          <cell r="AV69">
            <v>618.80000000000007</v>
          </cell>
          <cell r="AW69">
            <v>1494.8999999999999</v>
          </cell>
          <cell r="AX69">
            <v>573.29999999999995</v>
          </cell>
          <cell r="AY69">
            <v>158.94</v>
          </cell>
          <cell r="AZ69">
            <v>47127.637216031486</v>
          </cell>
          <cell r="BA69">
            <v>4726.3500000000004</v>
          </cell>
          <cell r="BB69">
            <v>1085.28</v>
          </cell>
          <cell r="BC69">
            <v>740.88</v>
          </cell>
          <cell r="BD69">
            <v>440.03999999999996</v>
          </cell>
          <cell r="BE69">
            <v>184.77500000000001</v>
          </cell>
          <cell r="BF69">
            <v>5086.8</v>
          </cell>
          <cell r="BG69">
            <v>1.9040143621861347E-3</v>
          </cell>
          <cell r="BH69">
            <v>8.116200000000001</v>
          </cell>
        </row>
        <row r="70">
          <cell r="A70" t="str">
            <v>ME</v>
          </cell>
          <cell r="B70" t="str">
            <v>IR</v>
          </cell>
          <cell r="C70" t="str">
            <v>G</v>
          </cell>
          <cell r="D70" t="str">
            <v>G</v>
          </cell>
          <cell r="E70">
            <v>41956</v>
          </cell>
          <cell r="F70">
            <v>25853</v>
          </cell>
          <cell r="G70">
            <v>28785</v>
          </cell>
          <cell r="H70">
            <v>18338</v>
          </cell>
          <cell r="I70">
            <v>28785</v>
          </cell>
          <cell r="J70">
            <v>648</v>
          </cell>
          <cell r="K70">
            <v>417.5</v>
          </cell>
          <cell r="L70">
            <v>4.04</v>
          </cell>
          <cell r="M70">
            <v>0.86</v>
          </cell>
          <cell r="N70">
            <v>18338</v>
          </cell>
          <cell r="O70">
            <v>0.25</v>
          </cell>
          <cell r="P70">
            <v>0.16</v>
          </cell>
          <cell r="Q70">
            <v>27.28</v>
          </cell>
          <cell r="R70">
            <v>13171</v>
          </cell>
          <cell r="S70">
            <v>646</v>
          </cell>
          <cell r="T70">
            <v>648</v>
          </cell>
          <cell r="U70">
            <v>417.5</v>
          </cell>
          <cell r="V70">
            <v>4.04</v>
          </cell>
          <cell r="W70">
            <v>0.86</v>
          </cell>
          <cell r="X70">
            <v>0.89</v>
          </cell>
          <cell r="Y70">
            <v>0.25</v>
          </cell>
          <cell r="Z70">
            <v>0.16</v>
          </cell>
          <cell r="AA70">
            <v>27.28</v>
          </cell>
          <cell r="AB70">
            <v>13171</v>
          </cell>
          <cell r="AC70">
            <v>1686.7</v>
          </cell>
          <cell r="AD70">
            <v>557.28</v>
          </cell>
          <cell r="AE70">
            <v>574.94000000000005</v>
          </cell>
          <cell r="AF70">
            <v>162</v>
          </cell>
          <cell r="AG70">
            <v>7515</v>
          </cell>
          <cell r="AH70">
            <v>17622.88</v>
          </cell>
          <cell r="AI70">
            <v>1279.0640000000001</v>
          </cell>
          <cell r="AJ70">
            <v>744.8</v>
          </cell>
          <cell r="AK70">
            <v>351</v>
          </cell>
          <cell r="AL70">
            <v>130</v>
          </cell>
          <cell r="AM70">
            <v>133</v>
          </cell>
          <cell r="AN70">
            <v>316.60000000000002</v>
          </cell>
          <cell r="AO70">
            <v>4.04</v>
          </cell>
          <cell r="AP70">
            <v>5.6</v>
          </cell>
          <cell r="AQ70">
            <v>2.7</v>
          </cell>
          <cell r="AR70">
            <v>0.53</v>
          </cell>
          <cell r="AS70">
            <v>0.16</v>
          </cell>
          <cell r="AT70">
            <v>23.22</v>
          </cell>
          <cell r="AU70">
            <v>1686.7</v>
          </cell>
          <cell r="AV70">
            <v>557.28</v>
          </cell>
          <cell r="AW70">
            <v>574.94000000000005</v>
          </cell>
          <cell r="AX70">
            <v>162</v>
          </cell>
          <cell r="AY70">
            <v>66.8</v>
          </cell>
          <cell r="AZ70">
            <v>17622.88</v>
          </cell>
          <cell r="BA70">
            <v>1279.0640000000001</v>
          </cell>
          <cell r="BB70">
            <v>744.8</v>
          </cell>
          <cell r="BC70">
            <v>351</v>
          </cell>
          <cell r="BD70">
            <v>70.490000000000009</v>
          </cell>
          <cell r="BE70">
            <v>50.656000000000006</v>
          </cell>
          <cell r="BF70">
            <v>3018.6</v>
          </cell>
          <cell r="BG70">
            <v>1.7196914425307616E-3</v>
          </cell>
          <cell r="BH70">
            <v>6.7467999999999995</v>
          </cell>
        </row>
        <row r="71">
          <cell r="A71" t="str">
            <v>ME</v>
          </cell>
          <cell r="B71" t="str">
            <v>QA</v>
          </cell>
          <cell r="C71" t="str">
            <v>G</v>
          </cell>
          <cell r="D71" t="str">
            <v>G</v>
          </cell>
          <cell r="E71">
            <v>35685</v>
          </cell>
          <cell r="F71">
            <v>24164</v>
          </cell>
          <cell r="G71">
            <v>20603</v>
          </cell>
          <cell r="H71">
            <v>14410</v>
          </cell>
          <cell r="I71">
            <v>20603</v>
          </cell>
          <cell r="J71">
            <v>484</v>
          </cell>
          <cell r="K71">
            <v>314.5</v>
          </cell>
          <cell r="L71">
            <v>2.5499999999999998</v>
          </cell>
          <cell r="M71">
            <v>0.93</v>
          </cell>
          <cell r="N71">
            <v>14410</v>
          </cell>
          <cell r="O71">
            <v>0.2</v>
          </cell>
          <cell r="P71">
            <v>0.06</v>
          </cell>
          <cell r="Q71">
            <v>16.45</v>
          </cell>
          <cell r="R71">
            <v>15081</v>
          </cell>
          <cell r="S71">
            <v>484</v>
          </cell>
          <cell r="T71">
            <v>484</v>
          </cell>
          <cell r="U71">
            <v>314.5</v>
          </cell>
          <cell r="V71">
            <v>2.5499999999999998</v>
          </cell>
          <cell r="W71">
            <v>0.93</v>
          </cell>
          <cell r="X71">
            <v>1.48</v>
          </cell>
          <cell r="Y71">
            <v>0.2</v>
          </cell>
          <cell r="Z71">
            <v>0.06</v>
          </cell>
          <cell r="AA71">
            <v>16.45</v>
          </cell>
          <cell r="AB71">
            <v>15081</v>
          </cell>
          <cell r="AC71">
            <v>801.97499999999991</v>
          </cell>
          <cell r="AD71">
            <v>450.12</v>
          </cell>
          <cell r="AE71">
            <v>716.31999999999994</v>
          </cell>
          <cell r="AF71">
            <v>96.800000000000011</v>
          </cell>
          <cell r="AG71">
            <v>9754</v>
          </cell>
          <cell r="AH71">
            <v>7961.7999999999993</v>
          </cell>
          <cell r="AI71">
            <v>1642.1100000000001</v>
          </cell>
          <cell r="AJ71">
            <v>661.05000000000007</v>
          </cell>
          <cell r="AK71">
            <v>91.52</v>
          </cell>
          <cell r="AL71">
            <v>104</v>
          </cell>
          <cell r="AM71">
            <v>117</v>
          </cell>
          <cell r="AN71">
            <v>646.5</v>
          </cell>
          <cell r="AO71">
            <v>2.54</v>
          </cell>
          <cell r="AP71">
            <v>5.65</v>
          </cell>
          <cell r="AQ71">
            <v>0.88</v>
          </cell>
          <cell r="AR71">
            <v>0.74</v>
          </cell>
          <cell r="AS71">
            <v>0.09</v>
          </cell>
          <cell r="AT71">
            <v>50.75</v>
          </cell>
          <cell r="AU71">
            <v>801.97499999999991</v>
          </cell>
          <cell r="AV71">
            <v>450.12</v>
          </cell>
          <cell r="AW71">
            <v>716.31999999999994</v>
          </cell>
          <cell r="AX71">
            <v>96.800000000000011</v>
          </cell>
          <cell r="AY71">
            <v>18.87</v>
          </cell>
          <cell r="AZ71">
            <v>7961.7999999999993</v>
          </cell>
          <cell r="BA71">
            <v>1642.1100000000001</v>
          </cell>
          <cell r="BB71">
            <v>661.05000000000007</v>
          </cell>
          <cell r="BC71">
            <v>91.52</v>
          </cell>
          <cell r="BD71">
            <v>86.58</v>
          </cell>
          <cell r="BE71">
            <v>58.184999999999995</v>
          </cell>
          <cell r="BF71">
            <v>5278</v>
          </cell>
          <cell r="BG71">
            <v>1.4626558567716233E-3</v>
          </cell>
          <cell r="BH71">
            <v>4.2417999999999996</v>
          </cell>
        </row>
        <row r="72">
          <cell r="A72" t="str">
            <v>ED</v>
          </cell>
          <cell r="B72" t="str">
            <v>PL</v>
          </cell>
          <cell r="C72" t="str">
            <v>G</v>
          </cell>
          <cell r="D72" t="str">
            <v>G</v>
          </cell>
          <cell r="E72">
            <v>33110</v>
          </cell>
          <cell r="F72">
            <v>6305</v>
          </cell>
          <cell r="G72">
            <v>11085</v>
          </cell>
          <cell r="H72">
            <v>4007</v>
          </cell>
          <cell r="I72">
            <v>11085</v>
          </cell>
          <cell r="J72">
            <v>501</v>
          </cell>
          <cell r="K72">
            <v>187.25</v>
          </cell>
          <cell r="L72">
            <v>4.29</v>
          </cell>
          <cell r="M72">
            <v>0.61</v>
          </cell>
          <cell r="N72">
            <v>4007</v>
          </cell>
          <cell r="O72">
            <v>0.56000000000000005</v>
          </cell>
          <cell r="P72">
            <v>0.19</v>
          </cell>
          <cell r="Q72">
            <v>28.87</v>
          </cell>
          <cell r="R72">
            <v>22026</v>
          </cell>
          <cell r="S72">
            <v>501</v>
          </cell>
          <cell r="T72">
            <v>501</v>
          </cell>
          <cell r="U72">
            <v>187.25</v>
          </cell>
          <cell r="V72">
            <v>4.29</v>
          </cell>
          <cell r="W72">
            <v>0.61</v>
          </cell>
          <cell r="X72">
            <v>2.2000000000000002</v>
          </cell>
          <cell r="Y72">
            <v>0.56000000000000005</v>
          </cell>
          <cell r="Z72">
            <v>0.19</v>
          </cell>
          <cell r="AA72">
            <v>28.87</v>
          </cell>
          <cell r="AB72">
            <v>22026</v>
          </cell>
          <cell r="AC72">
            <v>803.30250000000001</v>
          </cell>
          <cell r="AD72">
            <v>305.61</v>
          </cell>
          <cell r="AE72">
            <v>1102.2</v>
          </cell>
          <cell r="AF72">
            <v>280.56</v>
          </cell>
          <cell r="AG72">
            <v>2298</v>
          </cell>
          <cell r="AH72">
            <v>14463.87</v>
          </cell>
          <cell r="AI72">
            <v>6384</v>
          </cell>
          <cell r="AJ72">
            <v>1816.08</v>
          </cell>
          <cell r="AK72">
            <v>2147.16</v>
          </cell>
          <cell r="AL72">
            <v>348</v>
          </cell>
          <cell r="AM72">
            <v>376</v>
          </cell>
          <cell r="AN72">
            <v>1520</v>
          </cell>
          <cell r="AO72">
            <v>4.2</v>
          </cell>
          <cell r="AP72">
            <v>4.83</v>
          </cell>
          <cell r="AQ72">
            <v>6.17</v>
          </cell>
          <cell r="AR72">
            <v>1.64</v>
          </cell>
          <cell r="AS72">
            <v>0.2</v>
          </cell>
          <cell r="AT72">
            <v>13.85</v>
          </cell>
          <cell r="AU72">
            <v>803.30250000000001</v>
          </cell>
          <cell r="AV72">
            <v>305.61</v>
          </cell>
          <cell r="AW72">
            <v>1102.2</v>
          </cell>
          <cell r="AX72">
            <v>280.56</v>
          </cell>
          <cell r="AY72">
            <v>35.577500000000001</v>
          </cell>
          <cell r="AZ72">
            <v>14463.87</v>
          </cell>
          <cell r="BA72">
            <v>6384</v>
          </cell>
          <cell r="BB72">
            <v>1816.08</v>
          </cell>
          <cell r="BC72">
            <v>2147.16</v>
          </cell>
          <cell r="BD72">
            <v>616.64</v>
          </cell>
          <cell r="BE72">
            <v>304</v>
          </cell>
          <cell r="BF72">
            <v>4819.8</v>
          </cell>
          <cell r="BG72">
            <v>1.3571118233910171E-3</v>
          </cell>
          <cell r="BH72">
            <v>7.0140000000000002</v>
          </cell>
        </row>
        <row r="73">
          <cell r="A73" t="str">
            <v>ME</v>
          </cell>
          <cell r="B73" t="str">
            <v>OM</v>
          </cell>
          <cell r="C73" t="str">
            <v>G</v>
          </cell>
          <cell r="D73" t="str">
            <v>G</v>
          </cell>
          <cell r="E73">
            <v>33049</v>
          </cell>
          <cell r="F73">
            <v>21129</v>
          </cell>
          <cell r="G73">
            <v>22051</v>
          </cell>
          <cell r="H73">
            <v>14483</v>
          </cell>
          <cell r="I73">
            <v>22051</v>
          </cell>
          <cell r="J73">
            <v>563</v>
          </cell>
          <cell r="K73">
            <v>401.5</v>
          </cell>
          <cell r="L73">
            <v>2.31</v>
          </cell>
          <cell r="M73">
            <v>0.83</v>
          </cell>
          <cell r="N73">
            <v>14483</v>
          </cell>
          <cell r="O73">
            <v>0.27</v>
          </cell>
          <cell r="P73">
            <v>0.12</v>
          </cell>
          <cell r="Q73">
            <v>13.11</v>
          </cell>
          <cell r="R73">
            <v>10997</v>
          </cell>
          <cell r="S73">
            <v>562</v>
          </cell>
          <cell r="T73">
            <v>563</v>
          </cell>
          <cell r="U73">
            <v>401.5</v>
          </cell>
          <cell r="V73">
            <v>2.31</v>
          </cell>
          <cell r="W73">
            <v>0.83</v>
          </cell>
          <cell r="X73">
            <v>1.58</v>
          </cell>
          <cell r="Y73">
            <v>0.27</v>
          </cell>
          <cell r="Z73">
            <v>0.12</v>
          </cell>
          <cell r="AA73">
            <v>13.11</v>
          </cell>
          <cell r="AB73">
            <v>10997</v>
          </cell>
          <cell r="AC73">
            <v>927.46500000000003</v>
          </cell>
          <cell r="AD73">
            <v>467.28999999999996</v>
          </cell>
          <cell r="AE73">
            <v>887.96</v>
          </cell>
          <cell r="AF73">
            <v>152.01000000000002</v>
          </cell>
          <cell r="AG73">
            <v>6646</v>
          </cell>
          <cell r="AH73">
            <v>7367.82</v>
          </cell>
          <cell r="AI73">
            <v>883.57500000000005</v>
          </cell>
          <cell r="AJ73">
            <v>631.04000000000008</v>
          </cell>
          <cell r="AK73">
            <v>540.59999999999991</v>
          </cell>
          <cell r="AL73">
            <v>106</v>
          </cell>
          <cell r="AM73">
            <v>116</v>
          </cell>
          <cell r="AN73">
            <v>382.5</v>
          </cell>
          <cell r="AO73">
            <v>2.31</v>
          </cell>
          <cell r="AP73">
            <v>5.44</v>
          </cell>
          <cell r="AQ73">
            <v>5.0999999999999996</v>
          </cell>
          <cell r="AR73">
            <v>0.64</v>
          </cell>
          <cell r="AS73">
            <v>0.13</v>
          </cell>
          <cell r="AT73">
            <v>14.47</v>
          </cell>
          <cell r="AU73">
            <v>927.46500000000003</v>
          </cell>
          <cell r="AV73">
            <v>467.28999999999996</v>
          </cell>
          <cell r="AW73">
            <v>887.96</v>
          </cell>
          <cell r="AX73">
            <v>152.01000000000002</v>
          </cell>
          <cell r="AY73">
            <v>48.18</v>
          </cell>
          <cell r="AZ73">
            <v>7367.82</v>
          </cell>
          <cell r="BA73">
            <v>883.57500000000005</v>
          </cell>
          <cell r="BB73">
            <v>631.04000000000008</v>
          </cell>
          <cell r="BC73">
            <v>540.59999999999991</v>
          </cell>
          <cell r="BD73">
            <v>74.239999999999995</v>
          </cell>
          <cell r="BE73">
            <v>49.725000000000001</v>
          </cell>
          <cell r="BF73">
            <v>1533.8200000000002</v>
          </cell>
          <cell r="BG73">
            <v>1.3546115569691853E-3</v>
          </cell>
          <cell r="BH73">
            <v>3.8576999999999999</v>
          </cell>
        </row>
        <row r="74">
          <cell r="A74" t="str">
            <v>ME</v>
          </cell>
          <cell r="B74" t="str">
            <v>BH</v>
          </cell>
          <cell r="C74" t="str">
            <v>G</v>
          </cell>
          <cell r="D74" t="str">
            <v>G</v>
          </cell>
          <cell r="E74">
            <v>26160</v>
          </cell>
          <cell r="F74">
            <v>12241</v>
          </cell>
          <cell r="G74">
            <v>14307</v>
          </cell>
          <cell r="H74">
            <v>7183</v>
          </cell>
          <cell r="I74">
            <v>14307</v>
          </cell>
          <cell r="J74">
            <v>581</v>
          </cell>
          <cell r="K74">
            <v>480</v>
          </cell>
          <cell r="L74">
            <v>2.15</v>
          </cell>
          <cell r="M74">
            <v>0.18</v>
          </cell>
          <cell r="N74">
            <v>7183</v>
          </cell>
          <cell r="O74">
            <v>0.32</v>
          </cell>
          <cell r="P74">
            <v>0.02</v>
          </cell>
          <cell r="Q74">
            <v>5.68</v>
          </cell>
          <cell r="R74">
            <v>11853</v>
          </cell>
          <cell r="S74">
            <v>572</v>
          </cell>
          <cell r="T74">
            <v>581</v>
          </cell>
          <cell r="U74">
            <v>480</v>
          </cell>
          <cell r="V74">
            <v>2.15</v>
          </cell>
          <cell r="W74">
            <v>0.18</v>
          </cell>
          <cell r="X74">
            <v>2.67</v>
          </cell>
          <cell r="Y74">
            <v>0.32</v>
          </cell>
          <cell r="Z74">
            <v>0.02</v>
          </cell>
          <cell r="AA74">
            <v>5.68</v>
          </cell>
          <cell r="AB74">
            <v>11853</v>
          </cell>
          <cell r="AC74">
            <v>1032</v>
          </cell>
          <cell r="AD74">
            <v>104.58</v>
          </cell>
          <cell r="AE74">
            <v>1527.24</v>
          </cell>
          <cell r="AF74">
            <v>185.92000000000002</v>
          </cell>
          <cell r="AG74">
            <v>5058</v>
          </cell>
          <cell r="AH74">
            <v>3248.96</v>
          </cell>
          <cell r="AI74">
            <v>2659.0124999999998</v>
          </cell>
          <cell r="AJ74">
            <v>297.5</v>
          </cell>
          <cell r="AK74">
            <v>737.87</v>
          </cell>
          <cell r="AL74">
            <v>127</v>
          </cell>
          <cell r="AM74">
            <v>175</v>
          </cell>
          <cell r="AN74">
            <v>1236.75</v>
          </cell>
          <cell r="AO74">
            <v>2.15</v>
          </cell>
          <cell r="AP74">
            <v>1.7</v>
          </cell>
          <cell r="AQ74">
            <v>5.81</v>
          </cell>
          <cell r="AR74">
            <v>0.39</v>
          </cell>
          <cell r="AS74">
            <v>0.02</v>
          </cell>
          <cell r="AT74">
            <v>11.43</v>
          </cell>
          <cell r="AU74">
            <v>1032</v>
          </cell>
          <cell r="AV74">
            <v>104.58</v>
          </cell>
          <cell r="AW74">
            <v>1527.24</v>
          </cell>
          <cell r="AX74">
            <v>185.92000000000002</v>
          </cell>
          <cell r="AY74">
            <v>9.6</v>
          </cell>
          <cell r="AZ74">
            <v>3248.96</v>
          </cell>
          <cell r="BA74">
            <v>2659.0124999999998</v>
          </cell>
          <cell r="BB74">
            <v>297.5</v>
          </cell>
          <cell r="BC74">
            <v>737.87</v>
          </cell>
          <cell r="BD74">
            <v>68.25</v>
          </cell>
          <cell r="BE74">
            <v>24.734999999999999</v>
          </cell>
          <cell r="BF74">
            <v>1451.61</v>
          </cell>
          <cell r="BG74">
            <v>1.0722454031987015E-3</v>
          </cell>
          <cell r="BH74">
            <v>3.5904999999999996</v>
          </cell>
        </row>
        <row r="75">
          <cell r="A75" t="str">
            <v>EF</v>
          </cell>
          <cell r="B75" t="str">
            <v>CY</v>
          </cell>
          <cell r="C75" t="str">
            <v>G</v>
          </cell>
          <cell r="D75" t="str">
            <v>G</v>
          </cell>
          <cell r="E75">
            <v>19146</v>
          </cell>
          <cell r="F75">
            <v>10700</v>
          </cell>
          <cell r="G75">
            <v>16944</v>
          </cell>
          <cell r="H75">
            <v>10077</v>
          </cell>
          <cell r="I75">
            <v>16944</v>
          </cell>
          <cell r="J75">
            <v>631</v>
          </cell>
          <cell r="K75">
            <v>286</v>
          </cell>
          <cell r="L75">
            <v>5.23</v>
          </cell>
          <cell r="M75">
            <v>0.61</v>
          </cell>
          <cell r="N75">
            <v>10077</v>
          </cell>
          <cell r="O75">
            <v>0.36</v>
          </cell>
          <cell r="P75">
            <v>0.28000000000000003</v>
          </cell>
          <cell r="Q75">
            <v>48.85</v>
          </cell>
          <cell r="R75">
            <v>2203</v>
          </cell>
          <cell r="S75">
            <v>594</v>
          </cell>
          <cell r="T75">
            <v>631</v>
          </cell>
          <cell r="U75">
            <v>286</v>
          </cell>
          <cell r="V75">
            <v>5.23</v>
          </cell>
          <cell r="W75">
            <v>0.61</v>
          </cell>
          <cell r="X75">
            <v>0.9</v>
          </cell>
          <cell r="Y75">
            <v>0.36</v>
          </cell>
          <cell r="Z75">
            <v>0.28000000000000003</v>
          </cell>
          <cell r="AA75">
            <v>48.85</v>
          </cell>
          <cell r="AB75">
            <v>2203</v>
          </cell>
          <cell r="AC75">
            <v>1495.7800000000002</v>
          </cell>
          <cell r="AD75">
            <v>384.90999999999997</v>
          </cell>
          <cell r="AE75">
            <v>534.6</v>
          </cell>
          <cell r="AF75">
            <v>227.16</v>
          </cell>
          <cell r="AG75">
            <v>623</v>
          </cell>
          <cell r="AH75">
            <v>29016.9</v>
          </cell>
          <cell r="AI75">
            <v>396.71999999999997</v>
          </cell>
          <cell r="AJ75">
            <v>128.76000000000002</v>
          </cell>
          <cell r="AK75">
            <v>181.72</v>
          </cell>
          <cell r="AL75">
            <v>28</v>
          </cell>
          <cell r="AM75">
            <v>29</v>
          </cell>
          <cell r="AN75">
            <v>76</v>
          </cell>
          <cell r="AO75">
            <v>5.22</v>
          </cell>
          <cell r="AP75">
            <v>4.4400000000000004</v>
          </cell>
          <cell r="AQ75">
            <v>6.49</v>
          </cell>
          <cell r="AR75">
            <v>2.0699999999999998</v>
          </cell>
          <cell r="AS75">
            <v>0.21</v>
          </cell>
          <cell r="AT75">
            <v>22.976099419010701</v>
          </cell>
          <cell r="AU75">
            <v>1495.7800000000002</v>
          </cell>
          <cell r="AV75">
            <v>384.90999999999997</v>
          </cell>
          <cell r="AW75">
            <v>534.6</v>
          </cell>
          <cell r="AX75">
            <v>227.16</v>
          </cell>
          <cell r="AY75">
            <v>80.080000000000013</v>
          </cell>
          <cell r="AZ75">
            <v>29016.9</v>
          </cell>
          <cell r="BA75">
            <v>396.71999999999997</v>
          </cell>
          <cell r="BB75">
            <v>128.76000000000002</v>
          </cell>
          <cell r="BC75">
            <v>181.72</v>
          </cell>
          <cell r="BD75">
            <v>60.029999999999994</v>
          </cell>
          <cell r="BE75">
            <v>15.959999999999999</v>
          </cell>
          <cell r="BF75">
            <v>643.33078373229966</v>
          </cell>
          <cell r="BG75">
            <v>7.8475575266216896E-4</v>
          </cell>
          <cell r="BH75">
            <v>8.7173999999999996</v>
          </cell>
        </row>
        <row r="76">
          <cell r="A76" t="str">
            <v>ME</v>
          </cell>
          <cell r="B76" t="str">
            <v>YE</v>
          </cell>
          <cell r="C76" t="str">
            <v>G</v>
          </cell>
          <cell r="D76" t="str">
            <v>G</v>
          </cell>
          <cell r="E76">
            <v>19037</v>
          </cell>
          <cell r="F76">
            <v>10690</v>
          </cell>
          <cell r="G76">
            <v>9954</v>
          </cell>
          <cell r="H76">
            <v>5903</v>
          </cell>
          <cell r="I76">
            <v>9954</v>
          </cell>
          <cell r="J76">
            <v>234</v>
          </cell>
          <cell r="K76">
            <v>118</v>
          </cell>
          <cell r="L76">
            <v>5.19</v>
          </cell>
          <cell r="M76">
            <v>0.78</v>
          </cell>
          <cell r="N76">
            <v>5903</v>
          </cell>
          <cell r="O76">
            <v>0.5</v>
          </cell>
          <cell r="P76">
            <v>0.23</v>
          </cell>
          <cell r="Q76">
            <v>13.85</v>
          </cell>
          <cell r="R76">
            <v>9083</v>
          </cell>
          <cell r="S76">
            <v>234</v>
          </cell>
          <cell r="T76">
            <v>234</v>
          </cell>
          <cell r="U76">
            <v>118</v>
          </cell>
          <cell r="V76">
            <v>5.19</v>
          </cell>
          <cell r="W76">
            <v>0.78</v>
          </cell>
          <cell r="X76">
            <v>1.76</v>
          </cell>
          <cell r="Y76">
            <v>0.5</v>
          </cell>
          <cell r="Z76">
            <v>0.23</v>
          </cell>
          <cell r="AA76">
            <v>13.85</v>
          </cell>
          <cell r="AB76">
            <v>9083</v>
          </cell>
          <cell r="AC76">
            <v>612.42000000000007</v>
          </cell>
          <cell r="AD76">
            <v>182.52</v>
          </cell>
          <cell r="AE76">
            <v>411.84</v>
          </cell>
          <cell r="AF76">
            <v>117</v>
          </cell>
          <cell r="AG76">
            <v>4787</v>
          </cell>
          <cell r="AH76">
            <v>3240.9</v>
          </cell>
          <cell r="AI76">
            <v>1487.9549999999999</v>
          </cell>
          <cell r="AJ76">
            <v>372.78000000000003</v>
          </cell>
          <cell r="AK76">
            <v>578.55000000000007</v>
          </cell>
          <cell r="AL76">
            <v>57</v>
          </cell>
          <cell r="AM76">
            <v>57</v>
          </cell>
          <cell r="AN76">
            <v>287.25</v>
          </cell>
          <cell r="AO76">
            <v>5.18</v>
          </cell>
          <cell r="AP76">
            <v>6.54</v>
          </cell>
          <cell r="AQ76">
            <v>10.15</v>
          </cell>
          <cell r="AR76">
            <v>0.86</v>
          </cell>
          <cell r="AS76">
            <v>0.17</v>
          </cell>
          <cell r="AT76">
            <v>21.02</v>
          </cell>
          <cell r="AU76">
            <v>612.42000000000007</v>
          </cell>
          <cell r="AV76">
            <v>182.52</v>
          </cell>
          <cell r="AW76">
            <v>411.84</v>
          </cell>
          <cell r="AX76">
            <v>117</v>
          </cell>
          <cell r="AY76">
            <v>27.14</v>
          </cell>
          <cell r="AZ76">
            <v>3240.9</v>
          </cell>
          <cell r="BA76">
            <v>1487.9549999999999</v>
          </cell>
          <cell r="BB76">
            <v>372.78000000000003</v>
          </cell>
          <cell r="BC76">
            <v>578.55000000000007</v>
          </cell>
          <cell r="BD76">
            <v>49.019999999999996</v>
          </cell>
          <cell r="BE76">
            <v>48.832500000000003</v>
          </cell>
          <cell r="BF76">
            <v>1198.1399999999999</v>
          </cell>
          <cell r="BG76">
            <v>7.8028806348217435E-4</v>
          </cell>
          <cell r="BH76">
            <v>8.650599999999999</v>
          </cell>
        </row>
        <row r="77">
          <cell r="A77" t="str">
            <v>ME</v>
          </cell>
          <cell r="B77" t="str">
            <v>JO</v>
          </cell>
          <cell r="C77" t="str">
            <v>G</v>
          </cell>
          <cell r="D77" t="str">
            <v>G</v>
          </cell>
          <cell r="E77">
            <v>18482</v>
          </cell>
          <cell r="F77">
            <v>11208</v>
          </cell>
          <cell r="G77">
            <v>11064</v>
          </cell>
          <cell r="H77">
            <v>6869</v>
          </cell>
          <cell r="I77">
            <v>11064</v>
          </cell>
          <cell r="J77">
            <v>305</v>
          </cell>
          <cell r="K77">
            <v>119.5</v>
          </cell>
          <cell r="L77">
            <v>4.43</v>
          </cell>
          <cell r="M77">
            <v>0.73</v>
          </cell>
          <cell r="N77">
            <v>6869</v>
          </cell>
          <cell r="O77">
            <v>0.25</v>
          </cell>
          <cell r="P77">
            <v>0.16</v>
          </cell>
          <cell r="Q77">
            <v>11.43</v>
          </cell>
          <cell r="R77">
            <v>7419</v>
          </cell>
          <cell r="S77">
            <v>304</v>
          </cell>
          <cell r="T77">
            <v>305</v>
          </cell>
          <cell r="U77">
            <v>119.5</v>
          </cell>
          <cell r="V77">
            <v>4.43</v>
          </cell>
          <cell r="W77">
            <v>0.73</v>
          </cell>
          <cell r="X77">
            <v>1.82</v>
          </cell>
          <cell r="Y77">
            <v>0.25</v>
          </cell>
          <cell r="Z77">
            <v>0.16</v>
          </cell>
          <cell r="AA77">
            <v>11.43</v>
          </cell>
          <cell r="AB77">
            <v>7419</v>
          </cell>
          <cell r="AC77">
            <v>529.38499999999999</v>
          </cell>
          <cell r="AD77">
            <v>222.65</v>
          </cell>
          <cell r="AE77">
            <v>553.28</v>
          </cell>
          <cell r="AF77">
            <v>76.25</v>
          </cell>
          <cell r="AG77">
            <v>4338</v>
          </cell>
          <cell r="AH77">
            <v>3474.72</v>
          </cell>
          <cell r="AI77">
            <v>887.31499999999994</v>
          </cell>
          <cell r="AJ77">
            <v>281.88</v>
          </cell>
          <cell r="AK77">
            <v>248.57000000000002</v>
          </cell>
          <cell r="AL77">
            <v>53</v>
          </cell>
          <cell r="AM77">
            <v>54</v>
          </cell>
          <cell r="AN77">
            <v>200.75</v>
          </cell>
          <cell r="AO77">
            <v>4.42</v>
          </cell>
          <cell r="AP77">
            <v>5.22</v>
          </cell>
          <cell r="AQ77">
            <v>4.6900000000000004</v>
          </cell>
          <cell r="AR77">
            <v>0.6</v>
          </cell>
          <cell r="AS77">
            <v>0.17</v>
          </cell>
          <cell r="AT77">
            <v>189.77</v>
          </cell>
          <cell r="AU77">
            <v>529.38499999999999</v>
          </cell>
          <cell r="AV77">
            <v>222.65</v>
          </cell>
          <cell r="AW77">
            <v>553.28</v>
          </cell>
          <cell r="AX77">
            <v>76.25</v>
          </cell>
          <cell r="AY77">
            <v>19.12</v>
          </cell>
          <cell r="AZ77">
            <v>3474.72</v>
          </cell>
          <cell r="BA77">
            <v>887.31499999999994</v>
          </cell>
          <cell r="BB77">
            <v>281.88</v>
          </cell>
          <cell r="BC77">
            <v>248.57000000000002</v>
          </cell>
          <cell r="BD77">
            <v>32.4</v>
          </cell>
          <cell r="BE77">
            <v>34.127500000000005</v>
          </cell>
          <cell r="BF77">
            <v>10057.810000000001</v>
          </cell>
          <cell r="BG77">
            <v>7.5753973784091749E-4</v>
          </cell>
          <cell r="BH77">
            <v>7.3813999999999993</v>
          </cell>
        </row>
        <row r="78">
          <cell r="A78" t="str">
            <v>EB</v>
          </cell>
          <cell r="B78" t="str">
            <v>PT</v>
          </cell>
          <cell r="C78" t="str">
            <v>G</v>
          </cell>
          <cell r="D78" t="str">
            <v>G</v>
          </cell>
          <cell r="E78">
            <v>17683</v>
          </cell>
          <cell r="F78">
            <v>6161</v>
          </cell>
          <cell r="G78">
            <v>7512</v>
          </cell>
          <cell r="H78">
            <v>3241</v>
          </cell>
          <cell r="I78">
            <v>7512</v>
          </cell>
          <cell r="J78">
            <v>280</v>
          </cell>
          <cell r="K78">
            <v>119.5</v>
          </cell>
          <cell r="L78">
            <v>4.93</v>
          </cell>
          <cell r="M78">
            <v>0.65</v>
          </cell>
          <cell r="N78">
            <v>3241</v>
          </cell>
          <cell r="O78">
            <v>1.1200000000000001</v>
          </cell>
          <cell r="P78">
            <v>0.19</v>
          </cell>
          <cell r="Q78">
            <v>29.1030772849311</v>
          </cell>
          <cell r="R78">
            <v>10171</v>
          </cell>
          <cell r="S78">
            <v>280</v>
          </cell>
          <cell r="T78">
            <v>280</v>
          </cell>
          <cell r="U78">
            <v>119.5</v>
          </cell>
          <cell r="V78">
            <v>4.93</v>
          </cell>
          <cell r="W78">
            <v>0.65</v>
          </cell>
          <cell r="X78">
            <v>2.85</v>
          </cell>
          <cell r="Y78">
            <v>1.1200000000000001</v>
          </cell>
          <cell r="Z78">
            <v>0.19</v>
          </cell>
          <cell r="AA78">
            <v>29.1030772849311</v>
          </cell>
          <cell r="AB78">
            <v>10171</v>
          </cell>
          <cell r="AC78">
            <v>589.13499999999999</v>
          </cell>
          <cell r="AD78">
            <v>182</v>
          </cell>
          <cell r="AE78">
            <v>798</v>
          </cell>
          <cell r="AF78">
            <v>313.60000000000002</v>
          </cell>
          <cell r="AG78">
            <v>2920</v>
          </cell>
          <cell r="AH78">
            <v>8148.8616397807082</v>
          </cell>
          <cell r="AI78">
            <v>2854.47</v>
          </cell>
          <cell r="AJ78">
            <v>495.40999999999997</v>
          </cell>
          <cell r="AK78">
            <v>863.88000000000011</v>
          </cell>
          <cell r="AL78">
            <v>92</v>
          </cell>
          <cell r="AM78">
            <v>107</v>
          </cell>
          <cell r="AN78">
            <v>579</v>
          </cell>
          <cell r="AO78">
            <v>4.93</v>
          </cell>
          <cell r="AP78">
            <v>4.63</v>
          </cell>
          <cell r="AQ78">
            <v>9.39</v>
          </cell>
          <cell r="AR78">
            <v>2.06</v>
          </cell>
          <cell r="AS78">
            <v>0.09</v>
          </cell>
          <cell r="AT78">
            <v>41.896216004238802</v>
          </cell>
          <cell r="AU78">
            <v>589.13499999999999</v>
          </cell>
          <cell r="AV78">
            <v>182</v>
          </cell>
          <cell r="AW78">
            <v>798</v>
          </cell>
          <cell r="AX78">
            <v>313.60000000000002</v>
          </cell>
          <cell r="AY78">
            <v>22.705000000000002</v>
          </cell>
          <cell r="AZ78">
            <v>8148.8616397807082</v>
          </cell>
          <cell r="BA78">
            <v>2854.47</v>
          </cell>
          <cell r="BB78">
            <v>495.40999999999997</v>
          </cell>
          <cell r="BC78">
            <v>863.88000000000011</v>
          </cell>
          <cell r="BD78">
            <v>220.42000000000002</v>
          </cell>
          <cell r="BE78">
            <v>52.11</v>
          </cell>
          <cell r="BF78">
            <v>3854.4518723899696</v>
          </cell>
          <cell r="BG78">
            <v>7.2479034651233326E-4</v>
          </cell>
          <cell r="BH78">
            <v>8.2330999999999985</v>
          </cell>
        </row>
        <row r="79">
          <cell r="A79" t="str">
            <v>ME</v>
          </cell>
          <cell r="B79" t="str">
            <v>LB</v>
          </cell>
          <cell r="C79" t="str">
            <v>G</v>
          </cell>
          <cell r="D79" t="str">
            <v>G</v>
          </cell>
          <cell r="E79">
            <v>15668</v>
          </cell>
          <cell r="F79">
            <v>7777</v>
          </cell>
          <cell r="G79">
            <v>10116</v>
          </cell>
          <cell r="H79">
            <v>5362</v>
          </cell>
          <cell r="I79">
            <v>10116</v>
          </cell>
          <cell r="J79">
            <v>298</v>
          </cell>
          <cell r="K79">
            <v>129.5</v>
          </cell>
          <cell r="L79">
            <v>3.31</v>
          </cell>
          <cell r="M79">
            <v>0.71</v>
          </cell>
          <cell r="N79">
            <v>5362</v>
          </cell>
          <cell r="O79">
            <v>0.55000000000000004</v>
          </cell>
          <cell r="P79">
            <v>0.2</v>
          </cell>
          <cell r="Q79">
            <v>21.02</v>
          </cell>
          <cell r="R79">
            <v>5552</v>
          </cell>
          <cell r="S79">
            <v>298</v>
          </cell>
          <cell r="T79">
            <v>298</v>
          </cell>
          <cell r="U79">
            <v>129.5</v>
          </cell>
          <cell r="V79">
            <v>3.31</v>
          </cell>
          <cell r="W79">
            <v>0.71</v>
          </cell>
          <cell r="X79">
            <v>3.44</v>
          </cell>
          <cell r="Y79">
            <v>0.55000000000000004</v>
          </cell>
          <cell r="Z79">
            <v>0.2</v>
          </cell>
          <cell r="AA79">
            <v>21.02</v>
          </cell>
          <cell r="AB79">
            <v>5552</v>
          </cell>
          <cell r="AC79">
            <v>428.64499999999998</v>
          </cell>
          <cell r="AD79">
            <v>211.57999999999998</v>
          </cell>
          <cell r="AE79">
            <v>1025.1199999999999</v>
          </cell>
          <cell r="AF79">
            <v>163.9</v>
          </cell>
          <cell r="AG79">
            <v>2415</v>
          </cell>
          <cell r="AH79">
            <v>6263.96</v>
          </cell>
          <cell r="AI79">
            <v>504.9</v>
          </cell>
          <cell r="AJ79">
            <v>359.04</v>
          </cell>
          <cell r="AK79">
            <v>591</v>
          </cell>
          <cell r="AL79">
            <v>60</v>
          </cell>
          <cell r="AM79">
            <v>64</v>
          </cell>
          <cell r="AN79">
            <v>153</v>
          </cell>
          <cell r="AO79">
            <v>3.3</v>
          </cell>
          <cell r="AP79">
            <v>5.61</v>
          </cell>
          <cell r="AQ79">
            <v>9.85</v>
          </cell>
          <cell r="AR79">
            <v>1.17</v>
          </cell>
          <cell r="AS79">
            <v>7.0000000000000007E-2</v>
          </cell>
          <cell r="AT79">
            <v>11.82</v>
          </cell>
          <cell r="AU79">
            <v>428.64499999999998</v>
          </cell>
          <cell r="AV79">
            <v>211.57999999999998</v>
          </cell>
          <cell r="AW79">
            <v>1025.1199999999999</v>
          </cell>
          <cell r="AX79">
            <v>163.9</v>
          </cell>
          <cell r="AY79">
            <v>25.900000000000002</v>
          </cell>
          <cell r="AZ79">
            <v>6263.96</v>
          </cell>
          <cell r="BA79">
            <v>504.9</v>
          </cell>
          <cell r="BB79">
            <v>359.04</v>
          </cell>
          <cell r="BC79">
            <v>591</v>
          </cell>
          <cell r="BD79">
            <v>74.88</v>
          </cell>
          <cell r="BE79">
            <v>10.71</v>
          </cell>
          <cell r="BF79">
            <v>709.2</v>
          </cell>
          <cell r="BG79">
            <v>6.4219957864362594E-4</v>
          </cell>
          <cell r="BH79">
            <v>5.5109999999999992</v>
          </cell>
        </row>
        <row r="80">
          <cell r="A80" t="str">
            <v>EE</v>
          </cell>
          <cell r="B80" t="str">
            <v>CZ</v>
          </cell>
          <cell r="C80" t="str">
            <v>G</v>
          </cell>
          <cell r="D80" t="str">
            <v>G</v>
          </cell>
          <cell r="E80">
            <v>11059</v>
          </cell>
          <cell r="F80">
            <v>3282</v>
          </cell>
          <cell r="G80">
            <v>6471</v>
          </cell>
          <cell r="H80">
            <v>2378</v>
          </cell>
          <cell r="I80">
            <v>6471</v>
          </cell>
          <cell r="J80">
            <v>256</v>
          </cell>
          <cell r="K80">
            <v>101.5</v>
          </cell>
          <cell r="L80">
            <v>4.05</v>
          </cell>
          <cell r="M80">
            <v>0.57999999999999996</v>
          </cell>
          <cell r="N80">
            <v>2378</v>
          </cell>
          <cell r="O80">
            <v>0.62</v>
          </cell>
          <cell r="P80">
            <v>0.28000000000000003</v>
          </cell>
          <cell r="Q80">
            <v>30.9534315839154</v>
          </cell>
          <cell r="R80">
            <v>4588</v>
          </cell>
          <cell r="S80">
            <v>256</v>
          </cell>
          <cell r="T80">
            <v>256</v>
          </cell>
          <cell r="U80">
            <v>101.5</v>
          </cell>
          <cell r="V80">
            <v>4.05</v>
          </cell>
          <cell r="W80">
            <v>0.57999999999999996</v>
          </cell>
          <cell r="X80">
            <v>2.06</v>
          </cell>
          <cell r="Y80">
            <v>0.62</v>
          </cell>
          <cell r="Z80">
            <v>0.28000000000000003</v>
          </cell>
          <cell r="AA80">
            <v>30.9534315839154</v>
          </cell>
          <cell r="AB80">
            <v>4588</v>
          </cell>
          <cell r="AC80">
            <v>411.07499999999999</v>
          </cell>
          <cell r="AD80">
            <v>148.47999999999999</v>
          </cell>
          <cell r="AE80">
            <v>527.36</v>
          </cell>
          <cell r="AF80">
            <v>158.72</v>
          </cell>
          <cell r="AG80">
            <v>905</v>
          </cell>
          <cell r="AH80">
            <v>7924.0784854823423</v>
          </cell>
          <cell r="AI80">
            <v>1509.6375</v>
          </cell>
          <cell r="AJ80">
            <v>290.43</v>
          </cell>
          <cell r="AK80">
            <v>346.05</v>
          </cell>
          <cell r="AL80">
            <v>45</v>
          </cell>
          <cell r="AM80">
            <v>63</v>
          </cell>
          <cell r="AN80">
            <v>372.75</v>
          </cell>
          <cell r="AO80">
            <v>4.05</v>
          </cell>
          <cell r="AP80">
            <v>4.6100000000000003</v>
          </cell>
          <cell r="AQ80">
            <v>7.69</v>
          </cell>
          <cell r="AR80">
            <v>1.86</v>
          </cell>
          <cell r="AS80">
            <v>0.21</v>
          </cell>
          <cell r="AT80">
            <v>31.86</v>
          </cell>
          <cell r="AU80">
            <v>411.07499999999999</v>
          </cell>
          <cell r="AV80">
            <v>148.47999999999999</v>
          </cell>
          <cell r="AW80">
            <v>527.36</v>
          </cell>
          <cell r="AX80">
            <v>158.72</v>
          </cell>
          <cell r="AY80">
            <v>28.42</v>
          </cell>
          <cell r="AZ80">
            <v>7924.0784854823423</v>
          </cell>
          <cell r="BA80">
            <v>1509.6375</v>
          </cell>
          <cell r="BB80">
            <v>290.43</v>
          </cell>
          <cell r="BC80">
            <v>346.05</v>
          </cell>
          <cell r="BD80">
            <v>117.18</v>
          </cell>
          <cell r="BE80">
            <v>78.277500000000003</v>
          </cell>
          <cell r="BF80">
            <v>1433.7</v>
          </cell>
          <cell r="BG80">
            <v>4.5328600588587307E-4</v>
          </cell>
          <cell r="BH80">
            <v>6.7634999999999996</v>
          </cell>
        </row>
        <row r="81">
          <cell r="A81" t="str">
            <v>ME</v>
          </cell>
          <cell r="B81" t="str">
            <v>SY</v>
          </cell>
          <cell r="C81" t="str">
            <v>G</v>
          </cell>
          <cell r="D81" t="str">
            <v>G</v>
          </cell>
          <cell r="E81">
            <v>9646</v>
          </cell>
          <cell r="F81">
            <v>5710</v>
          </cell>
          <cell r="G81">
            <v>5900</v>
          </cell>
          <cell r="H81">
            <v>3692</v>
          </cell>
          <cell r="I81">
            <v>5900</v>
          </cell>
          <cell r="J81">
            <v>183</v>
          </cell>
          <cell r="K81">
            <v>54.75</v>
          </cell>
          <cell r="L81">
            <v>3.4</v>
          </cell>
          <cell r="M81">
            <v>0.67</v>
          </cell>
          <cell r="N81">
            <v>3692</v>
          </cell>
          <cell r="O81">
            <v>0.5</v>
          </cell>
          <cell r="P81">
            <v>0.28999999999999998</v>
          </cell>
          <cell r="Q81">
            <v>14.12</v>
          </cell>
          <cell r="R81">
            <v>3746</v>
          </cell>
          <cell r="S81">
            <v>183</v>
          </cell>
          <cell r="T81">
            <v>183</v>
          </cell>
          <cell r="U81">
            <v>54.75</v>
          </cell>
          <cell r="V81">
            <v>3.4</v>
          </cell>
          <cell r="W81">
            <v>0.67</v>
          </cell>
          <cell r="X81">
            <v>1.47</v>
          </cell>
          <cell r="Y81">
            <v>0.5</v>
          </cell>
          <cell r="Z81">
            <v>0.28999999999999998</v>
          </cell>
          <cell r="AA81">
            <v>14.12</v>
          </cell>
          <cell r="AB81">
            <v>3746</v>
          </cell>
          <cell r="AC81">
            <v>186.15</v>
          </cell>
          <cell r="AD81">
            <v>122.61000000000001</v>
          </cell>
          <cell r="AE81">
            <v>269.01</v>
          </cell>
          <cell r="AF81">
            <v>91.5</v>
          </cell>
          <cell r="AG81">
            <v>2018</v>
          </cell>
          <cell r="AH81">
            <v>2583.96</v>
          </cell>
          <cell r="AI81">
            <v>301.71000000000004</v>
          </cell>
          <cell r="AJ81">
            <v>214.01999999999998</v>
          </cell>
          <cell r="AK81">
            <v>289.56</v>
          </cell>
          <cell r="AL81">
            <v>38</v>
          </cell>
          <cell r="AM81">
            <v>41</v>
          </cell>
          <cell r="AN81">
            <v>89</v>
          </cell>
          <cell r="AO81">
            <v>3.39</v>
          </cell>
          <cell r="AP81">
            <v>5.22</v>
          </cell>
          <cell r="AQ81">
            <v>7.62</v>
          </cell>
          <cell r="AR81">
            <v>1.03</v>
          </cell>
          <cell r="AS81">
            <v>0.27</v>
          </cell>
          <cell r="AT81">
            <v>16.089102718890999</v>
          </cell>
          <cell r="AU81">
            <v>186.15</v>
          </cell>
          <cell r="AV81">
            <v>122.61000000000001</v>
          </cell>
          <cell r="AW81">
            <v>269.01</v>
          </cell>
          <cell r="AX81">
            <v>91.5</v>
          </cell>
          <cell r="AY81">
            <v>15.8775</v>
          </cell>
          <cell r="AZ81">
            <v>2583.96</v>
          </cell>
          <cell r="BA81">
            <v>301.71000000000004</v>
          </cell>
          <cell r="BB81">
            <v>214.01999999999998</v>
          </cell>
          <cell r="BC81">
            <v>289.56</v>
          </cell>
          <cell r="BD81">
            <v>42.230000000000004</v>
          </cell>
          <cell r="BE81">
            <v>24.03</v>
          </cell>
          <cell r="BF81">
            <v>611.38590331785792</v>
          </cell>
          <cell r="BG81">
            <v>3.9536999844245698E-4</v>
          </cell>
          <cell r="BH81">
            <v>5.6612999999999998</v>
          </cell>
        </row>
        <row r="82">
          <cell r="A82" t="str">
            <v>EE</v>
          </cell>
          <cell r="B82" t="str">
            <v>BG</v>
          </cell>
          <cell r="C82" t="str">
            <v>G</v>
          </cell>
          <cell r="D82" t="str">
            <v>G</v>
          </cell>
          <cell r="E82">
            <v>4480</v>
          </cell>
          <cell r="F82">
            <v>1523</v>
          </cell>
          <cell r="G82">
            <v>2018</v>
          </cell>
          <cell r="H82">
            <v>698</v>
          </cell>
          <cell r="I82">
            <v>2018</v>
          </cell>
          <cell r="J82">
            <v>89</v>
          </cell>
          <cell r="K82">
            <v>41.75</v>
          </cell>
          <cell r="L82">
            <v>6.95</v>
          </cell>
          <cell r="M82">
            <v>0.65</v>
          </cell>
          <cell r="N82">
            <v>698</v>
          </cell>
          <cell r="O82">
            <v>0.9</v>
          </cell>
          <cell r="P82">
            <v>0.36</v>
          </cell>
          <cell r="Q82">
            <v>20.58</v>
          </cell>
          <cell r="R82">
            <v>2463</v>
          </cell>
          <cell r="S82">
            <v>89</v>
          </cell>
          <cell r="T82">
            <v>89</v>
          </cell>
          <cell r="U82">
            <v>41.75</v>
          </cell>
          <cell r="V82">
            <v>6.95</v>
          </cell>
          <cell r="W82">
            <v>0.65</v>
          </cell>
          <cell r="X82">
            <v>2.68</v>
          </cell>
          <cell r="Y82">
            <v>0.9</v>
          </cell>
          <cell r="Z82">
            <v>0.36</v>
          </cell>
          <cell r="AA82">
            <v>20.58</v>
          </cell>
          <cell r="AB82">
            <v>2463</v>
          </cell>
          <cell r="AC82">
            <v>290.16250000000002</v>
          </cell>
          <cell r="AD82">
            <v>57.85</v>
          </cell>
          <cell r="AE82">
            <v>238.52</v>
          </cell>
          <cell r="AF82">
            <v>80.100000000000009</v>
          </cell>
          <cell r="AG82">
            <v>825</v>
          </cell>
          <cell r="AH82">
            <v>1831.62</v>
          </cell>
          <cell r="AI82">
            <v>800.98750000000007</v>
          </cell>
          <cell r="AJ82">
            <v>128.76000000000002</v>
          </cell>
          <cell r="AK82">
            <v>0.25</v>
          </cell>
          <cell r="AL82">
            <v>25</v>
          </cell>
          <cell r="AM82">
            <v>29</v>
          </cell>
          <cell r="AN82">
            <v>115.25</v>
          </cell>
          <cell r="AO82">
            <v>6.95</v>
          </cell>
          <cell r="AP82">
            <v>4.4400000000000004</v>
          </cell>
          <cell r="AQ82">
            <v>0.01</v>
          </cell>
          <cell r="AR82">
            <v>0.01</v>
          </cell>
          <cell r="AS82">
            <v>0.35</v>
          </cell>
          <cell r="AT82">
            <v>17.3035408002333</v>
          </cell>
          <cell r="AU82">
            <v>290.16250000000002</v>
          </cell>
          <cell r="AV82">
            <v>57.85</v>
          </cell>
          <cell r="AW82">
            <v>238.52</v>
          </cell>
          <cell r="AX82">
            <v>80.100000000000009</v>
          </cell>
          <cell r="AY82">
            <v>15.03</v>
          </cell>
          <cell r="AZ82">
            <v>1831.62</v>
          </cell>
          <cell r="BA82">
            <v>800.98750000000007</v>
          </cell>
          <cell r="BB82">
            <v>128.76000000000002</v>
          </cell>
          <cell r="BC82">
            <v>0.25</v>
          </cell>
          <cell r="BD82">
            <v>0.28999999999999998</v>
          </cell>
          <cell r="BE82">
            <v>40.337499999999999</v>
          </cell>
          <cell r="BF82">
            <v>432.58852000583249</v>
          </cell>
          <cell r="BG82">
            <v>1.8362612409519047E-4</v>
          </cell>
          <cell r="BH82">
            <v>11.6065</v>
          </cell>
        </row>
        <row r="83">
          <cell r="A83" t="str">
            <v>EE</v>
          </cell>
          <cell r="B83" t="str">
            <v>RO</v>
          </cell>
          <cell r="C83" t="str">
            <v>G</v>
          </cell>
          <cell r="D83" t="str">
            <v>G</v>
          </cell>
          <cell r="E83">
            <v>4048</v>
          </cell>
          <cell r="F83">
            <v>995</v>
          </cell>
          <cell r="G83">
            <v>1735</v>
          </cell>
          <cell r="H83">
            <v>325</v>
          </cell>
          <cell r="I83">
            <v>1735</v>
          </cell>
          <cell r="J83">
            <v>78</v>
          </cell>
          <cell r="K83">
            <v>25.5</v>
          </cell>
          <cell r="L83">
            <v>3.76</v>
          </cell>
          <cell r="M83">
            <v>0.56999999999999995</v>
          </cell>
          <cell r="N83">
            <v>325</v>
          </cell>
          <cell r="O83">
            <v>1.85</v>
          </cell>
          <cell r="P83">
            <v>0.42</v>
          </cell>
          <cell r="Q83">
            <v>43.35</v>
          </cell>
          <cell r="R83">
            <v>2313</v>
          </cell>
          <cell r="S83">
            <v>78</v>
          </cell>
          <cell r="T83">
            <v>78</v>
          </cell>
          <cell r="U83">
            <v>25.5</v>
          </cell>
          <cell r="V83">
            <v>3.76</v>
          </cell>
          <cell r="W83">
            <v>0.56999999999999995</v>
          </cell>
          <cell r="X83">
            <v>4.16</v>
          </cell>
          <cell r="Y83">
            <v>1.85</v>
          </cell>
          <cell r="Z83">
            <v>0.42</v>
          </cell>
          <cell r="AA83">
            <v>43.35</v>
          </cell>
          <cell r="AB83">
            <v>2313</v>
          </cell>
          <cell r="AC83">
            <v>95.88</v>
          </cell>
          <cell r="AD83">
            <v>44.459999999999994</v>
          </cell>
          <cell r="AE83">
            <v>324.48</v>
          </cell>
          <cell r="AF83">
            <v>144.30000000000001</v>
          </cell>
          <cell r="AG83">
            <v>669</v>
          </cell>
          <cell r="AH83">
            <v>3381.3</v>
          </cell>
          <cell r="AI83">
            <v>353.4375</v>
          </cell>
          <cell r="AJ83">
            <v>111.00000000000001</v>
          </cell>
          <cell r="AK83">
            <v>305.66999999999996</v>
          </cell>
          <cell r="AL83">
            <v>23</v>
          </cell>
          <cell r="AM83">
            <v>25</v>
          </cell>
          <cell r="AN83">
            <v>94.25</v>
          </cell>
          <cell r="AO83">
            <v>3.75</v>
          </cell>
          <cell r="AP83">
            <v>4.4400000000000004</v>
          </cell>
          <cell r="AQ83">
            <v>13.29</v>
          </cell>
          <cell r="AR83">
            <v>1.44</v>
          </cell>
          <cell r="AS83">
            <v>0.51</v>
          </cell>
          <cell r="AT83">
            <v>14.53</v>
          </cell>
          <cell r="AU83">
            <v>95.88</v>
          </cell>
          <cell r="AV83">
            <v>44.459999999999994</v>
          </cell>
          <cell r="AW83">
            <v>324.48</v>
          </cell>
          <cell r="AX83">
            <v>144.30000000000001</v>
          </cell>
          <cell r="AY83">
            <v>10.709999999999999</v>
          </cell>
          <cell r="AZ83">
            <v>3381.3</v>
          </cell>
          <cell r="BA83">
            <v>353.4375</v>
          </cell>
          <cell r="BB83">
            <v>111.00000000000001</v>
          </cell>
          <cell r="BC83">
            <v>305.66999999999996</v>
          </cell>
          <cell r="BD83">
            <v>36</v>
          </cell>
          <cell r="BE83">
            <v>48.067500000000003</v>
          </cell>
          <cell r="BF83">
            <v>334.19</v>
          </cell>
          <cell r="BG83">
            <v>1.6591931927172567E-4</v>
          </cell>
          <cell r="BH83">
            <v>6.2624999999999993</v>
          </cell>
        </row>
        <row r="84">
          <cell r="A84" t="str">
            <v>EE</v>
          </cell>
          <cell r="B84" t="str">
            <v>HR</v>
          </cell>
          <cell r="C84" t="str">
            <v>G</v>
          </cell>
          <cell r="D84" t="str">
            <v>G</v>
          </cell>
          <cell r="E84">
            <v>3198</v>
          </cell>
          <cell r="F84">
            <v>1211</v>
          </cell>
          <cell r="G84">
            <v>1536</v>
          </cell>
          <cell r="H84">
            <v>714</v>
          </cell>
          <cell r="I84">
            <v>1536</v>
          </cell>
          <cell r="J84">
            <v>45</v>
          </cell>
          <cell r="K84">
            <v>19.75</v>
          </cell>
          <cell r="L84">
            <v>4.7699999999999996</v>
          </cell>
          <cell r="M84">
            <v>0.69</v>
          </cell>
          <cell r="N84">
            <v>714</v>
          </cell>
          <cell r="O84">
            <v>0.9</v>
          </cell>
          <cell r="P84">
            <v>0.38</v>
          </cell>
          <cell r="Q84">
            <v>19.3</v>
          </cell>
          <cell r="R84">
            <v>1662</v>
          </cell>
          <cell r="S84">
            <v>45</v>
          </cell>
          <cell r="T84">
            <v>45</v>
          </cell>
          <cell r="U84">
            <v>19.75</v>
          </cell>
          <cell r="V84">
            <v>4.7699999999999996</v>
          </cell>
          <cell r="W84">
            <v>0.69</v>
          </cell>
          <cell r="X84">
            <v>3.02</v>
          </cell>
          <cell r="Y84">
            <v>0.9</v>
          </cell>
          <cell r="Z84">
            <v>0.38</v>
          </cell>
          <cell r="AA84">
            <v>19.3</v>
          </cell>
          <cell r="AB84">
            <v>1662</v>
          </cell>
          <cell r="AC84">
            <v>94.207499999999996</v>
          </cell>
          <cell r="AD84">
            <v>31.049999999999997</v>
          </cell>
          <cell r="AE84">
            <v>135.9</v>
          </cell>
          <cell r="AF84">
            <v>40.5</v>
          </cell>
          <cell r="AG84">
            <v>497</v>
          </cell>
          <cell r="AH84">
            <v>868.5</v>
          </cell>
          <cell r="AI84">
            <v>119.24999999999999</v>
          </cell>
          <cell r="AJ84">
            <v>115.44000000000001</v>
          </cell>
          <cell r="AK84">
            <v>299</v>
          </cell>
          <cell r="AL84">
            <v>26</v>
          </cell>
          <cell r="AM84">
            <v>26</v>
          </cell>
          <cell r="AN84">
            <v>25</v>
          </cell>
          <cell r="AO84">
            <v>4.7699999999999996</v>
          </cell>
          <cell r="AP84">
            <v>4.4400000000000004</v>
          </cell>
          <cell r="AQ84">
            <v>11.5</v>
          </cell>
          <cell r="AR84">
            <v>0.74</v>
          </cell>
          <cell r="AS84">
            <v>0.45</v>
          </cell>
          <cell r="AT84">
            <v>22.413422014141801</v>
          </cell>
          <cell r="AU84">
            <v>94.207499999999996</v>
          </cell>
          <cell r="AV84">
            <v>31.049999999999997</v>
          </cell>
          <cell r="AW84">
            <v>135.9</v>
          </cell>
          <cell r="AX84">
            <v>40.5</v>
          </cell>
          <cell r="AY84">
            <v>7.5049999999999999</v>
          </cell>
          <cell r="AZ84">
            <v>868.5</v>
          </cell>
          <cell r="BA84">
            <v>119.24999999999999</v>
          </cell>
          <cell r="BB84">
            <v>115.44000000000001</v>
          </cell>
          <cell r="BC84">
            <v>299</v>
          </cell>
          <cell r="BD84">
            <v>19.239999999999998</v>
          </cell>
          <cell r="BE84">
            <v>11.25</v>
          </cell>
          <cell r="BF84">
            <v>582.74897236768686</v>
          </cell>
          <cell r="BG84">
            <v>1.3107954126259357E-4</v>
          </cell>
          <cell r="BH84">
            <v>7.9658999999999986</v>
          </cell>
        </row>
        <row r="85">
          <cell r="A85" t="str">
            <v>EE</v>
          </cell>
          <cell r="B85" t="str">
            <v>YU</v>
          </cell>
          <cell r="C85" t="str">
            <v>G</v>
          </cell>
          <cell r="D85" t="str">
            <v>G</v>
          </cell>
          <cell r="E85">
            <v>3160</v>
          </cell>
          <cell r="F85">
            <v>1139</v>
          </cell>
          <cell r="G85">
            <v>1580</v>
          </cell>
          <cell r="H85">
            <v>553</v>
          </cell>
          <cell r="I85">
            <v>1580</v>
          </cell>
          <cell r="J85">
            <v>56</v>
          </cell>
          <cell r="K85">
            <v>14</v>
          </cell>
          <cell r="L85">
            <v>4.24</v>
          </cell>
          <cell r="M85">
            <v>0.52</v>
          </cell>
          <cell r="N85">
            <v>553</v>
          </cell>
          <cell r="O85">
            <v>1.1000000000000001</v>
          </cell>
          <cell r="P85">
            <v>0.8</v>
          </cell>
          <cell r="Q85">
            <v>14.53</v>
          </cell>
          <cell r="R85">
            <v>1580</v>
          </cell>
          <cell r="S85">
            <v>56</v>
          </cell>
          <cell r="T85">
            <v>56</v>
          </cell>
          <cell r="U85">
            <v>14</v>
          </cell>
          <cell r="V85">
            <v>4.24</v>
          </cell>
          <cell r="W85">
            <v>0.52</v>
          </cell>
          <cell r="X85">
            <v>3.11</v>
          </cell>
          <cell r="Y85">
            <v>1.1000000000000001</v>
          </cell>
          <cell r="Z85">
            <v>0.8</v>
          </cell>
          <cell r="AA85">
            <v>14.53</v>
          </cell>
          <cell r="AB85">
            <v>1580</v>
          </cell>
          <cell r="AC85">
            <v>59.36</v>
          </cell>
          <cell r="AD85">
            <v>29.12</v>
          </cell>
          <cell r="AE85">
            <v>174.16</v>
          </cell>
          <cell r="AF85">
            <v>61.600000000000009</v>
          </cell>
          <cell r="AG85">
            <v>586</v>
          </cell>
          <cell r="AH85">
            <v>813.68</v>
          </cell>
          <cell r="AI85">
            <v>401.74</v>
          </cell>
          <cell r="AJ85">
            <v>94.81</v>
          </cell>
          <cell r="AK85">
            <v>121.79999999999998</v>
          </cell>
          <cell r="AL85">
            <v>15</v>
          </cell>
          <cell r="AM85">
            <v>19</v>
          </cell>
          <cell r="AN85">
            <v>94.75</v>
          </cell>
          <cell r="AO85">
            <v>4.24</v>
          </cell>
          <cell r="AP85">
            <v>4.99</v>
          </cell>
          <cell r="AQ85">
            <v>8.1199999999999992</v>
          </cell>
          <cell r="AR85">
            <v>2.54</v>
          </cell>
          <cell r="AS85">
            <v>0.73</v>
          </cell>
          <cell r="AT85">
            <v>18.22</v>
          </cell>
          <cell r="AU85">
            <v>59.36</v>
          </cell>
          <cell r="AV85">
            <v>29.12</v>
          </cell>
          <cell r="AW85">
            <v>174.16</v>
          </cell>
          <cell r="AX85">
            <v>61.600000000000009</v>
          </cell>
          <cell r="AY85">
            <v>11.200000000000001</v>
          </cell>
          <cell r="AZ85">
            <v>813.68</v>
          </cell>
          <cell r="BA85">
            <v>401.74</v>
          </cell>
          <cell r="BB85">
            <v>94.81</v>
          </cell>
          <cell r="BC85">
            <v>121.79999999999998</v>
          </cell>
          <cell r="BD85">
            <v>48.26</v>
          </cell>
          <cell r="BE85">
            <v>69.167500000000004</v>
          </cell>
          <cell r="BF85">
            <v>273.29999999999995</v>
          </cell>
          <cell r="BG85">
            <v>1.295219982457147E-4</v>
          </cell>
          <cell r="BH85">
            <v>7.0808</v>
          </cell>
        </row>
        <row r="86">
          <cell r="A86" t="str">
            <v>EU</v>
          </cell>
          <cell r="B86" t="str">
            <v>GI</v>
          </cell>
          <cell r="C86" t="str">
            <v>G</v>
          </cell>
          <cell r="D86" t="str">
            <v>G</v>
          </cell>
          <cell r="E86">
            <v>3141</v>
          </cell>
          <cell r="F86">
            <v>973</v>
          </cell>
          <cell r="G86">
            <v>719</v>
          </cell>
          <cell r="H86">
            <v>274</v>
          </cell>
          <cell r="I86">
            <v>719</v>
          </cell>
          <cell r="J86">
            <v>23</v>
          </cell>
          <cell r="K86">
            <v>6.25</v>
          </cell>
          <cell r="L86">
            <v>5.12</v>
          </cell>
          <cell r="M86">
            <v>0.52</v>
          </cell>
          <cell r="N86">
            <v>274</v>
          </cell>
          <cell r="O86">
            <v>0.84</v>
          </cell>
          <cell r="P86">
            <v>0.32</v>
          </cell>
          <cell r="Q86">
            <v>35.2619719756335</v>
          </cell>
          <cell r="R86">
            <v>2421</v>
          </cell>
          <cell r="S86">
            <v>23</v>
          </cell>
          <cell r="T86">
            <v>23</v>
          </cell>
          <cell r="U86">
            <v>6.25</v>
          </cell>
          <cell r="V86">
            <v>5.12</v>
          </cell>
          <cell r="W86">
            <v>0.52</v>
          </cell>
          <cell r="X86">
            <v>4.13</v>
          </cell>
          <cell r="Y86">
            <v>0.84</v>
          </cell>
          <cell r="Z86">
            <v>0.32</v>
          </cell>
          <cell r="AA86">
            <v>35.2619719756335</v>
          </cell>
          <cell r="AB86">
            <v>2421</v>
          </cell>
          <cell r="AC86">
            <v>32</v>
          </cell>
          <cell r="AD86">
            <v>11.96</v>
          </cell>
          <cell r="AE86">
            <v>94.99</v>
          </cell>
          <cell r="AF86">
            <v>19.32</v>
          </cell>
          <cell r="AG86">
            <v>699</v>
          </cell>
          <cell r="AH86">
            <v>811.02535543957049</v>
          </cell>
          <cell r="AI86">
            <v>936.22500000000002</v>
          </cell>
          <cell r="AJ86">
            <v>93.38</v>
          </cell>
          <cell r="AK86">
            <v>66.88</v>
          </cell>
          <cell r="AL86">
            <v>8</v>
          </cell>
          <cell r="AM86">
            <v>14</v>
          </cell>
          <cell r="AN86">
            <v>182.5</v>
          </cell>
          <cell r="AO86">
            <v>5.13</v>
          </cell>
          <cell r="AP86">
            <v>6.67</v>
          </cell>
          <cell r="AQ86">
            <v>8.36</v>
          </cell>
          <cell r="AR86">
            <v>1.69</v>
          </cell>
          <cell r="AS86">
            <v>0.14000000000000001</v>
          </cell>
          <cell r="AT86">
            <v>69.680000000000007</v>
          </cell>
          <cell r="AU86">
            <v>32</v>
          </cell>
          <cell r="AV86">
            <v>11.96</v>
          </cell>
          <cell r="AW86">
            <v>94.99</v>
          </cell>
          <cell r="AX86">
            <v>19.32</v>
          </cell>
          <cell r="AY86">
            <v>2</v>
          </cell>
          <cell r="AZ86">
            <v>811.02535543957049</v>
          </cell>
          <cell r="BA86">
            <v>936.22500000000002</v>
          </cell>
          <cell r="BB86">
            <v>93.38</v>
          </cell>
          <cell r="BC86">
            <v>66.88</v>
          </cell>
          <cell r="BD86">
            <v>23.66</v>
          </cell>
          <cell r="BE86">
            <v>25.55</v>
          </cell>
          <cell r="BF86">
            <v>557.44000000000005</v>
          </cell>
          <cell r="BG86">
            <v>1.2874322673727529E-4</v>
          </cell>
          <cell r="BH86">
            <v>8.5670999999999999</v>
          </cell>
        </row>
        <row r="87">
          <cell r="A87" t="str">
            <v>EU</v>
          </cell>
          <cell r="B87" t="str">
            <v>AD</v>
          </cell>
          <cell r="C87" t="str">
            <v>G</v>
          </cell>
          <cell r="D87" t="str">
            <v>G</v>
          </cell>
          <cell r="E87">
            <v>415</v>
          </cell>
          <cell r="F87">
            <v>110</v>
          </cell>
          <cell r="G87">
            <v>52</v>
          </cell>
          <cell r="H87">
            <v>18</v>
          </cell>
          <cell r="I87">
            <v>52</v>
          </cell>
          <cell r="J87">
            <v>2</v>
          </cell>
          <cell r="K87">
            <v>0.5</v>
          </cell>
          <cell r="L87">
            <v>6.16</v>
          </cell>
          <cell r="M87">
            <v>0.52</v>
          </cell>
          <cell r="N87">
            <v>18</v>
          </cell>
          <cell r="O87">
            <v>0.84</v>
          </cell>
          <cell r="P87">
            <v>0.32</v>
          </cell>
          <cell r="Q87">
            <v>35.2619719756335</v>
          </cell>
          <cell r="R87">
            <v>364</v>
          </cell>
          <cell r="S87">
            <v>2</v>
          </cell>
          <cell r="T87">
            <v>2</v>
          </cell>
          <cell r="U87">
            <v>0.5</v>
          </cell>
          <cell r="V87">
            <v>6.16</v>
          </cell>
          <cell r="W87">
            <v>0.52</v>
          </cell>
          <cell r="X87">
            <v>4.13</v>
          </cell>
          <cell r="Y87">
            <v>0.84</v>
          </cell>
          <cell r="Z87">
            <v>0.32</v>
          </cell>
          <cell r="AA87">
            <v>35.2619719756335</v>
          </cell>
          <cell r="AB87">
            <v>364</v>
          </cell>
          <cell r="AC87">
            <v>3.08</v>
          </cell>
          <cell r="AD87">
            <v>1.04</v>
          </cell>
          <cell r="AE87">
            <v>8.26</v>
          </cell>
          <cell r="AF87">
            <v>1.68</v>
          </cell>
          <cell r="AG87">
            <v>93</v>
          </cell>
          <cell r="AH87">
            <v>70.523943951267</v>
          </cell>
          <cell r="AI87">
            <v>135.52000000000001</v>
          </cell>
          <cell r="AJ87">
            <v>13.32</v>
          </cell>
          <cell r="AK87">
            <v>16.72</v>
          </cell>
          <cell r="AL87">
            <v>2</v>
          </cell>
          <cell r="AM87">
            <v>3</v>
          </cell>
          <cell r="AN87">
            <v>22</v>
          </cell>
          <cell r="AO87">
            <v>6.16</v>
          </cell>
          <cell r="AP87">
            <v>4.4400000000000004</v>
          </cell>
          <cell r="AQ87">
            <v>8.36</v>
          </cell>
          <cell r="AR87">
            <v>1.69</v>
          </cell>
          <cell r="AS87">
            <v>0.14000000000000001</v>
          </cell>
          <cell r="AT87">
            <v>14.47</v>
          </cell>
          <cell r="AU87">
            <v>3.08</v>
          </cell>
          <cell r="AV87">
            <v>1.04</v>
          </cell>
          <cell r="AW87">
            <v>8.26</v>
          </cell>
          <cell r="AX87">
            <v>1.68</v>
          </cell>
          <cell r="AY87">
            <v>0.16</v>
          </cell>
          <cell r="AZ87">
            <v>70.523943951267</v>
          </cell>
          <cell r="BA87">
            <v>135.52000000000001</v>
          </cell>
          <cell r="BB87">
            <v>13.32</v>
          </cell>
          <cell r="BC87">
            <v>16.72</v>
          </cell>
          <cell r="BD87">
            <v>5.07</v>
          </cell>
          <cell r="BE87">
            <v>3.08</v>
          </cell>
          <cell r="BF87">
            <v>28.94</v>
          </cell>
          <cell r="BG87">
            <v>1.7010009263282153E-5</v>
          </cell>
          <cell r="BH87">
            <v>10.2872</v>
          </cell>
        </row>
        <row r="88">
          <cell r="A88" t="str">
            <v>EC</v>
          </cell>
          <cell r="B88" t="str">
            <v>MU</v>
          </cell>
          <cell r="C88" t="str">
            <v>H</v>
          </cell>
          <cell r="D88" t="str">
            <v>H</v>
          </cell>
          <cell r="E88">
            <v>97751</v>
          </cell>
          <cell r="F88">
            <v>58887</v>
          </cell>
          <cell r="G88">
            <v>58312</v>
          </cell>
          <cell r="H88">
            <v>36054</v>
          </cell>
          <cell r="I88">
            <v>58312</v>
          </cell>
          <cell r="J88">
            <v>1467</v>
          </cell>
          <cell r="K88">
            <v>624.5</v>
          </cell>
          <cell r="L88">
            <v>6.56</v>
          </cell>
          <cell r="M88">
            <v>0.16</v>
          </cell>
          <cell r="N88">
            <v>36054</v>
          </cell>
          <cell r="O88">
            <v>0.48</v>
          </cell>
          <cell r="P88">
            <v>0.14000000000000001</v>
          </cell>
          <cell r="Q88">
            <v>42.87</v>
          </cell>
          <cell r="R88">
            <v>39438</v>
          </cell>
          <cell r="S88">
            <v>1456</v>
          </cell>
          <cell r="T88">
            <v>1467</v>
          </cell>
          <cell r="U88">
            <v>624.5</v>
          </cell>
          <cell r="V88">
            <v>6.56</v>
          </cell>
          <cell r="W88">
            <v>0.16</v>
          </cell>
          <cell r="X88">
            <v>1.32</v>
          </cell>
          <cell r="Y88">
            <v>0.48</v>
          </cell>
          <cell r="Z88">
            <v>0.14000000000000001</v>
          </cell>
          <cell r="AA88">
            <v>42.87</v>
          </cell>
          <cell r="AB88">
            <v>39438</v>
          </cell>
          <cell r="AC88">
            <v>4096.7199999999993</v>
          </cell>
          <cell r="AD88">
            <v>234.72</v>
          </cell>
          <cell r="AE88">
            <v>1921.92</v>
          </cell>
          <cell r="AF88">
            <v>704.16</v>
          </cell>
          <cell r="AG88">
            <v>22833</v>
          </cell>
          <cell r="AH88">
            <v>62418.719999999994</v>
          </cell>
          <cell r="AI88">
            <v>6712.5199999999995</v>
          </cell>
          <cell r="AJ88">
            <v>586.53</v>
          </cell>
          <cell r="AK88">
            <v>740.07999999999993</v>
          </cell>
          <cell r="AL88">
            <v>319</v>
          </cell>
          <cell r="AM88">
            <v>343</v>
          </cell>
          <cell r="AN88">
            <v>1023.25</v>
          </cell>
          <cell r="AO88">
            <v>6.56</v>
          </cell>
          <cell r="AP88">
            <v>1.71</v>
          </cell>
          <cell r="AQ88">
            <v>2.3199999999999998</v>
          </cell>
          <cell r="AR88">
            <v>0.48</v>
          </cell>
          <cell r="AS88">
            <v>0.14000000000000001</v>
          </cell>
          <cell r="AT88">
            <v>27.3191207450412</v>
          </cell>
          <cell r="AU88">
            <v>4096.7199999999993</v>
          </cell>
          <cell r="AV88">
            <v>234.72</v>
          </cell>
          <cell r="AW88">
            <v>1921.92</v>
          </cell>
          <cell r="AX88">
            <v>704.16</v>
          </cell>
          <cell r="AY88">
            <v>87.43</v>
          </cell>
          <cell r="AZ88">
            <v>62418.719999999994</v>
          </cell>
          <cell r="BA88">
            <v>6712.5199999999995</v>
          </cell>
          <cell r="BB88">
            <v>586.53</v>
          </cell>
          <cell r="BC88">
            <v>740.07999999999993</v>
          </cell>
          <cell r="BD88">
            <v>164.64</v>
          </cell>
          <cell r="BE88">
            <v>143.25500000000002</v>
          </cell>
          <cell r="BF88">
            <v>8714.7995176681434</v>
          </cell>
          <cell r="BG88">
            <v>4.0066154590243219E-3</v>
          </cell>
          <cell r="BH88">
            <v>10.9552</v>
          </cell>
        </row>
        <row r="89">
          <cell r="A89" t="str">
            <v>LA</v>
          </cell>
          <cell r="B89" t="str">
            <v>BR</v>
          </cell>
          <cell r="C89" t="str">
            <v>H</v>
          </cell>
          <cell r="D89" t="str">
            <v>H</v>
          </cell>
          <cell r="E89">
            <v>83918</v>
          </cell>
          <cell r="F89">
            <v>37296</v>
          </cell>
          <cell r="G89">
            <v>60425</v>
          </cell>
          <cell r="H89">
            <v>27738</v>
          </cell>
          <cell r="I89">
            <v>60425</v>
          </cell>
          <cell r="J89">
            <v>1550</v>
          </cell>
          <cell r="K89">
            <v>1003.25</v>
          </cell>
          <cell r="L89">
            <v>6.22</v>
          </cell>
          <cell r="M89">
            <v>0.75</v>
          </cell>
          <cell r="N89">
            <v>27738</v>
          </cell>
          <cell r="O89">
            <v>1.1299999999999999</v>
          </cell>
          <cell r="P89">
            <v>0.73</v>
          </cell>
          <cell r="Q89">
            <v>21.32</v>
          </cell>
          <cell r="R89">
            <v>23493</v>
          </cell>
          <cell r="S89">
            <v>1539</v>
          </cell>
          <cell r="T89">
            <v>1550</v>
          </cell>
          <cell r="U89">
            <v>1003.25</v>
          </cell>
          <cell r="V89">
            <v>6.22</v>
          </cell>
          <cell r="W89">
            <v>0.75</v>
          </cell>
          <cell r="X89">
            <v>4.22</v>
          </cell>
          <cell r="Y89">
            <v>1.1299999999999999</v>
          </cell>
          <cell r="Z89">
            <v>0.73</v>
          </cell>
          <cell r="AA89">
            <v>21.32</v>
          </cell>
          <cell r="AB89">
            <v>23493</v>
          </cell>
          <cell r="AC89">
            <v>6240.2150000000001</v>
          </cell>
          <cell r="AD89">
            <v>1162.5</v>
          </cell>
          <cell r="AE89">
            <v>6494.58</v>
          </cell>
          <cell r="AF89">
            <v>1751.4999999999998</v>
          </cell>
          <cell r="AG89">
            <v>9558</v>
          </cell>
          <cell r="AH89">
            <v>32811.480000000003</v>
          </cell>
          <cell r="AI89">
            <v>5353.5</v>
          </cell>
          <cell r="AJ89">
            <v>890.06000000000006</v>
          </cell>
          <cell r="AK89">
            <v>971.25</v>
          </cell>
          <cell r="AL89">
            <v>175</v>
          </cell>
          <cell r="AM89">
            <v>191</v>
          </cell>
          <cell r="AN89">
            <v>892.25</v>
          </cell>
          <cell r="AO89">
            <v>6</v>
          </cell>
          <cell r="AP89">
            <v>4.66</v>
          </cell>
          <cell r="AQ89">
            <v>5.55</v>
          </cell>
          <cell r="AR89">
            <v>1.45</v>
          </cell>
          <cell r="AS89">
            <v>0.63</v>
          </cell>
          <cell r="AT89">
            <v>25.65</v>
          </cell>
          <cell r="AU89">
            <v>6240.2150000000001</v>
          </cell>
          <cell r="AV89">
            <v>1162.5</v>
          </cell>
          <cell r="AW89">
            <v>6494.58</v>
          </cell>
          <cell r="AX89">
            <v>1751.4999999999998</v>
          </cell>
          <cell r="AY89">
            <v>732.37249999999995</v>
          </cell>
          <cell r="AZ89">
            <v>32811.480000000003</v>
          </cell>
          <cell r="BA89">
            <v>5353.5</v>
          </cell>
          <cell r="BB89">
            <v>890.06000000000006</v>
          </cell>
          <cell r="BC89">
            <v>971.25</v>
          </cell>
          <cell r="BD89">
            <v>276.95</v>
          </cell>
          <cell r="BE89">
            <v>562.11749999999995</v>
          </cell>
          <cell r="BF89">
            <v>4488.75</v>
          </cell>
          <cell r="BG89">
            <v>3.4396288129062932E-3</v>
          </cell>
          <cell r="BH89">
            <v>10.02</v>
          </cell>
        </row>
        <row r="90">
          <cell r="A90" t="str">
            <v>EF</v>
          </cell>
          <cell r="B90" t="str">
            <v>EG</v>
          </cell>
          <cell r="C90" t="str">
            <v>H</v>
          </cell>
          <cell r="D90" t="str">
            <v>H</v>
          </cell>
          <cell r="E90">
            <v>73135</v>
          </cell>
          <cell r="F90">
            <v>41585</v>
          </cell>
          <cell r="G90">
            <v>48858</v>
          </cell>
          <cell r="H90">
            <v>29713</v>
          </cell>
          <cell r="I90">
            <v>48858</v>
          </cell>
          <cell r="J90">
            <v>1173</v>
          </cell>
          <cell r="K90">
            <v>643.25</v>
          </cell>
          <cell r="L90">
            <v>3.15</v>
          </cell>
          <cell r="M90">
            <v>0.82</v>
          </cell>
          <cell r="N90">
            <v>29713</v>
          </cell>
          <cell r="O90">
            <v>0.28999999999999998</v>
          </cell>
          <cell r="P90">
            <v>0.2</v>
          </cell>
          <cell r="Q90">
            <v>12.07</v>
          </cell>
          <cell r="R90">
            <v>24277</v>
          </cell>
          <cell r="S90">
            <v>1167</v>
          </cell>
          <cell r="T90">
            <v>1173</v>
          </cell>
          <cell r="U90">
            <v>643.25</v>
          </cell>
          <cell r="V90">
            <v>3.15</v>
          </cell>
          <cell r="W90">
            <v>0.82</v>
          </cell>
          <cell r="X90">
            <v>0.68</v>
          </cell>
          <cell r="Y90">
            <v>0.28999999999999998</v>
          </cell>
          <cell r="Z90">
            <v>0.2</v>
          </cell>
          <cell r="AA90">
            <v>12.07</v>
          </cell>
          <cell r="AB90">
            <v>24277</v>
          </cell>
          <cell r="AC90">
            <v>2026.2375</v>
          </cell>
          <cell r="AD90">
            <v>961.8599999999999</v>
          </cell>
          <cell r="AE90">
            <v>793.56000000000006</v>
          </cell>
          <cell r="AF90">
            <v>340.16999999999996</v>
          </cell>
          <cell r="AG90">
            <v>11872</v>
          </cell>
          <cell r="AH90">
            <v>14085.69</v>
          </cell>
          <cell r="AI90">
            <v>2291.625</v>
          </cell>
          <cell r="AJ90">
            <v>1037.6100000000001</v>
          </cell>
          <cell r="AK90">
            <v>3115.84</v>
          </cell>
          <cell r="AL90">
            <v>182</v>
          </cell>
          <cell r="AM90">
            <v>189</v>
          </cell>
          <cell r="AN90">
            <v>727.5</v>
          </cell>
          <cell r="AO90">
            <v>3.15</v>
          </cell>
          <cell r="AP90">
            <v>5.49</v>
          </cell>
          <cell r="AQ90">
            <v>17.12</v>
          </cell>
          <cell r="AR90">
            <v>2.0699999999999998</v>
          </cell>
          <cell r="AS90">
            <v>0.53</v>
          </cell>
          <cell r="AT90">
            <v>14.12</v>
          </cell>
          <cell r="AU90">
            <v>2026.2375</v>
          </cell>
          <cell r="AV90">
            <v>961.8599999999999</v>
          </cell>
          <cell r="AW90">
            <v>793.56000000000006</v>
          </cell>
          <cell r="AX90">
            <v>340.16999999999996</v>
          </cell>
          <cell r="AY90">
            <v>128.65</v>
          </cell>
          <cell r="AZ90">
            <v>14085.69</v>
          </cell>
          <cell r="BA90">
            <v>2291.625</v>
          </cell>
          <cell r="BB90">
            <v>1037.6100000000001</v>
          </cell>
          <cell r="BC90">
            <v>3115.84</v>
          </cell>
          <cell r="BD90">
            <v>391.22999999999996</v>
          </cell>
          <cell r="BE90">
            <v>385.57500000000005</v>
          </cell>
          <cell r="BF90">
            <v>2569.8399999999997</v>
          </cell>
          <cell r="BG90">
            <v>2.997655487879856E-3</v>
          </cell>
          <cell r="BH90">
            <v>5.2604999999999995</v>
          </cell>
        </row>
        <row r="91">
          <cell r="A91" t="str">
            <v>ED</v>
          </cell>
          <cell r="B91" t="str">
            <v>RU</v>
          </cell>
          <cell r="C91" t="str">
            <v>H</v>
          </cell>
          <cell r="D91" t="str">
            <v>H</v>
          </cell>
          <cell r="E91">
            <v>67719</v>
          </cell>
          <cell r="F91">
            <v>30029</v>
          </cell>
          <cell r="G91">
            <v>48336</v>
          </cell>
          <cell r="H91">
            <v>26528</v>
          </cell>
          <cell r="I91">
            <v>48336</v>
          </cell>
          <cell r="J91">
            <v>1043</v>
          </cell>
          <cell r="K91">
            <v>529.75</v>
          </cell>
          <cell r="L91">
            <v>4.2699999999999996</v>
          </cell>
          <cell r="M91">
            <v>0.68</v>
          </cell>
          <cell r="N91">
            <v>26528</v>
          </cell>
          <cell r="O91">
            <v>0.41</v>
          </cell>
          <cell r="P91">
            <v>0.44</v>
          </cell>
          <cell r="Q91">
            <v>21.37</v>
          </cell>
          <cell r="R91">
            <v>19384</v>
          </cell>
          <cell r="S91">
            <v>1041</v>
          </cell>
          <cell r="T91">
            <v>1043</v>
          </cell>
          <cell r="U91">
            <v>529.75</v>
          </cell>
          <cell r="V91">
            <v>4.2699999999999996</v>
          </cell>
          <cell r="W91">
            <v>0.68</v>
          </cell>
          <cell r="X91">
            <v>3.83</v>
          </cell>
          <cell r="Y91">
            <v>0.41</v>
          </cell>
          <cell r="Z91">
            <v>0.44</v>
          </cell>
          <cell r="AA91">
            <v>21.37</v>
          </cell>
          <cell r="AB91">
            <v>19384</v>
          </cell>
          <cell r="AC91">
            <v>2262.0324999999998</v>
          </cell>
          <cell r="AD91">
            <v>709.24</v>
          </cell>
          <cell r="AE91">
            <v>3987.03</v>
          </cell>
          <cell r="AF91">
            <v>427.63</v>
          </cell>
          <cell r="AG91">
            <v>3501</v>
          </cell>
          <cell r="AH91">
            <v>22246.170000000002</v>
          </cell>
          <cell r="AI91">
            <v>4110.28</v>
          </cell>
          <cell r="AJ91">
            <v>690.36</v>
          </cell>
          <cell r="AK91">
            <v>3324.5</v>
          </cell>
          <cell r="AL91">
            <v>122</v>
          </cell>
          <cell r="AM91">
            <v>132</v>
          </cell>
          <cell r="AN91">
            <v>974</v>
          </cell>
          <cell r="AO91">
            <v>4.22</v>
          </cell>
          <cell r="AP91">
            <v>5.23</v>
          </cell>
          <cell r="AQ91">
            <v>27.25</v>
          </cell>
          <cell r="AR91">
            <v>2.89</v>
          </cell>
          <cell r="AS91">
            <v>0.36</v>
          </cell>
          <cell r="AT91">
            <v>14.53</v>
          </cell>
          <cell r="AU91">
            <v>2262.0324999999998</v>
          </cell>
          <cell r="AV91">
            <v>709.24</v>
          </cell>
          <cell r="AW91">
            <v>3987.03</v>
          </cell>
          <cell r="AX91">
            <v>427.63</v>
          </cell>
          <cell r="AY91">
            <v>233.09</v>
          </cell>
          <cell r="AZ91">
            <v>22246.170000000002</v>
          </cell>
          <cell r="BA91">
            <v>4110.28</v>
          </cell>
          <cell r="BB91">
            <v>690.36</v>
          </cell>
          <cell r="BC91">
            <v>3324.5</v>
          </cell>
          <cell r="BD91">
            <v>381.48</v>
          </cell>
          <cell r="BE91">
            <v>350.64</v>
          </cell>
          <cell r="BF91">
            <v>1772.6599999999999</v>
          </cell>
          <cell r="BG91">
            <v>2.7756646200004917E-3</v>
          </cell>
          <cell r="BH91">
            <v>7.0473999999999997</v>
          </cell>
        </row>
        <row r="92">
          <cell r="A92" t="str">
            <v>ED</v>
          </cell>
          <cell r="B92" t="str">
            <v>IL</v>
          </cell>
          <cell r="C92" t="str">
            <v>H</v>
          </cell>
          <cell r="D92" t="str">
            <v>H</v>
          </cell>
          <cell r="E92">
            <v>65415</v>
          </cell>
          <cell r="F92">
            <v>36617</v>
          </cell>
          <cell r="G92">
            <v>34431</v>
          </cell>
          <cell r="H92">
            <v>19885</v>
          </cell>
          <cell r="I92">
            <v>34431</v>
          </cell>
          <cell r="J92">
            <v>910</v>
          </cell>
          <cell r="K92">
            <v>358.5</v>
          </cell>
          <cell r="L92">
            <v>4.04</v>
          </cell>
          <cell r="M92">
            <v>0.6</v>
          </cell>
          <cell r="N92">
            <v>19885</v>
          </cell>
          <cell r="O92">
            <v>0.78</v>
          </cell>
          <cell r="P92">
            <v>0.4</v>
          </cell>
          <cell r="Q92">
            <v>16.75</v>
          </cell>
          <cell r="R92">
            <v>30984</v>
          </cell>
          <cell r="S92">
            <v>904</v>
          </cell>
          <cell r="T92">
            <v>910</v>
          </cell>
          <cell r="U92">
            <v>358.5</v>
          </cell>
          <cell r="V92">
            <v>4.04</v>
          </cell>
          <cell r="W92">
            <v>0.6</v>
          </cell>
          <cell r="X92">
            <v>2.0299999999999998</v>
          </cell>
          <cell r="Y92">
            <v>0.78</v>
          </cell>
          <cell r="Z92">
            <v>0.4</v>
          </cell>
          <cell r="AA92">
            <v>16.75</v>
          </cell>
          <cell r="AB92">
            <v>30984</v>
          </cell>
          <cell r="AC92">
            <v>1448.34</v>
          </cell>
          <cell r="AD92">
            <v>546</v>
          </cell>
          <cell r="AE92">
            <v>1835.12</v>
          </cell>
          <cell r="AF92">
            <v>709.80000000000007</v>
          </cell>
          <cell r="AG92">
            <v>16732</v>
          </cell>
          <cell r="AH92">
            <v>15142</v>
          </cell>
          <cell r="AI92">
            <v>3680.64</v>
          </cell>
          <cell r="AJ92">
            <v>1176.4799999999998</v>
          </cell>
          <cell r="AK92">
            <v>1939.08</v>
          </cell>
          <cell r="AL92">
            <v>226</v>
          </cell>
          <cell r="AM92">
            <v>258</v>
          </cell>
          <cell r="AN92">
            <v>908.8</v>
          </cell>
          <cell r="AO92">
            <v>4.05</v>
          </cell>
          <cell r="AP92">
            <v>4.5599999999999996</v>
          </cell>
          <cell r="AQ92">
            <v>8.58</v>
          </cell>
          <cell r="AR92">
            <v>0.68</v>
          </cell>
          <cell r="AS92">
            <v>0.39</v>
          </cell>
          <cell r="AT92">
            <v>20.149999999999999</v>
          </cell>
          <cell r="AU92">
            <v>1448.34</v>
          </cell>
          <cell r="AV92">
            <v>546</v>
          </cell>
          <cell r="AW92">
            <v>1835.12</v>
          </cell>
          <cell r="AX92">
            <v>709.80000000000007</v>
          </cell>
          <cell r="AY92">
            <v>143.4</v>
          </cell>
          <cell r="AZ92">
            <v>15142</v>
          </cell>
          <cell r="BA92">
            <v>3680.64</v>
          </cell>
          <cell r="BB92">
            <v>1176.4799999999998</v>
          </cell>
          <cell r="BC92">
            <v>1939.08</v>
          </cell>
          <cell r="BD92">
            <v>175.44000000000003</v>
          </cell>
          <cell r="BE92">
            <v>354.43200000000002</v>
          </cell>
          <cell r="BF92">
            <v>4553.8999999999996</v>
          </cell>
          <cell r="BG92">
            <v>2.6812283276086797E-3</v>
          </cell>
          <cell r="BH92">
            <v>6.7634999999999996</v>
          </cell>
        </row>
        <row r="93">
          <cell r="A93" t="str">
            <v>EI</v>
          </cell>
          <cell r="B93" t="str">
            <v>NG</v>
          </cell>
          <cell r="C93" t="str">
            <v>H</v>
          </cell>
          <cell r="D93" t="str">
            <v>H</v>
          </cell>
          <cell r="E93">
            <v>57528</v>
          </cell>
          <cell r="F93">
            <v>29644</v>
          </cell>
          <cell r="G93">
            <v>42146</v>
          </cell>
          <cell r="H93">
            <v>27040</v>
          </cell>
          <cell r="I93">
            <v>42146</v>
          </cell>
          <cell r="J93">
            <v>973</v>
          </cell>
          <cell r="K93">
            <v>367.5</v>
          </cell>
          <cell r="L93">
            <v>5.72</v>
          </cell>
          <cell r="M93">
            <v>0.61</v>
          </cell>
          <cell r="N93">
            <v>27040</v>
          </cell>
          <cell r="O93">
            <v>0.12</v>
          </cell>
          <cell r="P93">
            <v>0.23</v>
          </cell>
          <cell r="Q93">
            <v>24.3</v>
          </cell>
          <cell r="R93">
            <v>15382</v>
          </cell>
          <cell r="S93">
            <v>962</v>
          </cell>
          <cell r="T93">
            <v>973</v>
          </cell>
          <cell r="U93">
            <v>367.5</v>
          </cell>
          <cell r="V93">
            <v>5.72</v>
          </cell>
          <cell r="W93">
            <v>0.61</v>
          </cell>
          <cell r="X93">
            <v>1.17</v>
          </cell>
          <cell r="Y93">
            <v>0.12</v>
          </cell>
          <cell r="Z93">
            <v>0.23</v>
          </cell>
          <cell r="AA93">
            <v>24.3</v>
          </cell>
          <cell r="AB93">
            <v>15382</v>
          </cell>
          <cell r="AC93">
            <v>2102.1</v>
          </cell>
          <cell r="AD93">
            <v>593.53</v>
          </cell>
          <cell r="AE93">
            <v>1125.54</v>
          </cell>
          <cell r="AF93">
            <v>116.75999999999999</v>
          </cell>
          <cell r="AG93">
            <v>2603</v>
          </cell>
          <cell r="AH93">
            <v>23376.600000000002</v>
          </cell>
          <cell r="AI93">
            <v>7563.2699999999995</v>
          </cell>
          <cell r="AJ93">
            <v>630.41</v>
          </cell>
          <cell r="AK93">
            <v>254.34</v>
          </cell>
          <cell r="AL93">
            <v>81</v>
          </cell>
          <cell r="AM93">
            <v>121</v>
          </cell>
          <cell r="AN93">
            <v>1322.25</v>
          </cell>
          <cell r="AO93">
            <v>5.72</v>
          </cell>
          <cell r="AP93">
            <v>5.21</v>
          </cell>
          <cell r="AQ93">
            <v>3.14</v>
          </cell>
          <cell r="AR93">
            <v>0.09</v>
          </cell>
          <cell r="AS93">
            <v>0.23</v>
          </cell>
          <cell r="AT93">
            <v>38.362754754698003</v>
          </cell>
          <cell r="AU93">
            <v>2102.1</v>
          </cell>
          <cell r="AV93">
            <v>593.53</v>
          </cell>
          <cell r="AW93">
            <v>1125.54</v>
          </cell>
          <cell r="AX93">
            <v>116.75999999999999</v>
          </cell>
          <cell r="AY93">
            <v>84.525000000000006</v>
          </cell>
          <cell r="AZ93">
            <v>23376.600000000002</v>
          </cell>
          <cell r="BA93">
            <v>7563.2699999999995</v>
          </cell>
          <cell r="BB93">
            <v>630.41</v>
          </cell>
          <cell r="BC93">
            <v>254.34</v>
          </cell>
          <cell r="BD93">
            <v>10.889999999999999</v>
          </cell>
          <cell r="BE93">
            <v>304.11750000000001</v>
          </cell>
          <cell r="BF93">
            <v>3107.383135130538</v>
          </cell>
          <cell r="BG93">
            <v>2.3579561756580619E-3</v>
          </cell>
          <cell r="BH93">
            <v>9.5523999999999987</v>
          </cell>
        </row>
        <row r="94">
          <cell r="A94" t="str">
            <v>LA</v>
          </cell>
          <cell r="B94" t="str">
            <v>AR</v>
          </cell>
          <cell r="C94" t="str">
            <v>H</v>
          </cell>
          <cell r="D94" t="str">
            <v>H</v>
          </cell>
          <cell r="E94">
            <v>57172</v>
          </cell>
          <cell r="F94">
            <v>21656</v>
          </cell>
          <cell r="G94">
            <v>29523</v>
          </cell>
          <cell r="H94">
            <v>14905</v>
          </cell>
          <cell r="I94">
            <v>29523</v>
          </cell>
          <cell r="J94">
            <v>748</v>
          </cell>
          <cell r="K94">
            <v>491.75</v>
          </cell>
          <cell r="L94">
            <v>5.71</v>
          </cell>
          <cell r="M94">
            <v>0.74</v>
          </cell>
          <cell r="N94">
            <v>14905</v>
          </cell>
          <cell r="O94">
            <v>0.7</v>
          </cell>
          <cell r="P94">
            <v>0.19</v>
          </cell>
          <cell r="Q94">
            <v>25.47</v>
          </cell>
          <cell r="R94">
            <v>27649</v>
          </cell>
          <cell r="S94">
            <v>745</v>
          </cell>
          <cell r="T94">
            <v>748</v>
          </cell>
          <cell r="U94">
            <v>491.75</v>
          </cell>
          <cell r="V94">
            <v>5.71</v>
          </cell>
          <cell r="W94">
            <v>0.74</v>
          </cell>
          <cell r="X94">
            <v>6.02</v>
          </cell>
          <cell r="Y94">
            <v>0.7</v>
          </cell>
          <cell r="Z94">
            <v>0.19</v>
          </cell>
          <cell r="AA94">
            <v>25.47</v>
          </cell>
          <cell r="AB94">
            <v>27649</v>
          </cell>
          <cell r="AC94">
            <v>2807.8924999999999</v>
          </cell>
          <cell r="AD94">
            <v>553.52</v>
          </cell>
          <cell r="AE94">
            <v>4484.8999999999996</v>
          </cell>
          <cell r="AF94">
            <v>523.6</v>
          </cell>
          <cell r="AG94">
            <v>6751</v>
          </cell>
          <cell r="AH94">
            <v>18975.149999999998</v>
          </cell>
          <cell r="AI94">
            <v>12507.754999999999</v>
          </cell>
          <cell r="AJ94">
            <v>1158.21</v>
          </cell>
          <cell r="AK94">
            <v>1430.1</v>
          </cell>
          <cell r="AL94">
            <v>126</v>
          </cell>
          <cell r="AM94">
            <v>153</v>
          </cell>
          <cell r="AN94">
            <v>2190.5</v>
          </cell>
          <cell r="AO94">
            <v>5.71</v>
          </cell>
          <cell r="AP94">
            <v>7.57</v>
          </cell>
          <cell r="AQ94">
            <v>11.35</v>
          </cell>
          <cell r="AR94">
            <v>0.36</v>
          </cell>
          <cell r="AS94">
            <v>0.12</v>
          </cell>
          <cell r="AT94">
            <v>83.62</v>
          </cell>
          <cell r="AU94">
            <v>2807.8924999999999</v>
          </cell>
          <cell r="AV94">
            <v>553.52</v>
          </cell>
          <cell r="AW94">
            <v>4484.8999999999996</v>
          </cell>
          <cell r="AX94">
            <v>523.6</v>
          </cell>
          <cell r="AY94">
            <v>93.432500000000005</v>
          </cell>
          <cell r="AZ94">
            <v>18975.149999999998</v>
          </cell>
          <cell r="BA94">
            <v>12507.754999999999</v>
          </cell>
          <cell r="BB94">
            <v>1158.21</v>
          </cell>
          <cell r="BC94">
            <v>1430.1</v>
          </cell>
          <cell r="BD94">
            <v>55.08</v>
          </cell>
          <cell r="BE94">
            <v>262.86</v>
          </cell>
          <cell r="BF94">
            <v>10536.12</v>
          </cell>
          <cell r="BG94">
            <v>2.3433644568683549E-3</v>
          </cell>
          <cell r="BH94">
            <v>9.5357000000000003</v>
          </cell>
        </row>
        <row r="95">
          <cell r="A95" t="str">
            <v>EK</v>
          </cell>
          <cell r="B95" t="str">
            <v>KE</v>
          </cell>
          <cell r="C95" t="str">
            <v>H</v>
          </cell>
          <cell r="D95" t="str">
            <v>H</v>
          </cell>
          <cell r="E95">
            <v>32722</v>
          </cell>
          <cell r="F95">
            <v>19246</v>
          </cell>
          <cell r="G95">
            <v>19264</v>
          </cell>
          <cell r="H95">
            <v>12457</v>
          </cell>
          <cell r="I95">
            <v>19264</v>
          </cell>
          <cell r="J95">
            <v>478</v>
          </cell>
          <cell r="K95">
            <v>228.5</v>
          </cell>
          <cell r="L95">
            <v>5.65</v>
          </cell>
          <cell r="M95">
            <v>0.16</v>
          </cell>
          <cell r="N95">
            <v>12457</v>
          </cell>
          <cell r="O95">
            <v>0.65</v>
          </cell>
          <cell r="P95">
            <v>0.28999999999999998</v>
          </cell>
          <cell r="Q95">
            <v>16.79</v>
          </cell>
          <cell r="R95">
            <v>13458</v>
          </cell>
          <cell r="S95">
            <v>472</v>
          </cell>
          <cell r="T95">
            <v>478</v>
          </cell>
          <cell r="U95">
            <v>228.5</v>
          </cell>
          <cell r="V95">
            <v>5.65</v>
          </cell>
          <cell r="W95">
            <v>0.16</v>
          </cell>
          <cell r="X95">
            <v>1.03</v>
          </cell>
          <cell r="Y95">
            <v>0.65</v>
          </cell>
          <cell r="Z95">
            <v>0.28999999999999998</v>
          </cell>
          <cell r="AA95">
            <v>16.79</v>
          </cell>
          <cell r="AB95">
            <v>13458</v>
          </cell>
          <cell r="AC95">
            <v>1291.0250000000001</v>
          </cell>
          <cell r="AD95">
            <v>76.48</v>
          </cell>
          <cell r="AE95">
            <v>486.16</v>
          </cell>
          <cell r="AF95">
            <v>310.7</v>
          </cell>
          <cell r="AG95">
            <v>6789</v>
          </cell>
          <cell r="AH95">
            <v>7924.8799999999992</v>
          </cell>
          <cell r="AI95">
            <v>2534.0250000000001</v>
          </cell>
          <cell r="AJ95">
            <v>204.6</v>
          </cell>
          <cell r="AK95">
            <v>603.9</v>
          </cell>
          <cell r="AL95">
            <v>110</v>
          </cell>
          <cell r="AM95">
            <v>124</v>
          </cell>
          <cell r="AN95">
            <v>448.5</v>
          </cell>
          <cell r="AO95">
            <v>5.65</v>
          </cell>
          <cell r="AP95">
            <v>1.65</v>
          </cell>
          <cell r="AQ95">
            <v>5.49</v>
          </cell>
          <cell r="AR95">
            <v>1.18</v>
          </cell>
          <cell r="AS95">
            <v>0.28000000000000003</v>
          </cell>
          <cell r="AT95">
            <v>14.53</v>
          </cell>
          <cell r="AU95">
            <v>1291.0250000000001</v>
          </cell>
          <cell r="AV95">
            <v>76.48</v>
          </cell>
          <cell r="AW95">
            <v>486.16</v>
          </cell>
          <cell r="AX95">
            <v>310.7</v>
          </cell>
          <cell r="AY95">
            <v>66.265000000000001</v>
          </cell>
          <cell r="AZ95">
            <v>7924.8799999999992</v>
          </cell>
          <cell r="BA95">
            <v>2534.0250000000001</v>
          </cell>
          <cell r="BB95">
            <v>204.6</v>
          </cell>
          <cell r="BC95">
            <v>603.9</v>
          </cell>
          <cell r="BD95">
            <v>146.32</v>
          </cell>
          <cell r="BE95">
            <v>125.58000000000001</v>
          </cell>
          <cell r="BF95">
            <v>1598.3</v>
          </cell>
          <cell r="BG95">
            <v>1.3412084894292016E-3</v>
          </cell>
          <cell r="BH95">
            <v>9.4354999999999993</v>
          </cell>
        </row>
        <row r="96">
          <cell r="A96" t="str">
            <v>LA</v>
          </cell>
          <cell r="B96" t="str">
            <v>PA</v>
          </cell>
          <cell r="C96" t="str">
            <v>H</v>
          </cell>
          <cell r="D96" t="str">
            <v>H</v>
          </cell>
          <cell r="E96">
            <v>30825</v>
          </cell>
          <cell r="F96">
            <v>15646</v>
          </cell>
          <cell r="G96">
            <v>13591</v>
          </cell>
          <cell r="H96">
            <v>7821</v>
          </cell>
          <cell r="I96">
            <v>13591</v>
          </cell>
          <cell r="J96">
            <v>329</v>
          </cell>
          <cell r="K96">
            <v>213</v>
          </cell>
          <cell r="L96">
            <v>6.05</v>
          </cell>
          <cell r="M96">
            <v>1.1200000000000001</v>
          </cell>
          <cell r="N96">
            <v>7821</v>
          </cell>
          <cell r="O96">
            <v>0.45</v>
          </cell>
          <cell r="P96">
            <v>0.16</v>
          </cell>
          <cell r="Q96">
            <v>15.45</v>
          </cell>
          <cell r="R96">
            <v>17234</v>
          </cell>
          <cell r="S96">
            <v>328</v>
          </cell>
          <cell r="T96">
            <v>329</v>
          </cell>
          <cell r="U96">
            <v>213</v>
          </cell>
          <cell r="V96">
            <v>6.05</v>
          </cell>
          <cell r="W96">
            <v>1.1200000000000001</v>
          </cell>
          <cell r="X96">
            <v>2.42</v>
          </cell>
          <cell r="Y96">
            <v>0.45</v>
          </cell>
          <cell r="Z96">
            <v>0.16</v>
          </cell>
          <cell r="AA96">
            <v>15.45</v>
          </cell>
          <cell r="AB96">
            <v>17234</v>
          </cell>
          <cell r="AC96">
            <v>1288.6499999999999</v>
          </cell>
          <cell r="AD96">
            <v>368.48</v>
          </cell>
          <cell r="AE96">
            <v>793.76</v>
          </cell>
          <cell r="AF96">
            <v>148.05000000000001</v>
          </cell>
          <cell r="AG96">
            <v>7825</v>
          </cell>
          <cell r="AH96">
            <v>5067.5999999999995</v>
          </cell>
          <cell r="AI96">
            <v>4840</v>
          </cell>
          <cell r="AJ96">
            <v>589.1</v>
          </cell>
          <cell r="AK96">
            <v>675.24</v>
          </cell>
          <cell r="AL96">
            <v>68</v>
          </cell>
          <cell r="AM96">
            <v>86</v>
          </cell>
          <cell r="AN96">
            <v>800</v>
          </cell>
          <cell r="AO96">
            <v>6.05</v>
          </cell>
          <cell r="AP96">
            <v>6.85</v>
          </cell>
          <cell r="AQ96">
            <v>9.93</v>
          </cell>
          <cell r="AR96">
            <v>0.34</v>
          </cell>
          <cell r="AS96">
            <v>0.19</v>
          </cell>
          <cell r="AT96">
            <v>16.71</v>
          </cell>
          <cell r="AU96">
            <v>1288.6499999999999</v>
          </cell>
          <cell r="AV96">
            <v>368.48</v>
          </cell>
          <cell r="AW96">
            <v>793.76</v>
          </cell>
          <cell r="AX96">
            <v>148.05000000000001</v>
          </cell>
          <cell r="AY96">
            <v>34.08</v>
          </cell>
          <cell r="AZ96">
            <v>5067.5999999999995</v>
          </cell>
          <cell r="BA96">
            <v>4840</v>
          </cell>
          <cell r="BB96">
            <v>589.1</v>
          </cell>
          <cell r="BC96">
            <v>675.24</v>
          </cell>
          <cell r="BD96">
            <v>29.240000000000002</v>
          </cell>
          <cell r="BE96">
            <v>152</v>
          </cell>
          <cell r="BF96">
            <v>1136.28</v>
          </cell>
          <cell r="BG96">
            <v>1.2634543025076442E-3</v>
          </cell>
          <cell r="BH96">
            <v>10.103499999999999</v>
          </cell>
        </row>
        <row r="97">
          <cell r="A97" t="str">
            <v>LA</v>
          </cell>
          <cell r="B97" t="str">
            <v>CL</v>
          </cell>
          <cell r="C97" t="str">
            <v>H</v>
          </cell>
          <cell r="D97" t="str">
            <v>H</v>
          </cell>
          <cell r="E97">
            <v>26855</v>
          </cell>
          <cell r="F97">
            <v>14357</v>
          </cell>
          <cell r="G97">
            <v>16021</v>
          </cell>
          <cell r="H97">
            <v>9671</v>
          </cell>
          <cell r="I97">
            <v>16021</v>
          </cell>
          <cell r="J97">
            <v>442</v>
          </cell>
          <cell r="K97">
            <v>272.25</v>
          </cell>
          <cell r="L97">
            <v>5.83</v>
          </cell>
          <cell r="M97">
            <v>0.79</v>
          </cell>
          <cell r="N97">
            <v>9671</v>
          </cell>
          <cell r="O97">
            <v>0.9</v>
          </cell>
          <cell r="P97">
            <v>0.11</v>
          </cell>
          <cell r="Q97">
            <v>12.6</v>
          </cell>
          <cell r="R97">
            <v>10834</v>
          </cell>
          <cell r="S97">
            <v>441</v>
          </cell>
          <cell r="T97">
            <v>442</v>
          </cell>
          <cell r="U97">
            <v>272.25</v>
          </cell>
          <cell r="V97">
            <v>5.83</v>
          </cell>
          <cell r="W97">
            <v>0.79</v>
          </cell>
          <cell r="X97">
            <v>1.37</v>
          </cell>
          <cell r="Y97">
            <v>0.9</v>
          </cell>
          <cell r="Z97">
            <v>0.11</v>
          </cell>
          <cell r="AA97">
            <v>12.6</v>
          </cell>
          <cell r="AB97">
            <v>10834</v>
          </cell>
          <cell r="AC97">
            <v>1587.2175</v>
          </cell>
          <cell r="AD97">
            <v>349.18</v>
          </cell>
          <cell r="AE97">
            <v>604.17000000000007</v>
          </cell>
          <cell r="AF97">
            <v>397.8</v>
          </cell>
          <cell r="AG97">
            <v>4686</v>
          </cell>
          <cell r="AH97">
            <v>5556.5999999999995</v>
          </cell>
          <cell r="AI97">
            <v>2489.41</v>
          </cell>
          <cell r="AJ97">
            <v>472.16</v>
          </cell>
          <cell r="AK97">
            <v>713.92</v>
          </cell>
          <cell r="AL97">
            <v>92</v>
          </cell>
          <cell r="AM97">
            <v>104</v>
          </cell>
          <cell r="AN97">
            <v>427</v>
          </cell>
          <cell r="AO97">
            <v>5.83</v>
          </cell>
          <cell r="AP97">
            <v>4.54</v>
          </cell>
          <cell r="AQ97">
            <v>7.76</v>
          </cell>
          <cell r="AR97">
            <v>0.74</v>
          </cell>
          <cell r="AS97">
            <v>0.1</v>
          </cell>
          <cell r="AT97">
            <v>23.95</v>
          </cell>
          <cell r="AU97">
            <v>1587.2175</v>
          </cell>
          <cell r="AV97">
            <v>349.18</v>
          </cell>
          <cell r="AW97">
            <v>604.17000000000007</v>
          </cell>
          <cell r="AX97">
            <v>397.8</v>
          </cell>
          <cell r="AY97">
            <v>29.947500000000002</v>
          </cell>
          <cell r="AZ97">
            <v>5556.5999999999995</v>
          </cell>
          <cell r="BA97">
            <v>2489.41</v>
          </cell>
          <cell r="BB97">
            <v>472.16</v>
          </cell>
          <cell r="BC97">
            <v>713.92</v>
          </cell>
          <cell r="BD97">
            <v>76.959999999999994</v>
          </cell>
          <cell r="BE97">
            <v>42.7</v>
          </cell>
          <cell r="BF97">
            <v>2203.4</v>
          </cell>
          <cell r="BG97">
            <v>1.100732045217933E-3</v>
          </cell>
          <cell r="BH97">
            <v>9.7361000000000004</v>
          </cell>
        </row>
        <row r="98">
          <cell r="A98" t="str">
            <v>LA</v>
          </cell>
          <cell r="B98" t="str">
            <v>VE</v>
          </cell>
          <cell r="C98" t="str">
            <v>H</v>
          </cell>
          <cell r="D98" t="str">
            <v>H</v>
          </cell>
          <cell r="E98">
            <v>21158</v>
          </cell>
          <cell r="F98">
            <v>9294</v>
          </cell>
          <cell r="G98">
            <v>9594</v>
          </cell>
          <cell r="H98">
            <v>4015</v>
          </cell>
          <cell r="I98">
            <v>9594</v>
          </cell>
          <cell r="J98">
            <v>207</v>
          </cell>
          <cell r="K98">
            <v>293</v>
          </cell>
          <cell r="L98">
            <v>4.91</v>
          </cell>
          <cell r="M98">
            <v>0.95</v>
          </cell>
          <cell r="N98">
            <v>4015</v>
          </cell>
          <cell r="O98">
            <v>0.77</v>
          </cell>
          <cell r="P98">
            <v>0.3</v>
          </cell>
          <cell r="Q98">
            <v>22.41</v>
          </cell>
          <cell r="R98">
            <v>11564</v>
          </cell>
          <cell r="S98">
            <v>196</v>
          </cell>
          <cell r="T98">
            <v>207</v>
          </cell>
          <cell r="U98">
            <v>293</v>
          </cell>
          <cell r="V98">
            <v>4.91</v>
          </cell>
          <cell r="W98">
            <v>0.95</v>
          </cell>
          <cell r="X98">
            <v>3.92</v>
          </cell>
          <cell r="Y98">
            <v>0.77</v>
          </cell>
          <cell r="Z98">
            <v>0.3</v>
          </cell>
          <cell r="AA98">
            <v>22.41</v>
          </cell>
          <cell r="AB98">
            <v>11564</v>
          </cell>
          <cell r="AC98">
            <v>1438.63</v>
          </cell>
          <cell r="AD98">
            <v>196.64999999999998</v>
          </cell>
          <cell r="AE98">
            <v>768.31999999999994</v>
          </cell>
          <cell r="AF98">
            <v>159.39000000000001</v>
          </cell>
          <cell r="AG98">
            <v>5279</v>
          </cell>
          <cell r="AH98">
            <v>4392.3599999999997</v>
          </cell>
          <cell r="AI98">
            <v>2659.6499999999996</v>
          </cell>
          <cell r="AJ98">
            <v>386.17</v>
          </cell>
          <cell r="AK98">
            <v>578.88</v>
          </cell>
          <cell r="AL98">
            <v>54</v>
          </cell>
          <cell r="AM98">
            <v>73</v>
          </cell>
          <cell r="AN98">
            <v>521.5</v>
          </cell>
          <cell r="AO98">
            <v>5.0999999999999996</v>
          </cell>
          <cell r="AP98">
            <v>5.29</v>
          </cell>
          <cell r="AQ98">
            <v>10.72</v>
          </cell>
          <cell r="AR98">
            <v>2.09</v>
          </cell>
          <cell r="AS98">
            <v>0.35</v>
          </cell>
          <cell r="AT98">
            <v>26.87</v>
          </cell>
          <cell r="AU98">
            <v>1438.63</v>
          </cell>
          <cell r="AV98">
            <v>196.64999999999998</v>
          </cell>
          <cell r="AW98">
            <v>768.31999999999994</v>
          </cell>
          <cell r="AX98">
            <v>159.39000000000001</v>
          </cell>
          <cell r="AY98">
            <v>87.899999999999991</v>
          </cell>
          <cell r="AZ98">
            <v>4392.3599999999997</v>
          </cell>
          <cell r="BA98">
            <v>2659.6499999999996</v>
          </cell>
          <cell r="BB98">
            <v>386.17</v>
          </cell>
          <cell r="BC98">
            <v>578.88</v>
          </cell>
          <cell r="BD98">
            <v>152.57</v>
          </cell>
          <cell r="BE98">
            <v>182.52499999999998</v>
          </cell>
          <cell r="BF98">
            <v>1450.98</v>
          </cell>
          <cell r="BG98">
            <v>8.6722355660849104E-4</v>
          </cell>
          <cell r="BH98">
            <v>8.5169999999999995</v>
          </cell>
        </row>
        <row r="99">
          <cell r="A99" t="str">
            <v>EI</v>
          </cell>
          <cell r="B99" t="str">
            <v>GH</v>
          </cell>
          <cell r="C99" t="str">
            <v>H</v>
          </cell>
          <cell r="D99" t="str">
            <v>H</v>
          </cell>
          <cell r="E99">
            <v>19263</v>
          </cell>
          <cell r="F99">
            <v>10441</v>
          </cell>
          <cell r="G99">
            <v>5912</v>
          </cell>
          <cell r="H99">
            <v>3666</v>
          </cell>
          <cell r="I99">
            <v>5912</v>
          </cell>
          <cell r="J99">
            <v>145</v>
          </cell>
          <cell r="K99">
            <v>69.75</v>
          </cell>
          <cell r="L99">
            <v>5</v>
          </cell>
          <cell r="M99">
            <v>0.6</v>
          </cell>
          <cell r="N99">
            <v>3666</v>
          </cell>
          <cell r="O99">
            <v>0.28999999999999998</v>
          </cell>
          <cell r="P99">
            <v>0.46</v>
          </cell>
          <cell r="Q99">
            <v>28.22</v>
          </cell>
          <cell r="R99">
            <v>13350</v>
          </cell>
          <cell r="S99">
            <v>145</v>
          </cell>
          <cell r="T99">
            <v>145</v>
          </cell>
          <cell r="U99">
            <v>69.75</v>
          </cell>
          <cell r="V99">
            <v>5</v>
          </cell>
          <cell r="W99">
            <v>0.6</v>
          </cell>
          <cell r="X99">
            <v>1.95</v>
          </cell>
          <cell r="Y99">
            <v>0.28999999999999998</v>
          </cell>
          <cell r="Z99">
            <v>0.46</v>
          </cell>
          <cell r="AA99">
            <v>28.22</v>
          </cell>
          <cell r="AB99">
            <v>13350</v>
          </cell>
          <cell r="AC99">
            <v>348.75</v>
          </cell>
          <cell r="AD99">
            <v>87</v>
          </cell>
          <cell r="AE99">
            <v>282.75</v>
          </cell>
          <cell r="AF99">
            <v>42.05</v>
          </cell>
          <cell r="AG99">
            <v>6775</v>
          </cell>
          <cell r="AH99">
            <v>4091.8999999999996</v>
          </cell>
          <cell r="AI99">
            <v>3368.75</v>
          </cell>
          <cell r="AJ99">
            <v>352.66</v>
          </cell>
          <cell r="AK99">
            <v>192.20999999999998</v>
          </cell>
          <cell r="AL99">
            <v>43</v>
          </cell>
          <cell r="AM99">
            <v>77</v>
          </cell>
          <cell r="AN99">
            <v>673.75</v>
          </cell>
          <cell r="AO99">
            <v>5</v>
          </cell>
          <cell r="AP99">
            <v>4.58</v>
          </cell>
          <cell r="AQ99">
            <v>4.47</v>
          </cell>
          <cell r="AR99">
            <v>1.17</v>
          </cell>
          <cell r="AS99">
            <v>0.31</v>
          </cell>
          <cell r="AT99">
            <v>14.31</v>
          </cell>
          <cell r="AU99">
            <v>348.75</v>
          </cell>
          <cell r="AV99">
            <v>87</v>
          </cell>
          <cell r="AW99">
            <v>282.75</v>
          </cell>
          <cell r="AX99">
            <v>42.05</v>
          </cell>
          <cell r="AY99">
            <v>32.085000000000001</v>
          </cell>
          <cell r="AZ99">
            <v>4091.8999999999996</v>
          </cell>
          <cell r="BA99">
            <v>3368.75</v>
          </cell>
          <cell r="BB99">
            <v>352.66</v>
          </cell>
          <cell r="BC99">
            <v>192.20999999999998</v>
          </cell>
          <cell r="BD99">
            <v>90.089999999999989</v>
          </cell>
          <cell r="BE99">
            <v>208.86250000000001</v>
          </cell>
          <cell r="BF99">
            <v>615.33000000000004</v>
          </cell>
          <cell r="BG99">
            <v>7.895513456351906E-4</v>
          </cell>
          <cell r="BH99">
            <v>8.35</v>
          </cell>
        </row>
        <row r="100">
          <cell r="A100" t="str">
            <v>EC</v>
          </cell>
          <cell r="B100" t="str">
            <v>MG</v>
          </cell>
          <cell r="C100" t="str">
            <v>H</v>
          </cell>
          <cell r="D100" t="str">
            <v>H</v>
          </cell>
          <cell r="E100">
            <v>15545</v>
          </cell>
          <cell r="F100">
            <v>7419</v>
          </cell>
          <cell r="G100">
            <v>10230</v>
          </cell>
          <cell r="H100">
            <v>5182</v>
          </cell>
          <cell r="I100">
            <v>10230</v>
          </cell>
          <cell r="J100">
            <v>247</v>
          </cell>
          <cell r="K100">
            <v>100.25</v>
          </cell>
          <cell r="L100">
            <v>6.71</v>
          </cell>
          <cell r="M100">
            <v>0.56999999999999995</v>
          </cell>
          <cell r="N100">
            <v>5182</v>
          </cell>
          <cell r="O100">
            <v>0.79</v>
          </cell>
          <cell r="P100">
            <v>0.37</v>
          </cell>
          <cell r="Q100">
            <v>14.53</v>
          </cell>
          <cell r="R100">
            <v>5315</v>
          </cell>
          <cell r="S100">
            <v>247</v>
          </cell>
          <cell r="T100">
            <v>247</v>
          </cell>
          <cell r="U100">
            <v>100.25</v>
          </cell>
          <cell r="V100">
            <v>6.71</v>
          </cell>
          <cell r="W100">
            <v>0.56999999999999995</v>
          </cell>
          <cell r="X100">
            <v>2.23</v>
          </cell>
          <cell r="Y100">
            <v>0.79</v>
          </cell>
          <cell r="Z100">
            <v>0.37</v>
          </cell>
          <cell r="AA100">
            <v>14.53</v>
          </cell>
          <cell r="AB100">
            <v>5315</v>
          </cell>
          <cell r="AC100">
            <v>672.67750000000001</v>
          </cell>
          <cell r="AD100">
            <v>140.79</v>
          </cell>
          <cell r="AE100">
            <v>550.80999999999995</v>
          </cell>
          <cell r="AF100">
            <v>195.13</v>
          </cell>
          <cell r="AG100">
            <v>2238</v>
          </cell>
          <cell r="AH100">
            <v>3588.91</v>
          </cell>
          <cell r="AI100">
            <v>695.125</v>
          </cell>
          <cell r="AJ100">
            <v>254.65</v>
          </cell>
          <cell r="AK100">
            <v>222.2</v>
          </cell>
          <cell r="AL100">
            <v>55</v>
          </cell>
          <cell r="AM100">
            <v>55</v>
          </cell>
          <cell r="AN100">
            <v>103.75</v>
          </cell>
          <cell r="AO100">
            <v>6.7</v>
          </cell>
          <cell r="AP100">
            <v>4.63</v>
          </cell>
          <cell r="AQ100">
            <v>4.04</v>
          </cell>
          <cell r="AR100">
            <v>0.38</v>
          </cell>
          <cell r="AS100">
            <v>0.1</v>
          </cell>
          <cell r="AT100">
            <v>22.93</v>
          </cell>
          <cell r="AU100">
            <v>672.67750000000001</v>
          </cell>
          <cell r="AV100">
            <v>140.79</v>
          </cell>
          <cell r="AW100">
            <v>550.80999999999995</v>
          </cell>
          <cell r="AX100">
            <v>195.13</v>
          </cell>
          <cell r="AY100">
            <v>37.092500000000001</v>
          </cell>
          <cell r="AZ100">
            <v>3588.91</v>
          </cell>
          <cell r="BA100">
            <v>695.125</v>
          </cell>
          <cell r="BB100">
            <v>254.65</v>
          </cell>
          <cell r="BC100">
            <v>222.2</v>
          </cell>
          <cell r="BD100">
            <v>20.9</v>
          </cell>
          <cell r="BE100">
            <v>10.375</v>
          </cell>
          <cell r="BF100">
            <v>1261.1500000000001</v>
          </cell>
          <cell r="BG100">
            <v>6.3715805782583394E-4</v>
          </cell>
          <cell r="BH100">
            <v>11.189</v>
          </cell>
        </row>
        <row r="101">
          <cell r="A101" t="str">
            <v>EG</v>
          </cell>
          <cell r="B101" t="str">
            <v>MA</v>
          </cell>
          <cell r="C101" t="str">
            <v>H</v>
          </cell>
          <cell r="D101" t="str">
            <v>H</v>
          </cell>
          <cell r="E101">
            <v>15531</v>
          </cell>
          <cell r="F101">
            <v>5984</v>
          </cell>
          <cell r="G101">
            <v>6283</v>
          </cell>
          <cell r="H101">
            <v>2885</v>
          </cell>
          <cell r="I101">
            <v>6283</v>
          </cell>
          <cell r="J101">
            <v>159</v>
          </cell>
          <cell r="K101">
            <v>79.75</v>
          </cell>
          <cell r="L101">
            <v>6.21</v>
          </cell>
          <cell r="M101">
            <v>0.59</v>
          </cell>
          <cell r="N101">
            <v>2885</v>
          </cell>
          <cell r="O101">
            <v>0.02</v>
          </cell>
          <cell r="P101">
            <v>0.93</v>
          </cell>
          <cell r="Q101">
            <v>63.16</v>
          </cell>
          <cell r="R101">
            <v>9248</v>
          </cell>
          <cell r="S101">
            <v>159</v>
          </cell>
          <cell r="T101">
            <v>159</v>
          </cell>
          <cell r="U101">
            <v>79.75</v>
          </cell>
          <cell r="V101">
            <v>6.21</v>
          </cell>
          <cell r="W101">
            <v>0.59</v>
          </cell>
          <cell r="X101">
            <v>4.5599999999999996</v>
          </cell>
          <cell r="Y101">
            <v>0.02</v>
          </cell>
          <cell r="Z101">
            <v>0.93</v>
          </cell>
          <cell r="AA101">
            <v>63.16</v>
          </cell>
          <cell r="AB101">
            <v>9248</v>
          </cell>
          <cell r="AC101">
            <v>495.2475</v>
          </cell>
          <cell r="AD101">
            <v>93.809999999999988</v>
          </cell>
          <cell r="AE101">
            <v>725.04</v>
          </cell>
          <cell r="AF101">
            <v>3.18</v>
          </cell>
          <cell r="AG101">
            <v>3099</v>
          </cell>
          <cell r="AH101">
            <v>10042.439999999999</v>
          </cell>
          <cell r="AI101">
            <v>2733.9524999999999</v>
          </cell>
          <cell r="AJ101">
            <v>312.32</v>
          </cell>
          <cell r="AK101">
            <v>541.66000000000008</v>
          </cell>
          <cell r="AL101">
            <v>53</v>
          </cell>
          <cell r="AM101">
            <v>61</v>
          </cell>
          <cell r="AN101">
            <v>440.25</v>
          </cell>
          <cell r="AO101">
            <v>6.21</v>
          </cell>
          <cell r="AP101">
            <v>5.12</v>
          </cell>
          <cell r="AQ101">
            <v>10.220000000000001</v>
          </cell>
          <cell r="AR101">
            <v>2.25</v>
          </cell>
          <cell r="AS101">
            <v>0.59</v>
          </cell>
          <cell r="AT101">
            <v>21.2667974539367</v>
          </cell>
          <cell r="AU101">
            <v>495.2475</v>
          </cell>
          <cell r="AV101">
            <v>93.809999999999988</v>
          </cell>
          <cell r="AW101">
            <v>725.04</v>
          </cell>
          <cell r="AX101">
            <v>3.18</v>
          </cell>
          <cell r="AY101">
            <v>74.167500000000004</v>
          </cell>
          <cell r="AZ101">
            <v>10042.439999999999</v>
          </cell>
          <cell r="BA101">
            <v>2733.9524999999999</v>
          </cell>
          <cell r="BB101">
            <v>312.32</v>
          </cell>
          <cell r="BC101">
            <v>541.66000000000008</v>
          </cell>
          <cell r="BD101">
            <v>137.25</v>
          </cell>
          <cell r="BE101">
            <v>259.7475</v>
          </cell>
          <cell r="BF101">
            <v>1127.1402650586451</v>
          </cell>
          <cell r="BG101">
            <v>6.3658422618803644E-4</v>
          </cell>
          <cell r="BH101">
            <v>10.370699999999999</v>
          </cell>
        </row>
        <row r="102">
          <cell r="A102" t="str">
            <v>LA</v>
          </cell>
          <cell r="B102" t="str">
            <v>CO</v>
          </cell>
          <cell r="C102" t="str">
            <v>H</v>
          </cell>
          <cell r="D102" t="str">
            <v>H</v>
          </cell>
          <cell r="E102">
            <v>14086</v>
          </cell>
          <cell r="F102">
            <v>4530</v>
          </cell>
          <cell r="G102">
            <v>6657</v>
          </cell>
          <cell r="H102">
            <v>2660</v>
          </cell>
          <cell r="I102">
            <v>6657</v>
          </cell>
          <cell r="J102">
            <v>182</v>
          </cell>
          <cell r="K102">
            <v>75</v>
          </cell>
          <cell r="L102">
            <v>7.65</v>
          </cell>
          <cell r="M102">
            <v>1.02</v>
          </cell>
          <cell r="N102">
            <v>2660</v>
          </cell>
          <cell r="O102">
            <v>0.39</v>
          </cell>
          <cell r="P102">
            <v>0.15</v>
          </cell>
          <cell r="Q102">
            <v>22.87</v>
          </cell>
          <cell r="R102">
            <v>7429</v>
          </cell>
          <cell r="S102">
            <v>180</v>
          </cell>
          <cell r="T102">
            <v>182</v>
          </cell>
          <cell r="U102">
            <v>75</v>
          </cell>
          <cell r="V102">
            <v>7.65</v>
          </cell>
          <cell r="W102">
            <v>1.02</v>
          </cell>
          <cell r="X102">
            <v>2.83</v>
          </cell>
          <cell r="Y102">
            <v>0.39</v>
          </cell>
          <cell r="Z102">
            <v>0.15</v>
          </cell>
          <cell r="AA102">
            <v>22.87</v>
          </cell>
          <cell r="AB102">
            <v>7429</v>
          </cell>
          <cell r="AC102">
            <v>573.75</v>
          </cell>
          <cell r="AD102">
            <v>185.64000000000001</v>
          </cell>
          <cell r="AE102">
            <v>509.40000000000003</v>
          </cell>
          <cell r="AF102">
            <v>70.98</v>
          </cell>
          <cell r="AG102">
            <v>1870</v>
          </cell>
          <cell r="AH102">
            <v>4116.6000000000004</v>
          </cell>
          <cell r="AI102">
            <v>2261.2975000000001</v>
          </cell>
          <cell r="AJ102">
            <v>406.09999999999997</v>
          </cell>
          <cell r="AK102">
            <v>627.81000000000006</v>
          </cell>
          <cell r="AL102">
            <v>51</v>
          </cell>
          <cell r="AM102">
            <v>62</v>
          </cell>
          <cell r="AN102">
            <v>327.25</v>
          </cell>
          <cell r="AO102">
            <v>6.91</v>
          </cell>
          <cell r="AP102">
            <v>6.55</v>
          </cell>
          <cell r="AQ102">
            <v>12.31</v>
          </cell>
          <cell r="AR102">
            <v>0.83</v>
          </cell>
          <cell r="AS102">
            <v>0.46</v>
          </cell>
          <cell r="AT102">
            <v>12.4831254454222</v>
          </cell>
          <cell r="AU102">
            <v>573.75</v>
          </cell>
          <cell r="AV102">
            <v>185.64000000000001</v>
          </cell>
          <cell r="AW102">
            <v>509.40000000000003</v>
          </cell>
          <cell r="AX102">
            <v>70.98</v>
          </cell>
          <cell r="AY102">
            <v>11.25</v>
          </cell>
          <cell r="AZ102">
            <v>4116.6000000000004</v>
          </cell>
          <cell r="BA102">
            <v>2261.2975000000001</v>
          </cell>
          <cell r="BB102">
            <v>406.09999999999997</v>
          </cell>
          <cell r="BC102">
            <v>627.81000000000006</v>
          </cell>
          <cell r="BD102">
            <v>51.46</v>
          </cell>
          <cell r="BE102">
            <v>150.535</v>
          </cell>
          <cell r="BF102">
            <v>636.63939771653224</v>
          </cell>
          <cell r="BG102">
            <v>5.7735660357251186E-4</v>
          </cell>
          <cell r="BH102">
            <v>11.5397</v>
          </cell>
        </row>
        <row r="103">
          <cell r="A103" t="str">
            <v>EI</v>
          </cell>
          <cell r="B103" t="str">
            <v>CM</v>
          </cell>
          <cell r="C103" t="str">
            <v>H</v>
          </cell>
          <cell r="D103" t="str">
            <v>H</v>
          </cell>
          <cell r="E103">
            <v>13909</v>
          </cell>
          <cell r="F103">
            <v>3136</v>
          </cell>
          <cell r="G103">
            <v>4219</v>
          </cell>
          <cell r="H103">
            <v>2383</v>
          </cell>
          <cell r="I103">
            <v>4219</v>
          </cell>
          <cell r="J103">
            <v>97</v>
          </cell>
          <cell r="K103">
            <v>39.75</v>
          </cell>
          <cell r="L103">
            <v>7.89</v>
          </cell>
          <cell r="M103">
            <v>0.6</v>
          </cell>
          <cell r="N103">
            <v>2383</v>
          </cell>
          <cell r="O103">
            <v>0.46</v>
          </cell>
          <cell r="P103">
            <v>0.3</v>
          </cell>
          <cell r="Q103">
            <v>14.2</v>
          </cell>
          <cell r="R103">
            <v>9690</v>
          </cell>
          <cell r="S103">
            <v>97</v>
          </cell>
          <cell r="T103">
            <v>97</v>
          </cell>
          <cell r="U103">
            <v>39.75</v>
          </cell>
          <cell r="V103">
            <v>7.89</v>
          </cell>
          <cell r="W103">
            <v>0.6</v>
          </cell>
          <cell r="X103">
            <v>2.08</v>
          </cell>
          <cell r="Y103">
            <v>0.46</v>
          </cell>
          <cell r="Z103">
            <v>0.3</v>
          </cell>
          <cell r="AA103">
            <v>14.2</v>
          </cell>
          <cell r="AB103">
            <v>9690</v>
          </cell>
          <cell r="AC103">
            <v>313.6275</v>
          </cell>
          <cell r="AD103">
            <v>58.199999999999996</v>
          </cell>
          <cell r="AE103">
            <v>201.76000000000002</v>
          </cell>
          <cell r="AF103">
            <v>44.620000000000005</v>
          </cell>
          <cell r="AG103">
            <v>753</v>
          </cell>
          <cell r="AH103">
            <v>1377.3999999999999</v>
          </cell>
          <cell r="AI103">
            <v>5700.5249999999996</v>
          </cell>
          <cell r="AJ103">
            <v>248.85000000000002</v>
          </cell>
          <cell r="AK103">
            <v>196.89999999999998</v>
          </cell>
          <cell r="AL103">
            <v>22</v>
          </cell>
          <cell r="AM103">
            <v>35</v>
          </cell>
          <cell r="AN103">
            <v>722.5</v>
          </cell>
          <cell r="AO103">
            <v>7.89</v>
          </cell>
          <cell r="AP103">
            <v>7.11</v>
          </cell>
          <cell r="AQ103">
            <v>8.9499999999999993</v>
          </cell>
          <cell r="AR103">
            <v>1.93</v>
          </cell>
          <cell r="AS103">
            <v>0.4</v>
          </cell>
          <cell r="AT103">
            <v>14.16</v>
          </cell>
          <cell r="AU103">
            <v>313.6275</v>
          </cell>
          <cell r="AV103">
            <v>58.199999999999996</v>
          </cell>
          <cell r="AW103">
            <v>201.76000000000002</v>
          </cell>
          <cell r="AX103">
            <v>44.620000000000005</v>
          </cell>
          <cell r="AY103">
            <v>11.924999999999999</v>
          </cell>
          <cell r="AZ103">
            <v>1377.3999999999999</v>
          </cell>
          <cell r="BA103">
            <v>5700.5249999999996</v>
          </cell>
          <cell r="BB103">
            <v>248.85000000000002</v>
          </cell>
          <cell r="BC103">
            <v>196.89999999999998</v>
          </cell>
          <cell r="BD103">
            <v>67.55</v>
          </cell>
          <cell r="BE103">
            <v>289</v>
          </cell>
          <cell r="BF103">
            <v>311.52</v>
          </cell>
          <cell r="BG103">
            <v>5.7010173215178662E-4</v>
          </cell>
          <cell r="BH103">
            <v>13.176299999999999</v>
          </cell>
        </row>
        <row r="104">
          <cell r="A104" t="str">
            <v>ED</v>
          </cell>
          <cell r="B104" t="str">
            <v>MT</v>
          </cell>
          <cell r="C104" t="str">
            <v>H</v>
          </cell>
          <cell r="D104" t="str">
            <v>H</v>
          </cell>
          <cell r="E104">
            <v>13620</v>
          </cell>
          <cell r="F104">
            <v>11629</v>
          </cell>
          <cell r="G104">
            <v>6008</v>
          </cell>
          <cell r="H104">
            <v>3758</v>
          </cell>
          <cell r="I104">
            <v>6008</v>
          </cell>
          <cell r="J104">
            <v>122</v>
          </cell>
          <cell r="K104">
            <v>58</v>
          </cell>
          <cell r="L104">
            <v>4.32</v>
          </cell>
          <cell r="M104">
            <v>0.74</v>
          </cell>
          <cell r="N104">
            <v>3758</v>
          </cell>
          <cell r="O104">
            <v>16.089102718890999</v>
          </cell>
          <cell r="P104">
            <v>7612</v>
          </cell>
          <cell r="Q104">
            <v>7871</v>
          </cell>
          <cell r="R104">
            <v>90</v>
          </cell>
          <cell r="S104">
            <v>122</v>
          </cell>
          <cell r="T104">
            <v>122</v>
          </cell>
          <cell r="U104">
            <v>58</v>
          </cell>
          <cell r="V104">
            <v>4.32</v>
          </cell>
          <cell r="W104">
            <v>0.74</v>
          </cell>
          <cell r="X104">
            <v>4.41</v>
          </cell>
          <cell r="Y104">
            <v>250.56</v>
          </cell>
          <cell r="Z104">
            <v>90.28</v>
          </cell>
          <cell r="AA104">
            <v>16.089102718890999</v>
          </cell>
          <cell r="AB104">
            <v>7612</v>
          </cell>
          <cell r="AC104">
            <v>0</v>
          </cell>
          <cell r="AD104">
            <v>1962.8705317047018</v>
          </cell>
          <cell r="AE104">
            <v>2265.84</v>
          </cell>
          <cell r="AF104">
            <v>438.04</v>
          </cell>
          <cell r="AG104">
            <v>7871</v>
          </cell>
          <cell r="AH104">
            <v>0</v>
          </cell>
          <cell r="AI104">
            <v>0</v>
          </cell>
          <cell r="AJ104">
            <v>2195.1</v>
          </cell>
          <cell r="AK104">
            <v>5.5825620762868175E-4</v>
          </cell>
          <cell r="AL104">
            <v>90</v>
          </cell>
          <cell r="AM104">
            <v>94</v>
          </cell>
          <cell r="AN104">
            <v>524.5</v>
          </cell>
          <cell r="AO104">
            <v>4.32</v>
          </cell>
          <cell r="AP104">
            <v>4.66</v>
          </cell>
          <cell r="AQ104">
            <v>14.43</v>
          </cell>
          <cell r="AR104">
            <v>0</v>
          </cell>
          <cell r="AS104">
            <v>0</v>
          </cell>
          <cell r="AT104">
            <v>24.39</v>
          </cell>
          <cell r="AU104">
            <v>250.56</v>
          </cell>
          <cell r="AV104">
            <v>90.28</v>
          </cell>
          <cell r="AW104">
            <v>538.02</v>
          </cell>
          <cell r="AX104">
            <v>0</v>
          </cell>
          <cell r="AY104">
            <v>0</v>
          </cell>
          <cell r="AZ104">
            <v>1962.8705317047018</v>
          </cell>
          <cell r="BA104">
            <v>2265.84</v>
          </cell>
          <cell r="BB104">
            <v>438.04</v>
          </cell>
          <cell r="BC104">
            <v>1298.7</v>
          </cell>
          <cell r="BD104">
            <v>0</v>
          </cell>
          <cell r="BE104">
            <v>0</v>
          </cell>
          <cell r="BF104">
            <v>2195.1</v>
          </cell>
          <cell r="BG104">
            <v>5.5825620762868175E-4</v>
          </cell>
          <cell r="BH104">
            <v>7.2144000000000004</v>
          </cell>
        </row>
        <row r="105">
          <cell r="A105" t="str">
            <v>EF</v>
          </cell>
          <cell r="B105" t="str">
            <v>SD</v>
          </cell>
          <cell r="C105" t="str">
            <v>H</v>
          </cell>
          <cell r="D105" t="str">
            <v>H</v>
          </cell>
          <cell r="E105">
            <v>11898</v>
          </cell>
          <cell r="F105">
            <v>6285</v>
          </cell>
          <cell r="G105">
            <v>6541</v>
          </cell>
          <cell r="H105">
            <v>3853</v>
          </cell>
          <cell r="I105">
            <v>6541</v>
          </cell>
          <cell r="J105">
            <v>138</v>
          </cell>
          <cell r="K105">
            <v>60</v>
          </cell>
          <cell r="L105">
            <v>5.68</v>
          </cell>
          <cell r="M105">
            <v>0.72</v>
          </cell>
          <cell r="N105">
            <v>3853</v>
          </cell>
          <cell r="O105">
            <v>1.1299999999999999</v>
          </cell>
          <cell r="P105">
            <v>0.69</v>
          </cell>
          <cell r="Q105">
            <v>14.53</v>
          </cell>
          <cell r="R105">
            <v>5357</v>
          </cell>
          <cell r="S105">
            <v>138</v>
          </cell>
          <cell r="T105">
            <v>138</v>
          </cell>
          <cell r="U105">
            <v>60</v>
          </cell>
          <cell r="V105">
            <v>5.68</v>
          </cell>
          <cell r="W105">
            <v>0.72</v>
          </cell>
          <cell r="X105">
            <v>3.24</v>
          </cell>
          <cell r="Y105">
            <v>1.1299999999999999</v>
          </cell>
          <cell r="Z105">
            <v>0.69</v>
          </cell>
          <cell r="AA105">
            <v>14.53</v>
          </cell>
          <cell r="AB105">
            <v>5357</v>
          </cell>
          <cell r="AC105">
            <v>340.79999999999995</v>
          </cell>
          <cell r="AD105">
            <v>99.36</v>
          </cell>
          <cell r="AE105">
            <v>447.12</v>
          </cell>
          <cell r="AF105">
            <v>155.94</v>
          </cell>
          <cell r="AG105">
            <v>2433</v>
          </cell>
          <cell r="AH105">
            <v>2005.1399999999999</v>
          </cell>
          <cell r="AI105">
            <v>745.5</v>
          </cell>
          <cell r="AJ105">
            <v>243.46</v>
          </cell>
          <cell r="AK105">
            <v>534.28</v>
          </cell>
          <cell r="AL105">
            <v>37</v>
          </cell>
          <cell r="AM105">
            <v>37</v>
          </cell>
          <cell r="AN105">
            <v>131.25</v>
          </cell>
          <cell r="AO105">
            <v>5.68</v>
          </cell>
          <cell r="AP105">
            <v>6.58</v>
          </cell>
          <cell r="AQ105">
            <v>14.44</v>
          </cell>
          <cell r="AR105">
            <v>1.73</v>
          </cell>
          <cell r="AS105">
            <v>0.48</v>
          </cell>
          <cell r="AT105">
            <v>15.82</v>
          </cell>
          <cell r="AU105">
            <v>340.79999999999995</v>
          </cell>
          <cell r="AV105">
            <v>99.36</v>
          </cell>
          <cell r="AW105">
            <v>447.12</v>
          </cell>
          <cell r="AX105">
            <v>155.94</v>
          </cell>
          <cell r="AY105">
            <v>41.4</v>
          </cell>
          <cell r="AZ105">
            <v>2005.1399999999999</v>
          </cell>
          <cell r="BA105">
            <v>745.5</v>
          </cell>
          <cell r="BB105">
            <v>243.46</v>
          </cell>
          <cell r="BC105">
            <v>534.28</v>
          </cell>
          <cell r="BD105">
            <v>64.010000000000005</v>
          </cell>
          <cell r="BE105">
            <v>63</v>
          </cell>
          <cell r="BF105">
            <v>585.34</v>
          </cell>
          <cell r="BG105">
            <v>4.8767491617959292E-4</v>
          </cell>
          <cell r="BH105">
            <v>9.4855999999999998</v>
          </cell>
        </row>
        <row r="106">
          <cell r="A106" t="str">
            <v>EA</v>
          </cell>
          <cell r="B106" t="str">
            <v>JE</v>
          </cell>
          <cell r="C106" t="str">
            <v>H</v>
          </cell>
          <cell r="D106" t="str">
            <v>H</v>
          </cell>
          <cell r="E106">
            <v>11793</v>
          </cell>
          <cell r="F106">
            <v>6906</v>
          </cell>
          <cell r="G106">
            <v>9440</v>
          </cell>
          <cell r="H106">
            <v>5424</v>
          </cell>
          <cell r="I106">
            <v>9440</v>
          </cell>
          <cell r="J106">
            <v>224</v>
          </cell>
          <cell r="K106">
            <v>80.25</v>
          </cell>
          <cell r="L106">
            <v>2.52</v>
          </cell>
          <cell r="M106">
            <v>0.56999999999999995</v>
          </cell>
          <cell r="N106">
            <v>5424</v>
          </cell>
          <cell r="O106">
            <v>1.1000000000000001</v>
          </cell>
          <cell r="P106">
            <v>0.17</v>
          </cell>
          <cell r="Q106">
            <v>25.8631203334322</v>
          </cell>
          <cell r="R106">
            <v>2353</v>
          </cell>
          <cell r="S106">
            <v>223</v>
          </cell>
          <cell r="T106">
            <v>224</v>
          </cell>
          <cell r="U106">
            <v>80.25</v>
          </cell>
          <cell r="V106">
            <v>2.52</v>
          </cell>
          <cell r="W106">
            <v>0.56999999999999995</v>
          </cell>
          <cell r="X106">
            <v>3.91</v>
          </cell>
          <cell r="Y106">
            <v>1.1000000000000001</v>
          </cell>
          <cell r="Z106">
            <v>0.17</v>
          </cell>
          <cell r="AA106">
            <v>25.8631203334322</v>
          </cell>
          <cell r="AB106">
            <v>2353</v>
          </cell>
          <cell r="AC106">
            <v>202.23</v>
          </cell>
          <cell r="AD106">
            <v>127.67999999999999</v>
          </cell>
          <cell r="AE106">
            <v>871.93000000000006</v>
          </cell>
          <cell r="AF106">
            <v>246.40000000000003</v>
          </cell>
          <cell r="AG106">
            <v>1481</v>
          </cell>
          <cell r="AH106">
            <v>5767.4758343553804</v>
          </cell>
          <cell r="AI106">
            <v>168.17</v>
          </cell>
          <cell r="AJ106">
            <v>79.92</v>
          </cell>
          <cell r="AK106">
            <v>177.84</v>
          </cell>
          <cell r="AL106">
            <v>18</v>
          </cell>
          <cell r="AM106">
            <v>18</v>
          </cell>
          <cell r="AN106">
            <v>67</v>
          </cell>
          <cell r="AO106">
            <v>2.5099999999999998</v>
          </cell>
          <cell r="AP106">
            <v>4.4400000000000004</v>
          </cell>
          <cell r="AQ106">
            <v>9.8800000000000008</v>
          </cell>
          <cell r="AR106">
            <v>1.32</v>
          </cell>
          <cell r="AS106">
            <v>0.18</v>
          </cell>
          <cell r="AT106">
            <v>14.12</v>
          </cell>
          <cell r="AU106">
            <v>202.23</v>
          </cell>
          <cell r="AV106">
            <v>127.67999999999999</v>
          </cell>
          <cell r="AW106">
            <v>871.93000000000006</v>
          </cell>
          <cell r="AX106">
            <v>246.40000000000003</v>
          </cell>
          <cell r="AY106">
            <v>13.642500000000002</v>
          </cell>
          <cell r="AZ106">
            <v>5767.4758343553804</v>
          </cell>
          <cell r="BA106">
            <v>168.17</v>
          </cell>
          <cell r="BB106">
            <v>79.92</v>
          </cell>
          <cell r="BC106">
            <v>177.84</v>
          </cell>
          <cell r="BD106">
            <v>23.76</v>
          </cell>
          <cell r="BE106">
            <v>12.059999999999999</v>
          </cell>
          <cell r="BF106">
            <v>254.16</v>
          </cell>
          <cell r="BG106">
            <v>4.8337117889611186E-4</v>
          </cell>
          <cell r="BH106">
            <v>4.1916999999999991</v>
          </cell>
        </row>
        <row r="107">
          <cell r="A107" t="str">
            <v>EK</v>
          </cell>
          <cell r="B107" t="str">
            <v>TZ</v>
          </cell>
          <cell r="C107" t="str">
            <v>H</v>
          </cell>
          <cell r="D107" t="str">
            <v>H</v>
          </cell>
          <cell r="E107">
            <v>11727</v>
          </cell>
          <cell r="F107">
            <v>7465</v>
          </cell>
          <cell r="G107">
            <v>9613</v>
          </cell>
          <cell r="H107">
            <v>6081</v>
          </cell>
          <cell r="I107">
            <v>9613</v>
          </cell>
          <cell r="J107">
            <v>282</v>
          </cell>
          <cell r="K107">
            <v>84.5</v>
          </cell>
          <cell r="L107">
            <v>3</v>
          </cell>
          <cell r="M107">
            <v>0.13</v>
          </cell>
          <cell r="N107">
            <v>6081</v>
          </cell>
          <cell r="O107">
            <v>0.59</v>
          </cell>
          <cell r="P107">
            <v>0.25</v>
          </cell>
          <cell r="Q107">
            <v>18.22</v>
          </cell>
          <cell r="R107">
            <v>2113</v>
          </cell>
          <cell r="S107">
            <v>282</v>
          </cell>
          <cell r="T107">
            <v>282</v>
          </cell>
          <cell r="U107">
            <v>84.5</v>
          </cell>
          <cell r="V107">
            <v>3</v>
          </cell>
          <cell r="W107">
            <v>0.13</v>
          </cell>
          <cell r="X107">
            <v>1.93</v>
          </cell>
          <cell r="Y107">
            <v>0.59</v>
          </cell>
          <cell r="Z107">
            <v>0.25</v>
          </cell>
          <cell r="AA107">
            <v>18.22</v>
          </cell>
          <cell r="AB107">
            <v>2113</v>
          </cell>
          <cell r="AC107">
            <v>253.5</v>
          </cell>
          <cell r="AD107">
            <v>36.660000000000004</v>
          </cell>
          <cell r="AE107">
            <v>544.26</v>
          </cell>
          <cell r="AF107">
            <v>166.38</v>
          </cell>
          <cell r="AG107">
            <v>1384</v>
          </cell>
          <cell r="AH107">
            <v>5138.04</v>
          </cell>
          <cell r="AI107">
            <v>128.25</v>
          </cell>
          <cell r="AJ107">
            <v>32.299999999999997</v>
          </cell>
          <cell r="AK107">
            <v>117.13</v>
          </cell>
          <cell r="AL107">
            <v>17</v>
          </cell>
          <cell r="AM107">
            <v>17</v>
          </cell>
          <cell r="AN107">
            <v>42.75</v>
          </cell>
          <cell r="AO107">
            <v>3</v>
          </cell>
          <cell r="AP107">
            <v>1.9</v>
          </cell>
          <cell r="AQ107">
            <v>6.89</v>
          </cell>
          <cell r="AR107">
            <v>0.53</v>
          </cell>
          <cell r="AS107">
            <v>0.25</v>
          </cell>
          <cell r="AT107">
            <v>31.42</v>
          </cell>
          <cell r="AU107">
            <v>253.5</v>
          </cell>
          <cell r="AV107">
            <v>36.660000000000004</v>
          </cell>
          <cell r="AW107">
            <v>544.26</v>
          </cell>
          <cell r="AX107">
            <v>166.38</v>
          </cell>
          <cell r="AY107">
            <v>21.125</v>
          </cell>
          <cell r="AZ107">
            <v>5138.04</v>
          </cell>
          <cell r="BA107">
            <v>128.25</v>
          </cell>
          <cell r="BB107">
            <v>32.299999999999997</v>
          </cell>
          <cell r="BC107">
            <v>117.13</v>
          </cell>
          <cell r="BD107">
            <v>9.01</v>
          </cell>
          <cell r="BE107">
            <v>10.6875</v>
          </cell>
          <cell r="BF107">
            <v>534.14</v>
          </cell>
          <cell r="BG107">
            <v>4.8066597260363811E-4</v>
          </cell>
          <cell r="BH107">
            <v>5.01</v>
          </cell>
        </row>
        <row r="108">
          <cell r="A108" t="str">
            <v>EC</v>
          </cell>
          <cell r="B108" t="str">
            <v>AO</v>
          </cell>
          <cell r="C108" t="str">
            <v>H</v>
          </cell>
          <cell r="D108" t="str">
            <v>H</v>
          </cell>
          <cell r="E108">
            <v>11593</v>
          </cell>
          <cell r="F108">
            <v>6311</v>
          </cell>
          <cell r="G108">
            <v>8629</v>
          </cell>
          <cell r="H108">
            <v>4806</v>
          </cell>
          <cell r="I108">
            <v>8629</v>
          </cell>
          <cell r="J108">
            <v>206</v>
          </cell>
          <cell r="K108">
            <v>73.5</v>
          </cell>
          <cell r="L108">
            <v>5.56</v>
          </cell>
          <cell r="M108">
            <v>0.15</v>
          </cell>
          <cell r="N108">
            <v>4806</v>
          </cell>
          <cell r="O108">
            <v>0.69</v>
          </cell>
          <cell r="P108">
            <v>0.19</v>
          </cell>
          <cell r="Q108">
            <v>19.760000000000002</v>
          </cell>
          <cell r="R108">
            <v>2964</v>
          </cell>
          <cell r="S108">
            <v>206</v>
          </cell>
          <cell r="T108">
            <v>206</v>
          </cell>
          <cell r="U108">
            <v>73.5</v>
          </cell>
          <cell r="V108">
            <v>5.56</v>
          </cell>
          <cell r="W108">
            <v>0.15</v>
          </cell>
          <cell r="X108">
            <v>1.87</v>
          </cell>
          <cell r="Y108">
            <v>0.69</v>
          </cell>
          <cell r="Z108">
            <v>0.19</v>
          </cell>
          <cell r="AA108">
            <v>19.760000000000002</v>
          </cell>
          <cell r="AB108">
            <v>2964</v>
          </cell>
          <cell r="AC108">
            <v>408.65999999999997</v>
          </cell>
          <cell r="AD108">
            <v>30.9</v>
          </cell>
          <cell r="AE108">
            <v>385.22</v>
          </cell>
          <cell r="AF108">
            <v>142.13999999999999</v>
          </cell>
          <cell r="AG108">
            <v>1505</v>
          </cell>
          <cell r="AH108">
            <v>4070.5600000000004</v>
          </cell>
          <cell r="AI108">
            <v>650.52</v>
          </cell>
          <cell r="AJ108">
            <v>41.4</v>
          </cell>
          <cell r="AK108">
            <v>62.72</v>
          </cell>
          <cell r="AL108">
            <v>16</v>
          </cell>
          <cell r="AM108">
            <v>20</v>
          </cell>
          <cell r="AN108">
            <v>117</v>
          </cell>
          <cell r="AO108">
            <v>5.56</v>
          </cell>
          <cell r="AP108">
            <v>2.0699999999999998</v>
          </cell>
          <cell r="AQ108">
            <v>3.92</v>
          </cell>
          <cell r="AR108">
            <v>0.62</v>
          </cell>
          <cell r="AS108">
            <v>0.11</v>
          </cell>
          <cell r="AT108">
            <v>14.47</v>
          </cell>
          <cell r="AU108">
            <v>408.65999999999997</v>
          </cell>
          <cell r="AV108">
            <v>30.9</v>
          </cell>
          <cell r="AW108">
            <v>385.22</v>
          </cell>
          <cell r="AX108">
            <v>142.13999999999999</v>
          </cell>
          <cell r="AY108">
            <v>13.965</v>
          </cell>
          <cell r="AZ108">
            <v>4070.5600000000004</v>
          </cell>
          <cell r="BA108">
            <v>650.52</v>
          </cell>
          <cell r="BB108">
            <v>41.4</v>
          </cell>
          <cell r="BC108">
            <v>62.72</v>
          </cell>
          <cell r="BD108">
            <v>12.4</v>
          </cell>
          <cell r="BE108">
            <v>12.87</v>
          </cell>
          <cell r="BF108">
            <v>231.52</v>
          </cell>
          <cell r="BG108">
            <v>4.7517358407043374E-4</v>
          </cell>
          <cell r="BH108">
            <v>9.2851999999999997</v>
          </cell>
        </row>
        <row r="109">
          <cell r="A109" t="str">
            <v>AF</v>
          </cell>
          <cell r="B109" t="str">
            <v>CI</v>
          </cell>
          <cell r="C109" t="str">
            <v>H</v>
          </cell>
          <cell r="D109" t="str">
            <v>H</v>
          </cell>
          <cell r="E109">
            <v>10020</v>
          </cell>
          <cell r="F109">
            <v>4038</v>
          </cell>
          <cell r="G109">
            <v>5467</v>
          </cell>
          <cell r="H109">
            <v>2022</v>
          </cell>
          <cell r="I109">
            <v>5467</v>
          </cell>
          <cell r="J109">
            <v>153</v>
          </cell>
          <cell r="K109">
            <v>55.25</v>
          </cell>
          <cell r="L109">
            <v>6.8</v>
          </cell>
          <cell r="M109">
            <v>0.6</v>
          </cell>
          <cell r="N109">
            <v>2022</v>
          </cell>
          <cell r="O109">
            <v>1</v>
          </cell>
          <cell r="P109">
            <v>0.23</v>
          </cell>
          <cell r="Q109">
            <v>25.65</v>
          </cell>
          <cell r="R109">
            <v>4553</v>
          </cell>
          <cell r="S109">
            <v>153</v>
          </cell>
          <cell r="T109">
            <v>153</v>
          </cell>
          <cell r="U109">
            <v>55.25</v>
          </cell>
          <cell r="V109">
            <v>6.8</v>
          </cell>
          <cell r="W109">
            <v>0.6</v>
          </cell>
          <cell r="X109">
            <v>5.47</v>
          </cell>
          <cell r="Y109">
            <v>1</v>
          </cell>
          <cell r="Z109">
            <v>0.23</v>
          </cell>
          <cell r="AA109">
            <v>25.65</v>
          </cell>
          <cell r="AB109">
            <v>4553</v>
          </cell>
          <cell r="AC109">
            <v>375.7</v>
          </cell>
          <cell r="AD109">
            <v>91.8</v>
          </cell>
          <cell r="AE109">
            <v>836.91</v>
          </cell>
          <cell r="AF109">
            <v>153</v>
          </cell>
          <cell r="AG109">
            <v>2017</v>
          </cell>
          <cell r="AH109">
            <v>3924.45</v>
          </cell>
          <cell r="AI109">
            <v>1217.2874999999999</v>
          </cell>
          <cell r="AJ109">
            <v>168.72000000000003</v>
          </cell>
          <cell r="AK109">
            <v>97.679999999999993</v>
          </cell>
          <cell r="AL109">
            <v>33</v>
          </cell>
          <cell r="AM109">
            <v>38</v>
          </cell>
          <cell r="AN109">
            <v>178.75</v>
          </cell>
          <cell r="AO109">
            <v>6.81</v>
          </cell>
          <cell r="AP109">
            <v>4.4400000000000004</v>
          </cell>
          <cell r="AQ109">
            <v>2.96</v>
          </cell>
          <cell r="AR109">
            <v>0.18</v>
          </cell>
          <cell r="AS109">
            <v>0.23</v>
          </cell>
          <cell r="AT109">
            <v>26.06</v>
          </cell>
          <cell r="AU109">
            <v>375.7</v>
          </cell>
          <cell r="AV109">
            <v>91.8</v>
          </cell>
          <cell r="AW109">
            <v>836.91</v>
          </cell>
          <cell r="AX109">
            <v>153</v>
          </cell>
          <cell r="AY109">
            <v>12.707500000000001</v>
          </cell>
          <cell r="AZ109">
            <v>3924.45</v>
          </cell>
          <cell r="BA109">
            <v>1217.2874999999999</v>
          </cell>
          <cell r="BB109">
            <v>168.72000000000003</v>
          </cell>
          <cell r="BC109">
            <v>97.679999999999993</v>
          </cell>
          <cell r="BD109">
            <v>6.84</v>
          </cell>
          <cell r="BE109">
            <v>41.112500000000004</v>
          </cell>
          <cell r="BF109">
            <v>859.9799999999999</v>
          </cell>
          <cell r="BG109">
            <v>4.106995007664751E-4</v>
          </cell>
          <cell r="BH109">
            <v>11.372699999999998</v>
          </cell>
        </row>
        <row r="110">
          <cell r="A110" t="str">
            <v>EJ</v>
          </cell>
          <cell r="B110" t="str">
            <v>AZ</v>
          </cell>
          <cell r="C110" t="str">
            <v>H</v>
          </cell>
          <cell r="D110" t="str">
            <v>H</v>
          </cell>
          <cell r="E110">
            <v>9346</v>
          </cell>
          <cell r="F110">
            <v>4450</v>
          </cell>
          <cell r="G110">
            <v>5732</v>
          </cell>
          <cell r="H110">
            <v>2946</v>
          </cell>
          <cell r="I110">
            <v>5732</v>
          </cell>
          <cell r="J110">
            <v>93</v>
          </cell>
          <cell r="K110">
            <v>162.25</v>
          </cell>
          <cell r="L110">
            <v>6.63</v>
          </cell>
          <cell r="M110">
            <v>1.7</v>
          </cell>
          <cell r="N110">
            <v>2946</v>
          </cell>
          <cell r="O110">
            <v>0.53</v>
          </cell>
          <cell r="P110">
            <v>0.3</v>
          </cell>
          <cell r="Q110">
            <v>14.53</v>
          </cell>
          <cell r="R110">
            <v>3614</v>
          </cell>
          <cell r="S110">
            <v>91</v>
          </cell>
          <cell r="T110">
            <v>93</v>
          </cell>
          <cell r="U110">
            <v>162.25</v>
          </cell>
          <cell r="V110">
            <v>6.63</v>
          </cell>
          <cell r="W110">
            <v>1.7</v>
          </cell>
          <cell r="X110">
            <v>1.48</v>
          </cell>
          <cell r="Y110">
            <v>0.53</v>
          </cell>
          <cell r="Z110">
            <v>0.3</v>
          </cell>
          <cell r="AA110">
            <v>14.53</v>
          </cell>
          <cell r="AB110">
            <v>3614</v>
          </cell>
          <cell r="AC110">
            <v>1075.7175</v>
          </cell>
          <cell r="AD110">
            <v>158.1</v>
          </cell>
          <cell r="AE110">
            <v>134.68</v>
          </cell>
          <cell r="AF110">
            <v>49.29</v>
          </cell>
          <cell r="AG110">
            <v>1504</v>
          </cell>
          <cell r="AH110">
            <v>1322.23</v>
          </cell>
          <cell r="AI110">
            <v>770.73749999999995</v>
          </cell>
          <cell r="AJ110">
            <v>119.88000000000001</v>
          </cell>
          <cell r="AK110">
            <v>196.01999999999998</v>
          </cell>
          <cell r="AL110">
            <v>27</v>
          </cell>
          <cell r="AM110">
            <v>27</v>
          </cell>
          <cell r="AN110">
            <v>116.25</v>
          </cell>
          <cell r="AO110">
            <v>6.63</v>
          </cell>
          <cell r="AP110">
            <v>4.4400000000000004</v>
          </cell>
          <cell r="AQ110">
            <v>7.26</v>
          </cell>
          <cell r="AR110">
            <v>0.88</v>
          </cell>
          <cell r="AS110">
            <v>0.14000000000000001</v>
          </cell>
          <cell r="AT110">
            <v>24.04</v>
          </cell>
          <cell r="AU110">
            <v>1075.7175</v>
          </cell>
          <cell r="AV110">
            <v>158.1</v>
          </cell>
          <cell r="AW110">
            <v>134.68</v>
          </cell>
          <cell r="AX110">
            <v>49.29</v>
          </cell>
          <cell r="AY110">
            <v>48.674999999999997</v>
          </cell>
          <cell r="AZ110">
            <v>1322.23</v>
          </cell>
          <cell r="BA110">
            <v>770.73749999999995</v>
          </cell>
          <cell r="BB110">
            <v>119.88000000000001</v>
          </cell>
          <cell r="BC110">
            <v>196.01999999999998</v>
          </cell>
          <cell r="BD110">
            <v>23.76</v>
          </cell>
          <cell r="BE110">
            <v>16.275000000000002</v>
          </cell>
          <cell r="BF110">
            <v>649.07999999999993</v>
          </cell>
          <cell r="BG110">
            <v>3.8307360620393974E-4</v>
          </cell>
          <cell r="BH110">
            <v>11.072099999999999</v>
          </cell>
        </row>
        <row r="111">
          <cell r="A111" t="str">
            <v>LA</v>
          </cell>
          <cell r="B111" t="str">
            <v>PE</v>
          </cell>
          <cell r="C111" t="str">
            <v>H</v>
          </cell>
          <cell r="D111" t="str">
            <v>H</v>
          </cell>
          <cell r="E111">
            <v>9148</v>
          </cell>
          <cell r="F111">
            <v>4861</v>
          </cell>
          <cell r="G111">
            <v>5269</v>
          </cell>
          <cell r="H111">
            <v>3150</v>
          </cell>
          <cell r="I111">
            <v>5269</v>
          </cell>
          <cell r="J111">
            <v>160</v>
          </cell>
          <cell r="K111">
            <v>75.75</v>
          </cell>
          <cell r="L111">
            <v>5.08</v>
          </cell>
          <cell r="M111">
            <v>0.69</v>
          </cell>
          <cell r="N111">
            <v>3150</v>
          </cell>
          <cell r="O111">
            <v>0.57999999999999996</v>
          </cell>
          <cell r="P111">
            <v>0.19</v>
          </cell>
          <cell r="Q111">
            <v>19.18</v>
          </cell>
          <cell r="R111">
            <v>3880</v>
          </cell>
          <cell r="S111">
            <v>149</v>
          </cell>
          <cell r="T111">
            <v>160</v>
          </cell>
          <cell r="U111">
            <v>75.75</v>
          </cell>
          <cell r="V111">
            <v>5.08</v>
          </cell>
          <cell r="W111">
            <v>0.69</v>
          </cell>
          <cell r="X111">
            <v>2.68</v>
          </cell>
          <cell r="Y111">
            <v>0.57999999999999996</v>
          </cell>
          <cell r="Z111">
            <v>0.19</v>
          </cell>
          <cell r="AA111">
            <v>19.18</v>
          </cell>
          <cell r="AB111">
            <v>3880</v>
          </cell>
          <cell r="AC111">
            <v>384.81</v>
          </cell>
          <cell r="AD111">
            <v>110.39999999999999</v>
          </cell>
          <cell r="AE111">
            <v>399.32000000000005</v>
          </cell>
          <cell r="AF111">
            <v>92.8</v>
          </cell>
          <cell r="AG111">
            <v>1711</v>
          </cell>
          <cell r="AH111">
            <v>2857.82</v>
          </cell>
          <cell r="AI111">
            <v>660.4</v>
          </cell>
          <cell r="AJ111">
            <v>199.8</v>
          </cell>
          <cell r="AK111">
            <v>262.5</v>
          </cell>
          <cell r="AL111">
            <v>42</v>
          </cell>
          <cell r="AM111">
            <v>45</v>
          </cell>
          <cell r="AN111">
            <v>130</v>
          </cell>
          <cell r="AO111">
            <v>5.08</v>
          </cell>
          <cell r="AP111">
            <v>4.4400000000000004</v>
          </cell>
          <cell r="AQ111">
            <v>6.25</v>
          </cell>
          <cell r="AR111">
            <v>0.59</v>
          </cell>
          <cell r="AS111">
            <v>0.11</v>
          </cell>
          <cell r="AT111">
            <v>18.920000000000002</v>
          </cell>
          <cell r="AU111">
            <v>384.81</v>
          </cell>
          <cell r="AV111">
            <v>110.39999999999999</v>
          </cell>
          <cell r="AW111">
            <v>399.32000000000005</v>
          </cell>
          <cell r="AX111">
            <v>92.8</v>
          </cell>
          <cell r="AY111">
            <v>14.3925</v>
          </cell>
          <cell r="AZ111">
            <v>2857.82</v>
          </cell>
          <cell r="BA111">
            <v>660.4</v>
          </cell>
          <cell r="BB111">
            <v>199.8</v>
          </cell>
          <cell r="BC111">
            <v>262.5</v>
          </cell>
          <cell r="BD111">
            <v>26.549999999999997</v>
          </cell>
          <cell r="BE111">
            <v>14.3</v>
          </cell>
          <cell r="BF111">
            <v>794.6400000000001</v>
          </cell>
          <cell r="BG111">
            <v>3.7495798732651838E-4</v>
          </cell>
          <cell r="BH111">
            <v>8.4835999999999991</v>
          </cell>
        </row>
        <row r="112">
          <cell r="A112" t="str">
            <v>EC</v>
          </cell>
          <cell r="B112" t="str">
            <v>RE</v>
          </cell>
          <cell r="C112" t="str">
            <v>H</v>
          </cell>
          <cell r="D112" t="str">
            <v>H</v>
          </cell>
          <cell r="E112">
            <v>8365</v>
          </cell>
          <cell r="F112">
            <v>4916</v>
          </cell>
          <cell r="G112">
            <v>6278</v>
          </cell>
          <cell r="H112">
            <v>3692</v>
          </cell>
          <cell r="I112">
            <v>6278</v>
          </cell>
          <cell r="J112">
            <v>182</v>
          </cell>
          <cell r="K112">
            <v>51</v>
          </cell>
          <cell r="L112">
            <v>6.56</v>
          </cell>
          <cell r="M112">
            <v>0.13</v>
          </cell>
          <cell r="N112">
            <v>3692</v>
          </cell>
          <cell r="O112">
            <v>0.48</v>
          </cell>
          <cell r="P112">
            <v>0.37</v>
          </cell>
          <cell r="Q112">
            <v>17.27</v>
          </cell>
          <cell r="R112">
            <v>2087</v>
          </cell>
          <cell r="S112">
            <v>182</v>
          </cell>
          <cell r="T112">
            <v>182</v>
          </cell>
          <cell r="U112">
            <v>51</v>
          </cell>
          <cell r="V112">
            <v>6.56</v>
          </cell>
          <cell r="W112">
            <v>0.13</v>
          </cell>
          <cell r="X112">
            <v>4.4400000000000004</v>
          </cell>
          <cell r="Y112">
            <v>0.48</v>
          </cell>
          <cell r="Z112">
            <v>0.37</v>
          </cell>
          <cell r="AA112">
            <v>17.27</v>
          </cell>
          <cell r="AB112">
            <v>2087</v>
          </cell>
          <cell r="AC112">
            <v>334.56</v>
          </cell>
          <cell r="AD112">
            <v>23.66</v>
          </cell>
          <cell r="AE112">
            <v>808.08</v>
          </cell>
          <cell r="AF112">
            <v>87.36</v>
          </cell>
          <cell r="AG112">
            <v>1224</v>
          </cell>
          <cell r="AH112">
            <v>3143.14</v>
          </cell>
          <cell r="AI112">
            <v>265.68</v>
          </cell>
          <cell r="AJ112">
            <v>46.199999999999996</v>
          </cell>
          <cell r="AK112">
            <v>29.400000000000002</v>
          </cell>
          <cell r="AL112">
            <v>28</v>
          </cell>
          <cell r="AM112">
            <v>28</v>
          </cell>
          <cell r="AN112">
            <v>40.5</v>
          </cell>
          <cell r="AO112">
            <v>6.56</v>
          </cell>
          <cell r="AP112">
            <v>1.65</v>
          </cell>
          <cell r="AQ112">
            <v>1.05</v>
          </cell>
          <cell r="AR112">
            <v>0.36</v>
          </cell>
          <cell r="AS112">
            <v>0.04</v>
          </cell>
          <cell r="AT112">
            <v>9.34</v>
          </cell>
          <cell r="AU112">
            <v>334.56</v>
          </cell>
          <cell r="AV112">
            <v>23.66</v>
          </cell>
          <cell r="AW112">
            <v>808.08</v>
          </cell>
          <cell r="AX112">
            <v>87.36</v>
          </cell>
          <cell r="AY112">
            <v>18.87</v>
          </cell>
          <cell r="AZ112">
            <v>3143.14</v>
          </cell>
          <cell r="BA112">
            <v>265.68</v>
          </cell>
          <cell r="BB112">
            <v>46.199999999999996</v>
          </cell>
          <cell r="BC112">
            <v>29.400000000000002</v>
          </cell>
          <cell r="BD112">
            <v>10.08</v>
          </cell>
          <cell r="BE112">
            <v>1.62</v>
          </cell>
          <cell r="BF112">
            <v>261.52</v>
          </cell>
          <cell r="BG112">
            <v>3.4286440358398846E-4</v>
          </cell>
          <cell r="BH112">
            <v>10.9552</v>
          </cell>
        </row>
        <row r="113">
          <cell r="A113" t="str">
            <v>EC</v>
          </cell>
          <cell r="B113" t="str">
            <v>SC</v>
          </cell>
          <cell r="C113" t="str">
            <v>H</v>
          </cell>
          <cell r="D113" t="str">
            <v>H</v>
          </cell>
          <cell r="E113">
            <v>8163</v>
          </cell>
          <cell r="F113">
            <v>4576</v>
          </cell>
          <cell r="G113">
            <v>6171</v>
          </cell>
          <cell r="H113">
            <v>3698</v>
          </cell>
          <cell r="I113">
            <v>6171</v>
          </cell>
          <cell r="J113">
            <v>124</v>
          </cell>
          <cell r="K113">
            <v>70.5</v>
          </cell>
          <cell r="L113">
            <v>5.97</v>
          </cell>
          <cell r="M113">
            <v>0.61</v>
          </cell>
          <cell r="N113">
            <v>3698</v>
          </cell>
          <cell r="O113">
            <v>0.95</v>
          </cell>
          <cell r="P113">
            <v>0.98</v>
          </cell>
          <cell r="Q113">
            <v>14.53</v>
          </cell>
          <cell r="R113">
            <v>1992</v>
          </cell>
          <cell r="S113">
            <v>124</v>
          </cell>
          <cell r="T113">
            <v>124</v>
          </cell>
          <cell r="U113">
            <v>70.5</v>
          </cell>
          <cell r="V113">
            <v>5.97</v>
          </cell>
          <cell r="W113">
            <v>0.61</v>
          </cell>
          <cell r="X113">
            <v>2.67</v>
          </cell>
          <cell r="Y113">
            <v>0.95</v>
          </cell>
          <cell r="Z113">
            <v>0.98</v>
          </cell>
          <cell r="AA113">
            <v>14.53</v>
          </cell>
          <cell r="AB113">
            <v>1992</v>
          </cell>
          <cell r="AC113">
            <v>420.88499999999999</v>
          </cell>
          <cell r="AD113">
            <v>75.64</v>
          </cell>
          <cell r="AE113">
            <v>331.08</v>
          </cell>
          <cell r="AF113">
            <v>117.8</v>
          </cell>
          <cell r="AG113">
            <v>878</v>
          </cell>
          <cell r="AH113">
            <v>1801.72</v>
          </cell>
          <cell r="AI113">
            <v>117.9075</v>
          </cell>
          <cell r="AJ113">
            <v>93.240000000000009</v>
          </cell>
          <cell r="AK113">
            <v>278.04000000000002</v>
          </cell>
          <cell r="AL113">
            <v>21</v>
          </cell>
          <cell r="AM113">
            <v>21</v>
          </cell>
          <cell r="AN113">
            <v>19.75</v>
          </cell>
          <cell r="AO113">
            <v>5.97</v>
          </cell>
          <cell r="AP113">
            <v>4.4400000000000004</v>
          </cell>
          <cell r="AQ113">
            <v>13.24</v>
          </cell>
          <cell r="AR113">
            <v>1.59</v>
          </cell>
          <cell r="AS113">
            <v>0.74</v>
          </cell>
          <cell r="AT113">
            <v>83.07</v>
          </cell>
          <cell r="AU113">
            <v>420.88499999999999</v>
          </cell>
          <cell r="AV113">
            <v>75.64</v>
          </cell>
          <cell r="AW113">
            <v>331.08</v>
          </cell>
          <cell r="AX113">
            <v>117.8</v>
          </cell>
          <cell r="AY113">
            <v>69.09</v>
          </cell>
          <cell r="AZ113">
            <v>1801.72</v>
          </cell>
          <cell r="BA113">
            <v>117.9075</v>
          </cell>
          <cell r="BB113">
            <v>93.240000000000009</v>
          </cell>
          <cell r="BC113">
            <v>278.04000000000002</v>
          </cell>
          <cell r="BD113">
            <v>33.39</v>
          </cell>
          <cell r="BE113">
            <v>14.615</v>
          </cell>
          <cell r="BF113">
            <v>1744.4699999999998</v>
          </cell>
          <cell r="BG113">
            <v>3.3458483281005352E-4</v>
          </cell>
          <cell r="BH113">
            <v>9.9698999999999991</v>
          </cell>
        </row>
        <row r="114">
          <cell r="A114" t="str">
            <v>EJ</v>
          </cell>
          <cell r="B114" t="str">
            <v>UA</v>
          </cell>
          <cell r="C114" t="str">
            <v>H</v>
          </cell>
          <cell r="D114" t="str">
            <v>H</v>
          </cell>
          <cell r="E114">
            <v>8103</v>
          </cell>
          <cell r="F114">
            <v>4559</v>
          </cell>
          <cell r="G114">
            <v>6202</v>
          </cell>
          <cell r="H114">
            <v>3692</v>
          </cell>
          <cell r="I114">
            <v>6202</v>
          </cell>
          <cell r="J114">
            <v>155</v>
          </cell>
          <cell r="K114">
            <v>46.75</v>
          </cell>
          <cell r="L114">
            <v>6.36</v>
          </cell>
          <cell r="M114">
            <v>0.52</v>
          </cell>
          <cell r="N114">
            <v>3692</v>
          </cell>
          <cell r="O114">
            <v>0.56000000000000005</v>
          </cell>
          <cell r="P114">
            <v>0.5</v>
          </cell>
          <cell r="Q114">
            <v>16.71</v>
          </cell>
          <cell r="R114">
            <v>1901</v>
          </cell>
          <cell r="S114">
            <v>155</v>
          </cell>
          <cell r="T114">
            <v>155</v>
          </cell>
          <cell r="U114">
            <v>46.75</v>
          </cell>
          <cell r="V114">
            <v>6.36</v>
          </cell>
          <cell r="W114">
            <v>0.52</v>
          </cell>
          <cell r="X114">
            <v>2.08</v>
          </cell>
          <cell r="Y114">
            <v>0.56000000000000005</v>
          </cell>
          <cell r="Z114">
            <v>0.5</v>
          </cell>
          <cell r="AA114">
            <v>16.71</v>
          </cell>
          <cell r="AB114">
            <v>1901</v>
          </cell>
          <cell r="AC114">
            <v>297.33000000000004</v>
          </cell>
          <cell r="AD114">
            <v>80.600000000000009</v>
          </cell>
          <cell r="AE114">
            <v>322.40000000000003</v>
          </cell>
          <cell r="AF114">
            <v>86.800000000000011</v>
          </cell>
          <cell r="AG114">
            <v>867</v>
          </cell>
          <cell r="AH114">
            <v>2590.0500000000002</v>
          </cell>
          <cell r="AI114">
            <v>213.815</v>
          </cell>
          <cell r="AJ114">
            <v>75.48</v>
          </cell>
          <cell r="AK114">
            <v>164.73</v>
          </cell>
          <cell r="AL114">
            <v>17</v>
          </cell>
          <cell r="AM114">
            <v>17</v>
          </cell>
          <cell r="AN114">
            <v>37.25</v>
          </cell>
          <cell r="AO114">
            <v>5.74</v>
          </cell>
          <cell r="AP114">
            <v>4.4400000000000004</v>
          </cell>
          <cell r="AQ114">
            <v>9.69</v>
          </cell>
          <cell r="AR114">
            <v>1.21</v>
          </cell>
          <cell r="AS114">
            <v>0.5</v>
          </cell>
          <cell r="AT114">
            <v>18.260000000000002</v>
          </cell>
          <cell r="AU114">
            <v>297.33000000000004</v>
          </cell>
          <cell r="AV114">
            <v>80.600000000000009</v>
          </cell>
          <cell r="AW114">
            <v>322.40000000000003</v>
          </cell>
          <cell r="AX114">
            <v>86.800000000000011</v>
          </cell>
          <cell r="AY114">
            <v>23.375</v>
          </cell>
          <cell r="AZ114">
            <v>2590.0500000000002</v>
          </cell>
          <cell r="BA114">
            <v>213.815</v>
          </cell>
          <cell r="BB114">
            <v>75.48</v>
          </cell>
          <cell r="BC114">
            <v>164.73</v>
          </cell>
          <cell r="BD114">
            <v>20.57</v>
          </cell>
          <cell r="BE114">
            <v>18.625</v>
          </cell>
          <cell r="BF114">
            <v>310.42</v>
          </cell>
          <cell r="BG114">
            <v>3.3212555436235009E-4</v>
          </cell>
          <cell r="BH114">
            <v>9.5858000000000008</v>
          </cell>
        </row>
        <row r="115">
          <cell r="A115" t="str">
            <v>LA</v>
          </cell>
          <cell r="B115" t="str">
            <v>BM</v>
          </cell>
          <cell r="C115" t="str">
            <v>H</v>
          </cell>
          <cell r="D115" t="str">
            <v>H</v>
          </cell>
          <cell r="E115">
            <v>7755</v>
          </cell>
          <cell r="F115">
            <v>3520</v>
          </cell>
          <cell r="G115">
            <v>7210</v>
          </cell>
          <cell r="H115">
            <v>3423</v>
          </cell>
          <cell r="I115">
            <v>7210</v>
          </cell>
          <cell r="J115">
            <v>197</v>
          </cell>
          <cell r="K115">
            <v>74.25</v>
          </cell>
          <cell r="L115">
            <v>6.04</v>
          </cell>
          <cell r="M115">
            <v>1.06</v>
          </cell>
          <cell r="N115">
            <v>3423</v>
          </cell>
          <cell r="O115">
            <v>1.1399999999999999</v>
          </cell>
          <cell r="P115">
            <v>0.42</v>
          </cell>
          <cell r="Q115">
            <v>25.08</v>
          </cell>
          <cell r="R115">
            <v>545</v>
          </cell>
          <cell r="S115">
            <v>197</v>
          </cell>
          <cell r="T115">
            <v>197</v>
          </cell>
          <cell r="U115">
            <v>74.25</v>
          </cell>
          <cell r="V115">
            <v>6.04</v>
          </cell>
          <cell r="W115">
            <v>1.06</v>
          </cell>
          <cell r="X115">
            <v>3.88</v>
          </cell>
          <cell r="Y115">
            <v>1.1399999999999999</v>
          </cell>
          <cell r="Z115">
            <v>0.42</v>
          </cell>
          <cell r="AA115">
            <v>25.08</v>
          </cell>
          <cell r="AB115">
            <v>545</v>
          </cell>
          <cell r="AC115">
            <v>448.47</v>
          </cell>
          <cell r="AD115">
            <v>208.82000000000002</v>
          </cell>
          <cell r="AE115">
            <v>764.36</v>
          </cell>
          <cell r="AF115">
            <v>224.57999999999998</v>
          </cell>
          <cell r="AG115">
            <v>97</v>
          </cell>
          <cell r="AH115">
            <v>4940.7599999999993</v>
          </cell>
          <cell r="AI115">
            <v>24.16</v>
          </cell>
          <cell r="AJ115">
            <v>61.7</v>
          </cell>
          <cell r="AK115">
            <v>123.4</v>
          </cell>
          <cell r="AL115">
            <v>10</v>
          </cell>
          <cell r="AM115">
            <v>10</v>
          </cell>
          <cell r="AN115">
            <v>4</v>
          </cell>
          <cell r="AO115">
            <v>6.04</v>
          </cell>
          <cell r="AP115">
            <v>6.17</v>
          </cell>
          <cell r="AQ115">
            <v>12.34</v>
          </cell>
          <cell r="AR115">
            <v>0.86</v>
          </cell>
          <cell r="AS115">
            <v>0.18</v>
          </cell>
          <cell r="AT115">
            <v>13.71</v>
          </cell>
          <cell r="AU115">
            <v>448.47</v>
          </cell>
          <cell r="AV115">
            <v>208.82000000000002</v>
          </cell>
          <cell r="AW115">
            <v>764.36</v>
          </cell>
          <cell r="AX115">
            <v>224.57999999999998</v>
          </cell>
          <cell r="AY115">
            <v>31.184999999999999</v>
          </cell>
          <cell r="AZ115">
            <v>4940.7599999999993</v>
          </cell>
          <cell r="BA115">
            <v>24.16</v>
          </cell>
          <cell r="BB115">
            <v>61.7</v>
          </cell>
          <cell r="BC115">
            <v>123.4</v>
          </cell>
          <cell r="BD115">
            <v>8.6</v>
          </cell>
          <cell r="BE115">
            <v>0.72</v>
          </cell>
          <cell r="BF115">
            <v>137.10000000000002</v>
          </cell>
          <cell r="BG115">
            <v>3.178617393656701E-4</v>
          </cell>
          <cell r="BH115">
            <v>10.0868</v>
          </cell>
        </row>
        <row r="116">
          <cell r="A116" t="str">
            <v>LA</v>
          </cell>
          <cell r="B116" t="str">
            <v>TT</v>
          </cell>
          <cell r="C116" t="str">
            <v>H</v>
          </cell>
          <cell r="D116" t="str">
            <v>H</v>
          </cell>
          <cell r="E116">
            <v>7417</v>
          </cell>
          <cell r="F116">
            <v>4486</v>
          </cell>
          <cell r="G116">
            <v>4318</v>
          </cell>
          <cell r="H116">
            <v>2723</v>
          </cell>
          <cell r="I116">
            <v>4318</v>
          </cell>
          <cell r="J116">
            <v>80</v>
          </cell>
          <cell r="K116">
            <v>56</v>
          </cell>
          <cell r="L116">
            <v>5.25</v>
          </cell>
          <cell r="M116">
            <v>1.69</v>
          </cell>
          <cell r="N116">
            <v>2723</v>
          </cell>
          <cell r="O116">
            <v>0.31</v>
          </cell>
          <cell r="P116">
            <v>0.15</v>
          </cell>
          <cell r="Q116">
            <v>26.84</v>
          </cell>
          <cell r="R116">
            <v>3099</v>
          </cell>
          <cell r="S116">
            <v>80</v>
          </cell>
          <cell r="T116">
            <v>80</v>
          </cell>
          <cell r="U116">
            <v>56</v>
          </cell>
          <cell r="V116">
            <v>5.25</v>
          </cell>
          <cell r="W116">
            <v>1.69</v>
          </cell>
          <cell r="X116">
            <v>1.44</v>
          </cell>
          <cell r="Y116">
            <v>0.31</v>
          </cell>
          <cell r="Z116">
            <v>0.15</v>
          </cell>
          <cell r="AA116">
            <v>26.84</v>
          </cell>
          <cell r="AB116">
            <v>3099</v>
          </cell>
          <cell r="AC116">
            <v>294</v>
          </cell>
          <cell r="AD116">
            <v>135.19999999999999</v>
          </cell>
          <cell r="AE116">
            <v>115.19999999999999</v>
          </cell>
          <cell r="AF116">
            <v>24.8</v>
          </cell>
          <cell r="AG116">
            <v>1763</v>
          </cell>
          <cell r="AH116">
            <v>2147.1999999999998</v>
          </cell>
          <cell r="AI116">
            <v>560.4375</v>
          </cell>
          <cell r="AJ116">
            <v>148.07999999999998</v>
          </cell>
          <cell r="AK116">
            <v>87.36</v>
          </cell>
          <cell r="AL116">
            <v>21</v>
          </cell>
          <cell r="AM116">
            <v>24</v>
          </cell>
          <cell r="AN116">
            <v>106.75</v>
          </cell>
          <cell r="AO116">
            <v>5.25</v>
          </cell>
          <cell r="AP116">
            <v>6.17</v>
          </cell>
          <cell r="AQ116">
            <v>4.16</v>
          </cell>
          <cell r="AR116">
            <v>0.21</v>
          </cell>
          <cell r="AS116">
            <v>0.08</v>
          </cell>
          <cell r="AT116">
            <v>14.53</v>
          </cell>
          <cell r="AU116">
            <v>294</v>
          </cell>
          <cell r="AV116">
            <v>135.19999999999999</v>
          </cell>
          <cell r="AW116">
            <v>115.19999999999999</v>
          </cell>
          <cell r="AX116">
            <v>24.8</v>
          </cell>
          <cell r="AY116">
            <v>8.4</v>
          </cell>
          <cell r="AZ116">
            <v>2147.1999999999998</v>
          </cell>
          <cell r="BA116">
            <v>560.4375</v>
          </cell>
          <cell r="BB116">
            <v>148.07999999999998</v>
          </cell>
          <cell r="BC116">
            <v>87.36</v>
          </cell>
          <cell r="BD116">
            <v>5.04</v>
          </cell>
          <cell r="BE116">
            <v>8.5400000000000009</v>
          </cell>
          <cell r="BF116">
            <v>305.13</v>
          </cell>
          <cell r="BG116">
            <v>3.0400780411027404E-4</v>
          </cell>
          <cell r="BH116">
            <v>8.7675000000000001</v>
          </cell>
        </row>
        <row r="117">
          <cell r="A117" t="str">
            <v>EC</v>
          </cell>
          <cell r="B117" t="str">
            <v>ZW</v>
          </cell>
          <cell r="C117" t="str">
            <v>H</v>
          </cell>
          <cell r="D117" t="str">
            <v>H</v>
          </cell>
          <cell r="E117">
            <v>7220</v>
          </cell>
          <cell r="F117">
            <v>4265</v>
          </cell>
          <cell r="G117">
            <v>4083</v>
          </cell>
          <cell r="H117">
            <v>2607</v>
          </cell>
          <cell r="I117">
            <v>4083</v>
          </cell>
          <cell r="J117">
            <v>118</v>
          </cell>
          <cell r="K117">
            <v>60.5</v>
          </cell>
          <cell r="L117">
            <v>5.23</v>
          </cell>
          <cell r="M117">
            <v>0.13</v>
          </cell>
          <cell r="N117">
            <v>2607</v>
          </cell>
          <cell r="O117">
            <v>0.37</v>
          </cell>
          <cell r="P117">
            <v>0.12</v>
          </cell>
          <cell r="Q117">
            <v>22.93</v>
          </cell>
          <cell r="R117">
            <v>3136</v>
          </cell>
          <cell r="S117">
            <v>118</v>
          </cell>
          <cell r="T117">
            <v>118</v>
          </cell>
          <cell r="U117">
            <v>60.5</v>
          </cell>
          <cell r="V117">
            <v>5.23</v>
          </cell>
          <cell r="W117">
            <v>0.13</v>
          </cell>
          <cell r="X117">
            <v>0.94</v>
          </cell>
          <cell r="Y117">
            <v>0.37</v>
          </cell>
          <cell r="Z117">
            <v>0.12</v>
          </cell>
          <cell r="AA117">
            <v>22.93</v>
          </cell>
          <cell r="AB117">
            <v>3136</v>
          </cell>
          <cell r="AC117">
            <v>316.41500000000002</v>
          </cell>
          <cell r="AD117">
            <v>15.34</v>
          </cell>
          <cell r="AE117">
            <v>110.91999999999999</v>
          </cell>
          <cell r="AF117">
            <v>43.66</v>
          </cell>
          <cell r="AG117">
            <v>1658</v>
          </cell>
          <cell r="AH117">
            <v>2705.74</v>
          </cell>
          <cell r="AI117">
            <v>251.86499999999998</v>
          </cell>
          <cell r="AJ117">
            <v>67.649999999999991</v>
          </cell>
          <cell r="AK117">
            <v>327.18</v>
          </cell>
          <cell r="AL117">
            <v>41</v>
          </cell>
          <cell r="AM117">
            <v>41</v>
          </cell>
          <cell r="AN117">
            <v>48.25</v>
          </cell>
          <cell r="AO117">
            <v>5.22</v>
          </cell>
          <cell r="AP117">
            <v>1.65</v>
          </cell>
          <cell r="AQ117">
            <v>7.98</v>
          </cell>
          <cell r="AR117">
            <v>0.4</v>
          </cell>
          <cell r="AS117">
            <v>0.12</v>
          </cell>
          <cell r="AT117">
            <v>83.62</v>
          </cell>
          <cell r="AU117">
            <v>316.41500000000002</v>
          </cell>
          <cell r="AV117">
            <v>15.34</v>
          </cell>
          <cell r="AW117">
            <v>110.91999999999999</v>
          </cell>
          <cell r="AX117">
            <v>43.66</v>
          </cell>
          <cell r="AY117">
            <v>7.26</v>
          </cell>
          <cell r="AZ117">
            <v>2705.74</v>
          </cell>
          <cell r="BA117">
            <v>251.86499999999998</v>
          </cell>
          <cell r="BB117">
            <v>67.649999999999991</v>
          </cell>
          <cell r="BC117">
            <v>327.18</v>
          </cell>
          <cell r="BD117">
            <v>16.400000000000002</v>
          </cell>
          <cell r="BE117">
            <v>5.79</v>
          </cell>
          <cell r="BF117">
            <v>3428.42</v>
          </cell>
          <cell r="BG117">
            <v>2.9593317320698105E-4</v>
          </cell>
          <cell r="BH117">
            <v>8.7173999999999996</v>
          </cell>
        </row>
        <row r="118">
          <cell r="A118" t="str">
            <v>EI</v>
          </cell>
          <cell r="B118" t="str">
            <v>BJ</v>
          </cell>
          <cell r="C118" t="str">
            <v>H</v>
          </cell>
          <cell r="D118" t="str">
            <v>H</v>
          </cell>
          <cell r="E118">
            <v>7038</v>
          </cell>
          <cell r="F118">
            <v>4109</v>
          </cell>
          <cell r="G118">
            <v>3393</v>
          </cell>
          <cell r="H118">
            <v>2041</v>
          </cell>
          <cell r="I118">
            <v>3393</v>
          </cell>
          <cell r="J118">
            <v>93</v>
          </cell>
          <cell r="K118">
            <v>32.5</v>
          </cell>
          <cell r="L118">
            <v>7.88</v>
          </cell>
          <cell r="M118">
            <v>0.65</v>
          </cell>
          <cell r="N118">
            <v>2041</v>
          </cell>
          <cell r="O118">
            <v>21.2667974539367</v>
          </cell>
          <cell r="P118">
            <v>3644</v>
          </cell>
          <cell r="Q118">
            <v>2067</v>
          </cell>
          <cell r="R118">
            <v>20</v>
          </cell>
          <cell r="S118">
            <v>92</v>
          </cell>
          <cell r="T118">
            <v>93</v>
          </cell>
          <cell r="U118">
            <v>32.5</v>
          </cell>
          <cell r="V118">
            <v>7.88</v>
          </cell>
          <cell r="W118">
            <v>0.65</v>
          </cell>
          <cell r="X118">
            <v>1.97</v>
          </cell>
          <cell r="Y118">
            <v>256.10000000000002</v>
          </cell>
          <cell r="Z118">
            <v>60.45</v>
          </cell>
          <cell r="AA118">
            <v>21.2667974539367</v>
          </cell>
          <cell r="AB118">
            <v>3644</v>
          </cell>
          <cell r="AC118">
            <v>0</v>
          </cell>
          <cell r="AD118">
            <v>1956.5453657621765</v>
          </cell>
          <cell r="AE118">
            <v>3440.04</v>
          </cell>
          <cell r="AF118">
            <v>204.24</v>
          </cell>
          <cell r="AG118">
            <v>2067</v>
          </cell>
          <cell r="AH118">
            <v>0</v>
          </cell>
          <cell r="AI118">
            <v>0</v>
          </cell>
          <cell r="AJ118">
            <v>580.4</v>
          </cell>
          <cell r="AK118">
            <v>2.8847336191561393E-4</v>
          </cell>
          <cell r="AL118">
            <v>20</v>
          </cell>
          <cell r="AM118">
            <v>46</v>
          </cell>
          <cell r="AN118">
            <v>436</v>
          </cell>
          <cell r="AO118">
            <v>7.89</v>
          </cell>
          <cell r="AP118">
            <v>4.4400000000000004</v>
          </cell>
          <cell r="AQ118">
            <v>6.43</v>
          </cell>
          <cell r="AR118">
            <v>0</v>
          </cell>
          <cell r="AS118">
            <v>0</v>
          </cell>
          <cell r="AT118">
            <v>29.02</v>
          </cell>
          <cell r="AU118">
            <v>256.10000000000002</v>
          </cell>
          <cell r="AV118">
            <v>60.45</v>
          </cell>
          <cell r="AW118">
            <v>181.24</v>
          </cell>
          <cell r="AX118">
            <v>0</v>
          </cell>
          <cell r="AY118">
            <v>0</v>
          </cell>
          <cell r="AZ118">
            <v>1956.5453657621765</v>
          </cell>
          <cell r="BA118">
            <v>3440.04</v>
          </cell>
          <cell r="BB118">
            <v>204.24</v>
          </cell>
          <cell r="BC118">
            <v>128.6</v>
          </cell>
          <cell r="BD118">
            <v>0</v>
          </cell>
          <cell r="BE118">
            <v>0</v>
          </cell>
          <cell r="BF118">
            <v>580.4</v>
          </cell>
          <cell r="BG118">
            <v>2.8847336191561393E-4</v>
          </cell>
          <cell r="BH118">
            <v>13.176299999999999</v>
          </cell>
        </row>
        <row r="119">
          <cell r="A119" t="str">
            <v>US</v>
          </cell>
          <cell r="B119" t="str">
            <v>MP</v>
          </cell>
          <cell r="C119" t="str">
            <v>H</v>
          </cell>
          <cell r="D119" t="str">
            <v>H</v>
          </cell>
          <cell r="E119">
            <v>6714</v>
          </cell>
          <cell r="F119">
            <v>3670</v>
          </cell>
          <cell r="G119">
            <v>3640</v>
          </cell>
          <cell r="H119">
            <v>2134</v>
          </cell>
          <cell r="I119">
            <v>3640</v>
          </cell>
          <cell r="J119">
            <v>55</v>
          </cell>
          <cell r="K119">
            <v>115</v>
          </cell>
          <cell r="L119">
            <v>4.25</v>
          </cell>
          <cell r="M119">
            <v>0.99</v>
          </cell>
          <cell r="N119">
            <v>2134</v>
          </cell>
          <cell r="O119">
            <v>1.05</v>
          </cell>
          <cell r="P119">
            <v>0.15</v>
          </cell>
          <cell r="Q119">
            <v>10.28</v>
          </cell>
          <cell r="R119">
            <v>3074</v>
          </cell>
          <cell r="S119">
            <v>52</v>
          </cell>
          <cell r="T119">
            <v>55</v>
          </cell>
          <cell r="U119">
            <v>115</v>
          </cell>
          <cell r="V119">
            <v>4.25</v>
          </cell>
          <cell r="W119">
            <v>0.99</v>
          </cell>
          <cell r="X119">
            <v>4.1100000000000003</v>
          </cell>
          <cell r="Y119">
            <v>1.05</v>
          </cell>
          <cell r="Z119">
            <v>0.15</v>
          </cell>
          <cell r="AA119">
            <v>10.28</v>
          </cell>
          <cell r="AB119">
            <v>3074</v>
          </cell>
          <cell r="AC119">
            <v>488.75</v>
          </cell>
          <cell r="AD119">
            <v>54.45</v>
          </cell>
          <cell r="AE119">
            <v>213.72000000000003</v>
          </cell>
          <cell r="AF119">
            <v>57.75</v>
          </cell>
          <cell r="AG119">
            <v>1536</v>
          </cell>
          <cell r="AH119">
            <v>534.55999999999995</v>
          </cell>
          <cell r="AI119">
            <v>313.4375</v>
          </cell>
          <cell r="AJ119">
            <v>70.98</v>
          </cell>
          <cell r="AK119">
            <v>483</v>
          </cell>
          <cell r="AL119">
            <v>21</v>
          </cell>
          <cell r="AM119">
            <v>21</v>
          </cell>
          <cell r="AN119">
            <v>73.75</v>
          </cell>
          <cell r="AO119">
            <v>4.25</v>
          </cell>
          <cell r="AP119">
            <v>3.38</v>
          </cell>
          <cell r="AQ119">
            <v>23</v>
          </cell>
          <cell r="AR119">
            <v>2.4900000000000002</v>
          </cell>
          <cell r="AS119">
            <v>0.15</v>
          </cell>
          <cell r="AT119">
            <v>18.850000000000001</v>
          </cell>
          <cell r="AU119">
            <v>488.75</v>
          </cell>
          <cell r="AV119">
            <v>54.45</v>
          </cell>
          <cell r="AW119">
            <v>213.72000000000003</v>
          </cell>
          <cell r="AX119">
            <v>57.75</v>
          </cell>
          <cell r="AY119">
            <v>17.25</v>
          </cell>
          <cell r="AZ119">
            <v>534.55999999999995</v>
          </cell>
          <cell r="BA119">
            <v>313.4375</v>
          </cell>
          <cell r="BB119">
            <v>70.98</v>
          </cell>
          <cell r="BC119">
            <v>483</v>
          </cell>
          <cell r="BD119">
            <v>52.290000000000006</v>
          </cell>
          <cell r="BE119">
            <v>11.0625</v>
          </cell>
          <cell r="BF119">
            <v>395.85</v>
          </cell>
          <cell r="BG119">
            <v>2.7519325829801537E-4</v>
          </cell>
          <cell r="BH119">
            <v>7.0975000000000001</v>
          </cell>
        </row>
        <row r="120">
          <cell r="A120" t="str">
            <v>EE</v>
          </cell>
          <cell r="B120" t="str">
            <v>SK</v>
          </cell>
          <cell r="C120" t="str">
            <v>H</v>
          </cell>
          <cell r="D120" t="str">
            <v>H</v>
          </cell>
          <cell r="E120">
            <v>6563</v>
          </cell>
          <cell r="F120">
            <v>3856</v>
          </cell>
          <cell r="G120">
            <v>5633</v>
          </cell>
          <cell r="H120">
            <v>3348</v>
          </cell>
          <cell r="I120">
            <v>5633</v>
          </cell>
          <cell r="J120">
            <v>155</v>
          </cell>
          <cell r="K120">
            <v>92.25</v>
          </cell>
          <cell r="L120">
            <v>3.15</v>
          </cell>
          <cell r="M120">
            <v>0.7</v>
          </cell>
          <cell r="N120">
            <v>3348</v>
          </cell>
          <cell r="O120">
            <v>0.25</v>
          </cell>
          <cell r="P120">
            <v>0.37</v>
          </cell>
          <cell r="Q120">
            <v>35.520000000000003</v>
          </cell>
          <cell r="R120">
            <v>930</v>
          </cell>
          <cell r="S120">
            <v>155</v>
          </cell>
          <cell r="T120">
            <v>155</v>
          </cell>
          <cell r="U120">
            <v>92.25</v>
          </cell>
          <cell r="V120">
            <v>3.15</v>
          </cell>
          <cell r="W120">
            <v>0.7</v>
          </cell>
          <cell r="X120">
            <v>3.02</v>
          </cell>
          <cell r="Y120">
            <v>0.25</v>
          </cell>
          <cell r="Z120">
            <v>0.37</v>
          </cell>
          <cell r="AA120">
            <v>35.520000000000003</v>
          </cell>
          <cell r="AB120">
            <v>930</v>
          </cell>
          <cell r="AC120">
            <v>290.58749999999998</v>
          </cell>
          <cell r="AD120">
            <v>108.5</v>
          </cell>
          <cell r="AE120">
            <v>468.1</v>
          </cell>
          <cell r="AF120">
            <v>38.75</v>
          </cell>
          <cell r="AG120">
            <v>508</v>
          </cell>
          <cell r="AH120">
            <v>5505.6</v>
          </cell>
          <cell r="AI120">
            <v>70.650000000000006</v>
          </cell>
          <cell r="AJ120">
            <v>44.400000000000006</v>
          </cell>
          <cell r="AK120">
            <v>79.3</v>
          </cell>
          <cell r="AL120">
            <v>10</v>
          </cell>
          <cell r="AM120">
            <v>10</v>
          </cell>
          <cell r="AN120">
            <v>22.5</v>
          </cell>
          <cell r="AO120">
            <v>3.14</v>
          </cell>
          <cell r="AP120">
            <v>4.4400000000000004</v>
          </cell>
          <cell r="AQ120">
            <v>7.93</v>
          </cell>
          <cell r="AR120">
            <v>0.69</v>
          </cell>
          <cell r="AS120">
            <v>0.22</v>
          </cell>
          <cell r="AT120">
            <v>26.87</v>
          </cell>
          <cell r="AU120">
            <v>290.58749999999998</v>
          </cell>
          <cell r="AV120">
            <v>108.5</v>
          </cell>
          <cell r="AW120">
            <v>468.1</v>
          </cell>
          <cell r="AX120">
            <v>38.75</v>
          </cell>
          <cell r="AY120">
            <v>34.1325</v>
          </cell>
          <cell r="AZ120">
            <v>5505.6</v>
          </cell>
          <cell r="BA120">
            <v>70.650000000000006</v>
          </cell>
          <cell r="BB120">
            <v>44.400000000000006</v>
          </cell>
          <cell r="BC120">
            <v>79.3</v>
          </cell>
          <cell r="BD120">
            <v>6.8999999999999995</v>
          </cell>
          <cell r="BE120">
            <v>4.95</v>
          </cell>
          <cell r="BF120">
            <v>268.7</v>
          </cell>
          <cell r="BG120">
            <v>2.6900407420462838E-4</v>
          </cell>
          <cell r="BH120">
            <v>5.2438000000000002</v>
          </cell>
        </row>
        <row r="121">
          <cell r="A121" t="str">
            <v>EK</v>
          </cell>
          <cell r="B121" t="str">
            <v>CG</v>
          </cell>
          <cell r="C121" t="str">
            <v>H</v>
          </cell>
          <cell r="D121" t="str">
            <v>H</v>
          </cell>
          <cell r="E121">
            <v>6445</v>
          </cell>
          <cell r="F121">
            <v>1414</v>
          </cell>
          <cell r="G121">
            <v>3082</v>
          </cell>
          <cell r="H121">
            <v>1794</v>
          </cell>
          <cell r="I121">
            <v>3082</v>
          </cell>
          <cell r="J121">
            <v>69</v>
          </cell>
          <cell r="K121">
            <v>28.25</v>
          </cell>
          <cell r="L121">
            <v>7.89</v>
          </cell>
          <cell r="M121">
            <v>0.57999999999999996</v>
          </cell>
          <cell r="N121">
            <v>1794</v>
          </cell>
          <cell r="O121">
            <v>0.97</v>
          </cell>
          <cell r="P121">
            <v>0.37</v>
          </cell>
          <cell r="Q121">
            <v>24.39</v>
          </cell>
          <cell r="R121">
            <v>3363</v>
          </cell>
          <cell r="S121">
            <v>69</v>
          </cell>
          <cell r="T121">
            <v>69</v>
          </cell>
          <cell r="U121">
            <v>28.25</v>
          </cell>
          <cell r="V121">
            <v>7.89</v>
          </cell>
          <cell r="W121">
            <v>0.57999999999999996</v>
          </cell>
          <cell r="X121">
            <v>2.2400000000000002</v>
          </cell>
          <cell r="Y121">
            <v>0.97</v>
          </cell>
          <cell r="Z121">
            <v>0.37</v>
          </cell>
          <cell r="AA121">
            <v>24.39</v>
          </cell>
          <cell r="AB121">
            <v>3363</v>
          </cell>
          <cell r="AC121">
            <v>222.89249999999998</v>
          </cell>
          <cell r="AD121">
            <v>40.019999999999996</v>
          </cell>
          <cell r="AE121">
            <v>154.56</v>
          </cell>
          <cell r="AF121">
            <v>66.929999999999993</v>
          </cell>
          <cell r="AG121">
            <v>-380</v>
          </cell>
          <cell r="AH121">
            <v>1682.91</v>
          </cell>
          <cell r="AI121">
            <v>2631.3150000000001</v>
          </cell>
          <cell r="AJ121">
            <v>28.16</v>
          </cell>
          <cell r="AK121">
            <v>85.32</v>
          </cell>
          <cell r="AL121">
            <v>4</v>
          </cell>
          <cell r="AM121">
            <v>4</v>
          </cell>
          <cell r="AN121">
            <v>333.5</v>
          </cell>
          <cell r="AO121">
            <v>7.89</v>
          </cell>
          <cell r="AP121">
            <v>7.04</v>
          </cell>
          <cell r="AQ121">
            <v>21.33</v>
          </cell>
          <cell r="AR121">
            <v>2.04</v>
          </cell>
          <cell r="AS121">
            <v>0.37</v>
          </cell>
          <cell r="AT121">
            <v>22.413422014141801</v>
          </cell>
          <cell r="AU121">
            <v>222.89249999999998</v>
          </cell>
          <cell r="AV121">
            <v>40.019999999999996</v>
          </cell>
          <cell r="AW121">
            <v>154.56</v>
          </cell>
          <cell r="AX121">
            <v>66.929999999999993</v>
          </cell>
          <cell r="AY121">
            <v>10.452500000000001</v>
          </cell>
          <cell r="AZ121">
            <v>1682.91</v>
          </cell>
          <cell r="BA121">
            <v>2631.3150000000001</v>
          </cell>
          <cell r="BB121">
            <v>28.16</v>
          </cell>
          <cell r="BC121">
            <v>85.32</v>
          </cell>
          <cell r="BD121">
            <v>8.16</v>
          </cell>
          <cell r="BE121">
            <v>123.395</v>
          </cell>
          <cell r="BF121">
            <v>89.653688056567205</v>
          </cell>
          <cell r="BG121">
            <v>2.6416749325747826E-4</v>
          </cell>
          <cell r="BH121">
            <v>13.176299999999999</v>
          </cell>
        </row>
        <row r="122">
          <cell r="A122" t="str">
            <v>LA</v>
          </cell>
          <cell r="B122" t="str">
            <v>UY</v>
          </cell>
          <cell r="C122" t="str">
            <v>H</v>
          </cell>
          <cell r="D122" t="str">
            <v>H</v>
          </cell>
          <cell r="E122">
            <v>6243</v>
          </cell>
          <cell r="F122">
            <v>3307</v>
          </cell>
          <cell r="G122">
            <v>5118</v>
          </cell>
          <cell r="H122">
            <v>2852</v>
          </cell>
          <cell r="I122">
            <v>5118</v>
          </cell>
          <cell r="J122">
            <v>201</v>
          </cell>
          <cell r="K122">
            <v>53.75</v>
          </cell>
          <cell r="L122">
            <v>6.6</v>
          </cell>
          <cell r="M122">
            <v>0.52</v>
          </cell>
          <cell r="N122">
            <v>2852</v>
          </cell>
          <cell r="O122">
            <v>0.43</v>
          </cell>
          <cell r="P122">
            <v>0.04</v>
          </cell>
          <cell r="Q122">
            <v>16.72</v>
          </cell>
          <cell r="R122">
            <v>1125</v>
          </cell>
          <cell r="S122">
            <v>201</v>
          </cell>
          <cell r="T122">
            <v>201</v>
          </cell>
          <cell r="U122">
            <v>53.75</v>
          </cell>
          <cell r="V122">
            <v>6.6</v>
          </cell>
          <cell r="W122">
            <v>0.52</v>
          </cell>
          <cell r="X122">
            <v>1.95</v>
          </cell>
          <cell r="Y122">
            <v>0.43</v>
          </cell>
          <cell r="Z122">
            <v>0.04</v>
          </cell>
          <cell r="AA122">
            <v>16.72</v>
          </cell>
          <cell r="AB122">
            <v>1125</v>
          </cell>
          <cell r="AC122">
            <v>354.75</v>
          </cell>
          <cell r="AD122">
            <v>104.52000000000001</v>
          </cell>
          <cell r="AE122">
            <v>391.95</v>
          </cell>
          <cell r="AF122">
            <v>86.429999999999993</v>
          </cell>
          <cell r="AG122">
            <v>455</v>
          </cell>
          <cell r="AH122">
            <v>3360.72</v>
          </cell>
          <cell r="AI122">
            <v>299.84499999999997</v>
          </cell>
          <cell r="AJ122">
            <v>35.520000000000003</v>
          </cell>
          <cell r="AK122">
            <v>57.2</v>
          </cell>
          <cell r="AL122">
            <v>8</v>
          </cell>
          <cell r="AM122">
            <v>8</v>
          </cell>
          <cell r="AN122">
            <v>45.5</v>
          </cell>
          <cell r="AO122">
            <v>6.59</v>
          </cell>
          <cell r="AP122">
            <v>4.4400000000000004</v>
          </cell>
          <cell r="AQ122">
            <v>7.15</v>
          </cell>
          <cell r="AR122">
            <v>0.11</v>
          </cell>
          <cell r="AS122">
            <v>0.11</v>
          </cell>
          <cell r="AT122">
            <v>21.94</v>
          </cell>
          <cell r="AU122">
            <v>354.75</v>
          </cell>
          <cell r="AV122">
            <v>104.52000000000001</v>
          </cell>
          <cell r="AW122">
            <v>391.95</v>
          </cell>
          <cell r="AX122">
            <v>86.429999999999993</v>
          </cell>
          <cell r="AY122">
            <v>2.15</v>
          </cell>
          <cell r="AZ122">
            <v>3360.72</v>
          </cell>
          <cell r="BA122">
            <v>299.84499999999997</v>
          </cell>
          <cell r="BB122">
            <v>35.520000000000003</v>
          </cell>
          <cell r="BC122">
            <v>57.2</v>
          </cell>
          <cell r="BD122">
            <v>0.88</v>
          </cell>
          <cell r="BE122">
            <v>5.0049999999999999</v>
          </cell>
          <cell r="BF122">
            <v>175.52</v>
          </cell>
          <cell r="BG122">
            <v>2.5588792248354333E-4</v>
          </cell>
          <cell r="BH122">
            <v>11.0053</v>
          </cell>
        </row>
        <row r="123">
          <cell r="A123" t="str">
            <v>EC</v>
          </cell>
          <cell r="B123" t="str">
            <v>LS</v>
          </cell>
          <cell r="C123" t="str">
            <v>H</v>
          </cell>
          <cell r="D123" t="str">
            <v>H</v>
          </cell>
          <cell r="E123">
            <v>5928</v>
          </cell>
          <cell r="F123">
            <v>3209</v>
          </cell>
          <cell r="G123">
            <v>2253</v>
          </cell>
          <cell r="H123">
            <v>1432</v>
          </cell>
          <cell r="I123">
            <v>2253</v>
          </cell>
          <cell r="J123">
            <v>45</v>
          </cell>
          <cell r="K123">
            <v>26.75</v>
          </cell>
          <cell r="L123">
            <v>4.47</v>
          </cell>
          <cell r="M123">
            <v>0.19</v>
          </cell>
          <cell r="N123">
            <v>1432</v>
          </cell>
          <cell r="O123">
            <v>0.32</v>
          </cell>
          <cell r="P123">
            <v>0.97</v>
          </cell>
          <cell r="Q123">
            <v>31.42</v>
          </cell>
          <cell r="R123">
            <v>3675</v>
          </cell>
          <cell r="S123">
            <v>45</v>
          </cell>
          <cell r="T123">
            <v>45</v>
          </cell>
          <cell r="U123">
            <v>26.75</v>
          </cell>
          <cell r="V123">
            <v>4.47</v>
          </cell>
          <cell r="W123">
            <v>0.19</v>
          </cell>
          <cell r="X123">
            <v>2.2000000000000002</v>
          </cell>
          <cell r="Y123">
            <v>0.32</v>
          </cell>
          <cell r="Z123">
            <v>0.97</v>
          </cell>
          <cell r="AA123">
            <v>31.42</v>
          </cell>
          <cell r="AB123">
            <v>3675</v>
          </cell>
          <cell r="AC123">
            <v>119.57249999999999</v>
          </cell>
          <cell r="AD123">
            <v>8.5500000000000007</v>
          </cell>
          <cell r="AE123">
            <v>99.000000000000014</v>
          </cell>
          <cell r="AF123">
            <v>14.4</v>
          </cell>
          <cell r="AG123">
            <v>1776</v>
          </cell>
          <cell r="AH123">
            <v>1413.9</v>
          </cell>
          <cell r="AI123">
            <v>666.77</v>
          </cell>
          <cell r="AJ123">
            <v>36.299999999999997</v>
          </cell>
          <cell r="AK123">
            <v>185.21999999999997</v>
          </cell>
          <cell r="AL123">
            <v>18</v>
          </cell>
          <cell r="AM123">
            <v>22</v>
          </cell>
          <cell r="AN123">
            <v>149.5</v>
          </cell>
          <cell r="AO123">
            <v>4.46</v>
          </cell>
          <cell r="AP123">
            <v>1.65</v>
          </cell>
          <cell r="AQ123">
            <v>10.29</v>
          </cell>
          <cell r="AR123">
            <v>0.32</v>
          </cell>
          <cell r="AS123">
            <v>0.97</v>
          </cell>
          <cell r="AT123">
            <v>40.83</v>
          </cell>
          <cell r="AU123">
            <v>119.57249999999999</v>
          </cell>
          <cell r="AV123">
            <v>8.5500000000000007</v>
          </cell>
          <cell r="AW123">
            <v>99.000000000000014</v>
          </cell>
          <cell r="AX123">
            <v>14.4</v>
          </cell>
          <cell r="AY123">
            <v>25.947499999999998</v>
          </cell>
          <cell r="AZ123">
            <v>1413.9</v>
          </cell>
          <cell r="BA123">
            <v>666.77</v>
          </cell>
          <cell r="BB123">
            <v>36.299999999999997</v>
          </cell>
          <cell r="BC123">
            <v>185.21999999999997</v>
          </cell>
          <cell r="BD123">
            <v>7.04</v>
          </cell>
          <cell r="BE123">
            <v>145.01499999999999</v>
          </cell>
          <cell r="BF123">
            <v>734.93999999999994</v>
          </cell>
          <cell r="BG123">
            <v>2.4297671063310024E-4</v>
          </cell>
          <cell r="BH123">
            <v>7.4481999999999999</v>
          </cell>
        </row>
        <row r="124">
          <cell r="A124" t="str">
            <v>LA</v>
          </cell>
          <cell r="B124" t="str">
            <v>EC</v>
          </cell>
          <cell r="C124" t="str">
            <v>H</v>
          </cell>
          <cell r="D124" t="str">
            <v>H</v>
          </cell>
          <cell r="E124">
            <v>5220</v>
          </cell>
          <cell r="F124">
            <v>1161</v>
          </cell>
          <cell r="G124">
            <v>2150</v>
          </cell>
          <cell r="H124">
            <v>1284</v>
          </cell>
          <cell r="I124">
            <v>2150</v>
          </cell>
          <cell r="J124">
            <v>54</v>
          </cell>
          <cell r="K124">
            <v>25.5</v>
          </cell>
          <cell r="L124">
            <v>7.77</v>
          </cell>
          <cell r="M124">
            <v>1.08</v>
          </cell>
          <cell r="N124">
            <v>1284</v>
          </cell>
          <cell r="O124">
            <v>0.15</v>
          </cell>
          <cell r="P124">
            <v>0.17</v>
          </cell>
          <cell r="Q124">
            <v>20.329999999999998</v>
          </cell>
          <cell r="R124">
            <v>3070</v>
          </cell>
          <cell r="S124">
            <v>54</v>
          </cell>
          <cell r="T124">
            <v>54</v>
          </cell>
          <cell r="U124">
            <v>25.5</v>
          </cell>
          <cell r="V124">
            <v>7.77</v>
          </cell>
          <cell r="W124">
            <v>1.08</v>
          </cell>
          <cell r="X124">
            <v>1.17</v>
          </cell>
          <cell r="Y124">
            <v>0.15</v>
          </cell>
          <cell r="Z124">
            <v>0.17</v>
          </cell>
          <cell r="AA124">
            <v>20.329999999999998</v>
          </cell>
          <cell r="AB124">
            <v>3070</v>
          </cell>
          <cell r="AC124">
            <v>198.13499999999999</v>
          </cell>
          <cell r="AD124">
            <v>58.320000000000007</v>
          </cell>
          <cell r="AE124">
            <v>63.179999999999993</v>
          </cell>
          <cell r="AF124">
            <v>8.1</v>
          </cell>
          <cell r="AG124">
            <v>-123</v>
          </cell>
          <cell r="AH124">
            <v>1097.82</v>
          </cell>
          <cell r="AI124">
            <v>2133.2374999999997</v>
          </cell>
          <cell r="AJ124">
            <v>202.56</v>
          </cell>
          <cell r="AK124">
            <v>60.839999999999996</v>
          </cell>
          <cell r="AL124">
            <v>13</v>
          </cell>
          <cell r="AM124">
            <v>32</v>
          </cell>
          <cell r="AN124">
            <v>271.75</v>
          </cell>
          <cell r="AO124">
            <v>7.85</v>
          </cell>
          <cell r="AP124">
            <v>6.33</v>
          </cell>
          <cell r="AQ124">
            <v>4.68</v>
          </cell>
          <cell r="AR124">
            <v>0.31</v>
          </cell>
          <cell r="AS124">
            <v>0.44</v>
          </cell>
          <cell r="AT124">
            <v>69.900000000000006</v>
          </cell>
          <cell r="AU124">
            <v>198.13499999999999</v>
          </cell>
          <cell r="AV124">
            <v>58.320000000000007</v>
          </cell>
          <cell r="AW124">
            <v>63.179999999999993</v>
          </cell>
          <cell r="AX124">
            <v>8.1</v>
          </cell>
          <cell r="AY124">
            <v>4.335</v>
          </cell>
          <cell r="AZ124">
            <v>1097.82</v>
          </cell>
          <cell r="BA124">
            <v>2133.2374999999997</v>
          </cell>
          <cell r="BB124">
            <v>202.56</v>
          </cell>
          <cell r="BC124">
            <v>60.839999999999996</v>
          </cell>
          <cell r="BD124">
            <v>9.92</v>
          </cell>
          <cell r="BE124">
            <v>119.57000000000001</v>
          </cell>
          <cell r="BF124">
            <v>908.7</v>
          </cell>
          <cell r="BG124">
            <v>2.1395722495019961E-4</v>
          </cell>
          <cell r="BH124">
            <v>13.109499999999999</v>
          </cell>
        </row>
        <row r="125">
          <cell r="A125" t="str">
            <v>EI</v>
          </cell>
          <cell r="B125" t="str">
            <v>GA</v>
          </cell>
          <cell r="C125" t="str">
            <v>H</v>
          </cell>
          <cell r="D125" t="str">
            <v>H</v>
          </cell>
          <cell r="E125">
            <v>4966</v>
          </cell>
          <cell r="F125">
            <v>916</v>
          </cell>
          <cell r="G125">
            <v>1920</v>
          </cell>
          <cell r="H125">
            <v>1176</v>
          </cell>
          <cell r="I125">
            <v>1920</v>
          </cell>
          <cell r="J125">
            <v>38</v>
          </cell>
          <cell r="K125">
            <v>22</v>
          </cell>
          <cell r="L125">
            <v>7.89</v>
          </cell>
          <cell r="M125">
            <v>0.83</v>
          </cell>
          <cell r="N125">
            <v>1176</v>
          </cell>
          <cell r="O125">
            <v>0.15</v>
          </cell>
          <cell r="P125">
            <v>0.26</v>
          </cell>
          <cell r="Q125">
            <v>24.04</v>
          </cell>
          <cell r="R125">
            <v>3046</v>
          </cell>
          <cell r="S125">
            <v>38</v>
          </cell>
          <cell r="T125">
            <v>38</v>
          </cell>
          <cell r="U125">
            <v>22</v>
          </cell>
          <cell r="V125">
            <v>7.89</v>
          </cell>
          <cell r="W125">
            <v>0.83</v>
          </cell>
          <cell r="X125">
            <v>1.81</v>
          </cell>
          <cell r="Y125">
            <v>0.15</v>
          </cell>
          <cell r="Z125">
            <v>0.26</v>
          </cell>
          <cell r="AA125">
            <v>24.04</v>
          </cell>
          <cell r="AB125">
            <v>3046</v>
          </cell>
          <cell r="AC125">
            <v>173.57999999999998</v>
          </cell>
          <cell r="AD125">
            <v>31.54</v>
          </cell>
          <cell r="AE125">
            <v>68.78</v>
          </cell>
          <cell r="AF125">
            <v>5.7</v>
          </cell>
          <cell r="AG125">
            <v>-259</v>
          </cell>
          <cell r="AH125">
            <v>913.52</v>
          </cell>
          <cell r="AI125">
            <v>2376.8624999999997</v>
          </cell>
          <cell r="AJ125">
            <v>189.89</v>
          </cell>
          <cell r="AK125">
            <v>49.629999999999995</v>
          </cell>
          <cell r="AL125">
            <v>7</v>
          </cell>
          <cell r="AM125">
            <v>17</v>
          </cell>
          <cell r="AN125">
            <v>301.25</v>
          </cell>
          <cell r="AO125">
            <v>7.89</v>
          </cell>
          <cell r="AP125">
            <v>11.17</v>
          </cell>
          <cell r="AQ125">
            <v>7.09</v>
          </cell>
          <cell r="AR125">
            <v>0.16</v>
          </cell>
          <cell r="AS125">
            <v>0.26</v>
          </cell>
          <cell r="AT125">
            <v>14.53</v>
          </cell>
          <cell r="AU125">
            <v>173.57999999999998</v>
          </cell>
          <cell r="AV125">
            <v>31.54</v>
          </cell>
          <cell r="AW125">
            <v>68.78</v>
          </cell>
          <cell r="AX125">
            <v>5.7</v>
          </cell>
          <cell r="AY125">
            <v>5.7200000000000006</v>
          </cell>
          <cell r="AZ125">
            <v>913.52</v>
          </cell>
          <cell r="BA125">
            <v>2376.8624999999997</v>
          </cell>
          <cell r="BB125">
            <v>189.89</v>
          </cell>
          <cell r="BC125">
            <v>49.629999999999995</v>
          </cell>
          <cell r="BD125">
            <v>2.72</v>
          </cell>
          <cell r="BE125">
            <v>78.325000000000003</v>
          </cell>
          <cell r="BF125">
            <v>101.71</v>
          </cell>
          <cell r="BG125">
            <v>2.0354627952158836E-4</v>
          </cell>
          <cell r="BH125">
            <v>13.176299999999999</v>
          </cell>
        </row>
        <row r="126">
          <cell r="A126" t="str">
            <v>LA</v>
          </cell>
          <cell r="B126" t="str">
            <v>KY</v>
          </cell>
          <cell r="C126" t="str">
            <v>H</v>
          </cell>
          <cell r="D126" t="str">
            <v>H</v>
          </cell>
          <cell r="E126">
            <v>4962</v>
          </cell>
          <cell r="F126">
            <v>2539</v>
          </cell>
          <cell r="G126">
            <v>4289</v>
          </cell>
          <cell r="H126">
            <v>2336</v>
          </cell>
          <cell r="I126">
            <v>4289</v>
          </cell>
          <cell r="J126">
            <v>125</v>
          </cell>
          <cell r="K126">
            <v>36.25</v>
          </cell>
          <cell r="L126">
            <v>5.72</v>
          </cell>
          <cell r="M126">
            <v>0.98</v>
          </cell>
          <cell r="N126">
            <v>2336</v>
          </cell>
          <cell r="O126">
            <v>0.57999999999999996</v>
          </cell>
          <cell r="P126">
            <v>0.37</v>
          </cell>
          <cell r="Q126">
            <v>21.63</v>
          </cell>
          <cell r="R126">
            <v>673</v>
          </cell>
          <cell r="S126">
            <v>125</v>
          </cell>
          <cell r="T126">
            <v>125</v>
          </cell>
          <cell r="U126">
            <v>36.25</v>
          </cell>
          <cell r="V126">
            <v>5.72</v>
          </cell>
          <cell r="W126">
            <v>0.98</v>
          </cell>
          <cell r="X126">
            <v>1.77</v>
          </cell>
          <cell r="Y126">
            <v>0.57999999999999996</v>
          </cell>
          <cell r="Z126">
            <v>0.37</v>
          </cell>
          <cell r="AA126">
            <v>21.63</v>
          </cell>
          <cell r="AB126">
            <v>673</v>
          </cell>
          <cell r="AC126">
            <v>207.35</v>
          </cell>
          <cell r="AD126">
            <v>122.5</v>
          </cell>
          <cell r="AE126">
            <v>221.25</v>
          </cell>
          <cell r="AF126">
            <v>72.5</v>
          </cell>
          <cell r="AG126">
            <v>204</v>
          </cell>
          <cell r="AH126">
            <v>2703.75</v>
          </cell>
          <cell r="AI126">
            <v>196.995</v>
          </cell>
          <cell r="AJ126">
            <v>38.56</v>
          </cell>
          <cell r="AK126">
            <v>34.56</v>
          </cell>
          <cell r="AL126">
            <v>4</v>
          </cell>
          <cell r="AM126">
            <v>4</v>
          </cell>
          <cell r="AN126">
            <v>34.5</v>
          </cell>
          <cell r="AO126">
            <v>5.71</v>
          </cell>
          <cell r="AP126">
            <v>9.64</v>
          </cell>
          <cell r="AQ126">
            <v>8.64</v>
          </cell>
          <cell r="AR126">
            <v>0.96</v>
          </cell>
          <cell r="AS126">
            <v>1.23</v>
          </cell>
          <cell r="AT126">
            <v>83.08</v>
          </cell>
          <cell r="AU126">
            <v>207.35</v>
          </cell>
          <cell r="AV126">
            <v>122.5</v>
          </cell>
          <cell r="AW126">
            <v>221.25</v>
          </cell>
          <cell r="AX126">
            <v>72.5</v>
          </cell>
          <cell r="AY126">
            <v>13.4125</v>
          </cell>
          <cell r="AZ126">
            <v>2703.75</v>
          </cell>
          <cell r="BA126">
            <v>196.995</v>
          </cell>
          <cell r="BB126">
            <v>38.56</v>
          </cell>
          <cell r="BC126">
            <v>34.56</v>
          </cell>
          <cell r="BD126">
            <v>3.84</v>
          </cell>
          <cell r="BE126">
            <v>42.435000000000002</v>
          </cell>
          <cell r="BF126">
            <v>332.32</v>
          </cell>
          <cell r="BG126">
            <v>2.033823276250748E-4</v>
          </cell>
          <cell r="BH126">
            <v>9.5357000000000003</v>
          </cell>
        </row>
        <row r="127">
          <cell r="A127" t="str">
            <v>EU</v>
          </cell>
          <cell r="B127" t="str">
            <v>LV</v>
          </cell>
          <cell r="C127" t="str">
            <v>H</v>
          </cell>
          <cell r="D127" t="str">
            <v>H</v>
          </cell>
          <cell r="E127">
            <v>4636</v>
          </cell>
          <cell r="F127">
            <v>2410</v>
          </cell>
          <cell r="G127">
            <v>3380</v>
          </cell>
          <cell r="H127">
            <v>1965</v>
          </cell>
          <cell r="I127">
            <v>3380</v>
          </cell>
          <cell r="J127">
            <v>64</v>
          </cell>
          <cell r="K127">
            <v>39</v>
          </cell>
          <cell r="L127">
            <v>7.67</v>
          </cell>
          <cell r="M127">
            <v>0.57999999999999996</v>
          </cell>
          <cell r="N127">
            <v>1965</v>
          </cell>
          <cell r="O127">
            <v>0.89</v>
          </cell>
          <cell r="P127">
            <v>0.32</v>
          </cell>
          <cell r="Q127">
            <v>18.46</v>
          </cell>
          <cell r="R127">
            <v>1257</v>
          </cell>
          <cell r="S127">
            <v>64</v>
          </cell>
          <cell r="T127">
            <v>64</v>
          </cell>
          <cell r="U127">
            <v>39</v>
          </cell>
          <cell r="V127">
            <v>7.67</v>
          </cell>
          <cell r="W127">
            <v>0.57999999999999996</v>
          </cell>
          <cell r="X127">
            <v>2.08</v>
          </cell>
          <cell r="Y127">
            <v>0.89</v>
          </cell>
          <cell r="Z127">
            <v>0.32</v>
          </cell>
          <cell r="AA127">
            <v>18.46</v>
          </cell>
          <cell r="AB127">
            <v>1257</v>
          </cell>
          <cell r="AC127">
            <v>299.13</v>
          </cell>
          <cell r="AD127">
            <v>37.119999999999997</v>
          </cell>
          <cell r="AE127">
            <v>133.12</v>
          </cell>
          <cell r="AF127">
            <v>56.96</v>
          </cell>
          <cell r="AG127">
            <v>445</v>
          </cell>
          <cell r="AH127">
            <v>1181.44</v>
          </cell>
          <cell r="AI127">
            <v>331.72750000000002</v>
          </cell>
          <cell r="AJ127">
            <v>48.84</v>
          </cell>
          <cell r="AK127">
            <v>68.490000000000009</v>
          </cell>
          <cell r="AL127">
            <v>9</v>
          </cell>
          <cell r="AM127">
            <v>11</v>
          </cell>
          <cell r="AN127">
            <v>43.25</v>
          </cell>
          <cell r="AO127">
            <v>7.67</v>
          </cell>
          <cell r="AP127">
            <v>4.4400000000000004</v>
          </cell>
          <cell r="AQ127">
            <v>7.61</v>
          </cell>
          <cell r="AR127">
            <v>1.42</v>
          </cell>
          <cell r="AS127">
            <v>0.28000000000000003</v>
          </cell>
          <cell r="AT127">
            <v>20.89</v>
          </cell>
          <cell r="AU127">
            <v>299.13</v>
          </cell>
          <cell r="AV127">
            <v>37.119999999999997</v>
          </cell>
          <cell r="AW127">
            <v>133.12</v>
          </cell>
          <cell r="AX127">
            <v>56.96</v>
          </cell>
          <cell r="AY127">
            <v>12.48</v>
          </cell>
          <cell r="AZ127">
            <v>1181.44</v>
          </cell>
          <cell r="BA127">
            <v>331.72750000000002</v>
          </cell>
          <cell r="BB127">
            <v>48.84</v>
          </cell>
          <cell r="BC127">
            <v>68.490000000000009</v>
          </cell>
          <cell r="BD127">
            <v>15.62</v>
          </cell>
          <cell r="BE127">
            <v>12.110000000000001</v>
          </cell>
          <cell r="BF127">
            <v>188.01</v>
          </cell>
          <cell r="BG127">
            <v>1.9002024805921943E-4</v>
          </cell>
          <cell r="BH127">
            <v>12.8089</v>
          </cell>
        </row>
        <row r="128">
          <cell r="A128" t="str">
            <v>EI</v>
          </cell>
          <cell r="B128" t="str">
            <v>LR</v>
          </cell>
          <cell r="C128" t="str">
            <v>H</v>
          </cell>
          <cell r="D128" t="str">
            <v>H</v>
          </cell>
          <cell r="E128">
            <v>4630</v>
          </cell>
          <cell r="F128">
            <v>2188</v>
          </cell>
          <cell r="G128">
            <v>2205</v>
          </cell>
          <cell r="H128">
            <v>1324</v>
          </cell>
          <cell r="I128">
            <v>2205</v>
          </cell>
          <cell r="J128">
            <v>52</v>
          </cell>
          <cell r="K128">
            <v>13</v>
          </cell>
          <cell r="L128">
            <v>8</v>
          </cell>
          <cell r="M128">
            <v>0.52</v>
          </cell>
          <cell r="N128">
            <v>1324</v>
          </cell>
          <cell r="O128">
            <v>0.89</v>
          </cell>
          <cell r="P128">
            <v>0.68</v>
          </cell>
          <cell r="Q128">
            <v>24.97</v>
          </cell>
          <cell r="R128">
            <v>2425</v>
          </cell>
          <cell r="S128">
            <v>52</v>
          </cell>
          <cell r="T128">
            <v>52</v>
          </cell>
          <cell r="U128">
            <v>13</v>
          </cell>
          <cell r="V128">
            <v>8</v>
          </cell>
          <cell r="W128">
            <v>0.52</v>
          </cell>
          <cell r="X128">
            <v>2.16</v>
          </cell>
          <cell r="Y128">
            <v>0.89</v>
          </cell>
          <cell r="Z128">
            <v>0.68</v>
          </cell>
          <cell r="AA128">
            <v>24.97</v>
          </cell>
          <cell r="AB128">
            <v>2425</v>
          </cell>
          <cell r="AC128">
            <v>104</v>
          </cell>
          <cell r="AD128">
            <v>27.04</v>
          </cell>
          <cell r="AE128">
            <v>112.32000000000001</v>
          </cell>
          <cell r="AF128">
            <v>46.28</v>
          </cell>
          <cell r="AG128">
            <v>864</v>
          </cell>
          <cell r="AH128">
            <v>1298.44</v>
          </cell>
          <cell r="AI128">
            <v>856</v>
          </cell>
          <cell r="AJ128">
            <v>66.600000000000009</v>
          </cell>
          <cell r="AK128">
            <v>22.599999999999998</v>
          </cell>
          <cell r="AL128">
            <v>10</v>
          </cell>
          <cell r="AM128">
            <v>15</v>
          </cell>
          <cell r="AN128">
            <v>107</v>
          </cell>
          <cell r="AO128">
            <v>8</v>
          </cell>
          <cell r="AP128">
            <v>4.4400000000000004</v>
          </cell>
          <cell r="AQ128">
            <v>2.2599999999999998</v>
          </cell>
          <cell r="AR128">
            <v>0.34</v>
          </cell>
          <cell r="AS128">
            <v>0.16</v>
          </cell>
          <cell r="AT128">
            <v>30.63</v>
          </cell>
          <cell r="AU128">
            <v>104</v>
          </cell>
          <cell r="AV128">
            <v>27.04</v>
          </cell>
          <cell r="AW128">
            <v>112.32000000000001</v>
          </cell>
          <cell r="AX128">
            <v>46.28</v>
          </cell>
          <cell r="AY128">
            <v>8.84</v>
          </cell>
          <cell r="AZ128">
            <v>1298.44</v>
          </cell>
          <cell r="BA128">
            <v>856</v>
          </cell>
          <cell r="BB128">
            <v>66.600000000000009</v>
          </cell>
          <cell r="BC128">
            <v>22.599999999999998</v>
          </cell>
          <cell r="BD128">
            <v>5.1000000000000005</v>
          </cell>
          <cell r="BE128">
            <v>17.12</v>
          </cell>
          <cell r="BF128">
            <v>306.3</v>
          </cell>
          <cell r="BG128">
            <v>1.8977432021444909E-4</v>
          </cell>
          <cell r="BH128">
            <v>13.36</v>
          </cell>
        </row>
        <row r="129">
          <cell r="A129" t="str">
            <v>EE</v>
          </cell>
          <cell r="B129" t="str">
            <v>SI</v>
          </cell>
          <cell r="C129" t="str">
            <v>H</v>
          </cell>
          <cell r="D129" t="str">
            <v>H</v>
          </cell>
          <cell r="E129">
            <v>4566</v>
          </cell>
          <cell r="F129">
            <v>2092</v>
          </cell>
          <cell r="G129">
            <v>2020</v>
          </cell>
          <cell r="H129">
            <v>977</v>
          </cell>
          <cell r="I129">
            <v>2020</v>
          </cell>
          <cell r="J129">
            <v>59</v>
          </cell>
          <cell r="K129">
            <v>20.75</v>
          </cell>
          <cell r="L129">
            <v>4.2</v>
          </cell>
          <cell r="M129">
            <v>0.52</v>
          </cell>
          <cell r="N129">
            <v>977</v>
          </cell>
          <cell r="O129">
            <v>1.1100000000000001</v>
          </cell>
          <cell r="P129">
            <v>0.28999999999999998</v>
          </cell>
          <cell r="Q129">
            <v>13.44</v>
          </cell>
          <cell r="R129">
            <v>2547</v>
          </cell>
          <cell r="S129">
            <v>59</v>
          </cell>
          <cell r="T129">
            <v>59</v>
          </cell>
          <cell r="U129">
            <v>20.75</v>
          </cell>
          <cell r="V129">
            <v>4.2</v>
          </cell>
          <cell r="W129">
            <v>0.52</v>
          </cell>
          <cell r="X129">
            <v>2.7</v>
          </cell>
          <cell r="Y129">
            <v>1.1100000000000001</v>
          </cell>
          <cell r="Z129">
            <v>0.28999999999999998</v>
          </cell>
          <cell r="AA129">
            <v>13.44</v>
          </cell>
          <cell r="AB129">
            <v>2547</v>
          </cell>
          <cell r="AC129">
            <v>87.15</v>
          </cell>
          <cell r="AD129">
            <v>30.68</v>
          </cell>
          <cell r="AE129">
            <v>159.30000000000001</v>
          </cell>
          <cell r="AF129">
            <v>65.490000000000009</v>
          </cell>
          <cell r="AG129">
            <v>1115</v>
          </cell>
          <cell r="AH129">
            <v>792.95999999999992</v>
          </cell>
          <cell r="AI129">
            <v>356.15000000000003</v>
          </cell>
          <cell r="AJ129">
            <v>124.32000000000001</v>
          </cell>
          <cell r="AK129">
            <v>232.8</v>
          </cell>
          <cell r="AL129">
            <v>20</v>
          </cell>
          <cell r="AM129">
            <v>28</v>
          </cell>
          <cell r="AN129">
            <v>85</v>
          </cell>
          <cell r="AO129">
            <v>4.1900000000000004</v>
          </cell>
          <cell r="AP129">
            <v>4.4400000000000004</v>
          </cell>
          <cell r="AQ129">
            <v>11.64</v>
          </cell>
          <cell r="AR129">
            <v>1.21</v>
          </cell>
          <cell r="AS129">
            <v>0.4</v>
          </cell>
          <cell r="AT129">
            <v>20.55</v>
          </cell>
          <cell r="AU129">
            <v>87.15</v>
          </cell>
          <cell r="AV129">
            <v>30.68</v>
          </cell>
          <cell r="AW129">
            <v>159.30000000000001</v>
          </cell>
          <cell r="AX129">
            <v>65.490000000000009</v>
          </cell>
          <cell r="AY129">
            <v>6.0174999999999992</v>
          </cell>
          <cell r="AZ129">
            <v>792.95999999999992</v>
          </cell>
          <cell r="BA129">
            <v>356.15000000000003</v>
          </cell>
          <cell r="BB129">
            <v>124.32000000000001</v>
          </cell>
          <cell r="BC129">
            <v>232.8</v>
          </cell>
          <cell r="BD129">
            <v>33.879999999999995</v>
          </cell>
          <cell r="BE129">
            <v>34</v>
          </cell>
          <cell r="BF129">
            <v>411</v>
          </cell>
          <cell r="BG129">
            <v>1.8715108987023206E-4</v>
          </cell>
          <cell r="BH129">
            <v>6.9973000000000001</v>
          </cell>
        </row>
        <row r="130">
          <cell r="A130" t="str">
            <v>EK</v>
          </cell>
          <cell r="B130" t="str">
            <v>ET</v>
          </cell>
          <cell r="C130" t="str">
            <v>H</v>
          </cell>
          <cell r="D130" t="str">
            <v>H</v>
          </cell>
          <cell r="E130">
            <v>4463</v>
          </cell>
          <cell r="F130">
            <v>2235</v>
          </cell>
          <cell r="G130">
            <v>1957</v>
          </cell>
          <cell r="H130">
            <v>1222</v>
          </cell>
          <cell r="I130">
            <v>1957</v>
          </cell>
          <cell r="J130">
            <v>66</v>
          </cell>
          <cell r="K130">
            <v>18.5</v>
          </cell>
          <cell r="L130">
            <v>5.64</v>
          </cell>
          <cell r="M130">
            <v>0.52</v>
          </cell>
          <cell r="N130">
            <v>1222</v>
          </cell>
          <cell r="O130">
            <v>0.28000000000000003</v>
          </cell>
          <cell r="P130">
            <v>0.25</v>
          </cell>
          <cell r="Q130">
            <v>14.53</v>
          </cell>
          <cell r="R130">
            <v>2506</v>
          </cell>
          <cell r="S130">
            <v>66</v>
          </cell>
          <cell r="T130">
            <v>66</v>
          </cell>
          <cell r="U130">
            <v>18.5</v>
          </cell>
          <cell r="V130">
            <v>5.64</v>
          </cell>
          <cell r="W130">
            <v>0.52</v>
          </cell>
          <cell r="X130">
            <v>0.77</v>
          </cell>
          <cell r="Y130">
            <v>0.28000000000000003</v>
          </cell>
          <cell r="Z130">
            <v>0.25</v>
          </cell>
          <cell r="AA130">
            <v>14.53</v>
          </cell>
          <cell r="AB130">
            <v>2506</v>
          </cell>
          <cell r="AC130">
            <v>104.33999999999999</v>
          </cell>
          <cell r="AD130">
            <v>34.32</v>
          </cell>
          <cell r="AE130">
            <v>50.82</v>
          </cell>
          <cell r="AF130">
            <v>18.48</v>
          </cell>
          <cell r="AG130">
            <v>1013</v>
          </cell>
          <cell r="AH130">
            <v>958.9799999999999</v>
          </cell>
          <cell r="AI130">
            <v>577.71250000000009</v>
          </cell>
          <cell r="AJ130">
            <v>130.41</v>
          </cell>
          <cell r="AK130">
            <v>101.49999999999999</v>
          </cell>
          <cell r="AL130">
            <v>25</v>
          </cell>
          <cell r="AM130">
            <v>27</v>
          </cell>
          <cell r="AN130">
            <v>102.25</v>
          </cell>
          <cell r="AO130">
            <v>5.65</v>
          </cell>
          <cell r="AP130">
            <v>4.83</v>
          </cell>
          <cell r="AQ130">
            <v>4.0599999999999996</v>
          </cell>
          <cell r="AR130">
            <v>0.46</v>
          </cell>
          <cell r="AS130">
            <v>0.2</v>
          </cell>
          <cell r="AT130">
            <v>27.57</v>
          </cell>
          <cell r="AU130">
            <v>104.33999999999999</v>
          </cell>
          <cell r="AV130">
            <v>34.32</v>
          </cell>
          <cell r="AW130">
            <v>50.82</v>
          </cell>
          <cell r="AX130">
            <v>18.48</v>
          </cell>
          <cell r="AY130">
            <v>4.625</v>
          </cell>
          <cell r="AZ130">
            <v>958.9799999999999</v>
          </cell>
          <cell r="BA130">
            <v>577.71250000000009</v>
          </cell>
          <cell r="BB130">
            <v>130.41</v>
          </cell>
          <cell r="BC130">
            <v>101.49999999999999</v>
          </cell>
          <cell r="BD130">
            <v>12.42</v>
          </cell>
          <cell r="BE130">
            <v>20.450000000000003</v>
          </cell>
          <cell r="BF130">
            <v>689.25</v>
          </cell>
          <cell r="BG130">
            <v>1.8292932853500782E-4</v>
          </cell>
          <cell r="BH130">
            <v>9.4354999999999993</v>
          </cell>
        </row>
        <row r="131">
          <cell r="A131" t="str">
            <v>EC</v>
          </cell>
          <cell r="B131" t="str">
            <v>MZ</v>
          </cell>
          <cell r="C131" t="str">
            <v>H</v>
          </cell>
          <cell r="D131" t="str">
            <v>H</v>
          </cell>
          <cell r="E131">
            <v>4440</v>
          </cell>
          <cell r="F131">
            <v>2755</v>
          </cell>
          <cell r="G131">
            <v>3227</v>
          </cell>
          <cell r="H131">
            <v>1896</v>
          </cell>
          <cell r="I131">
            <v>3227</v>
          </cell>
          <cell r="J131">
            <v>83</v>
          </cell>
          <cell r="K131">
            <v>26.25</v>
          </cell>
          <cell r="L131">
            <v>4.5599999999999996</v>
          </cell>
          <cell r="M131">
            <v>0.14000000000000001</v>
          </cell>
          <cell r="N131">
            <v>1896</v>
          </cell>
          <cell r="O131">
            <v>0.47</v>
          </cell>
          <cell r="P131">
            <v>0.88</v>
          </cell>
          <cell r="Q131">
            <v>53.31</v>
          </cell>
          <cell r="R131">
            <v>1212</v>
          </cell>
          <cell r="S131">
            <v>83</v>
          </cell>
          <cell r="T131">
            <v>83</v>
          </cell>
          <cell r="U131">
            <v>26.25</v>
          </cell>
          <cell r="V131">
            <v>4.5599999999999996</v>
          </cell>
          <cell r="W131">
            <v>0.14000000000000001</v>
          </cell>
          <cell r="X131">
            <v>3.01</v>
          </cell>
          <cell r="Y131">
            <v>0.47</v>
          </cell>
          <cell r="Z131">
            <v>0.88</v>
          </cell>
          <cell r="AA131">
            <v>53.31</v>
          </cell>
          <cell r="AB131">
            <v>1212</v>
          </cell>
          <cell r="AC131">
            <v>119.69999999999999</v>
          </cell>
          <cell r="AD131">
            <v>11.620000000000001</v>
          </cell>
          <cell r="AE131">
            <v>249.82999999999998</v>
          </cell>
          <cell r="AF131">
            <v>39.01</v>
          </cell>
          <cell r="AG131">
            <v>859</v>
          </cell>
          <cell r="AH131">
            <v>4424.7300000000005</v>
          </cell>
          <cell r="AI131">
            <v>123.11999999999999</v>
          </cell>
          <cell r="AJ131">
            <v>9.8999999999999986</v>
          </cell>
          <cell r="AK131">
            <v>18.78</v>
          </cell>
          <cell r="AL131">
            <v>6</v>
          </cell>
          <cell r="AM131">
            <v>6</v>
          </cell>
          <cell r="AN131">
            <v>27</v>
          </cell>
          <cell r="AO131">
            <v>4.5599999999999996</v>
          </cell>
          <cell r="AP131">
            <v>1.65</v>
          </cell>
          <cell r="AQ131">
            <v>3.13</v>
          </cell>
          <cell r="AR131">
            <v>0.37</v>
          </cell>
          <cell r="AS131">
            <v>0.09</v>
          </cell>
          <cell r="AT131">
            <v>12.4831254454222</v>
          </cell>
          <cell r="AU131">
            <v>119.69999999999999</v>
          </cell>
          <cell r="AV131">
            <v>11.620000000000001</v>
          </cell>
          <cell r="AW131">
            <v>249.82999999999998</v>
          </cell>
          <cell r="AX131">
            <v>39.01</v>
          </cell>
          <cell r="AY131">
            <v>23.1</v>
          </cell>
          <cell r="AZ131">
            <v>4424.7300000000005</v>
          </cell>
          <cell r="BA131">
            <v>123.11999999999999</v>
          </cell>
          <cell r="BB131">
            <v>9.8999999999999986</v>
          </cell>
          <cell r="BC131">
            <v>18.78</v>
          </cell>
          <cell r="BD131">
            <v>2.2199999999999998</v>
          </cell>
          <cell r="BE131">
            <v>2.4299999999999997</v>
          </cell>
          <cell r="BF131">
            <v>74.898752672533192</v>
          </cell>
          <cell r="BG131">
            <v>1.8198660513005485E-4</v>
          </cell>
          <cell r="BH131">
            <v>7.6151999999999989</v>
          </cell>
        </row>
        <row r="132">
          <cell r="A132" t="str">
            <v>EJ</v>
          </cell>
          <cell r="B132" t="str">
            <v>KZ</v>
          </cell>
          <cell r="C132" t="str">
            <v>H</v>
          </cell>
          <cell r="D132" t="str">
            <v>H</v>
          </cell>
          <cell r="E132">
            <v>4406</v>
          </cell>
          <cell r="F132">
            <v>1634</v>
          </cell>
          <cell r="G132">
            <v>2225</v>
          </cell>
          <cell r="H132">
            <v>1144</v>
          </cell>
          <cell r="I132">
            <v>2225</v>
          </cell>
          <cell r="J132">
            <v>47</v>
          </cell>
          <cell r="K132">
            <v>30.75</v>
          </cell>
          <cell r="L132">
            <v>5.89</v>
          </cell>
          <cell r="M132">
            <v>0.69</v>
          </cell>
          <cell r="N132">
            <v>1144</v>
          </cell>
          <cell r="O132">
            <v>1.36</v>
          </cell>
          <cell r="P132">
            <v>0.38</v>
          </cell>
          <cell r="Q132">
            <v>17.8</v>
          </cell>
          <cell r="R132">
            <v>2181</v>
          </cell>
          <cell r="S132">
            <v>47</v>
          </cell>
          <cell r="T132">
            <v>47</v>
          </cell>
          <cell r="U132">
            <v>30.75</v>
          </cell>
          <cell r="V132">
            <v>5.89</v>
          </cell>
          <cell r="W132">
            <v>0.69</v>
          </cell>
          <cell r="X132">
            <v>3.6</v>
          </cell>
          <cell r="Y132">
            <v>1.36</v>
          </cell>
          <cell r="Z132">
            <v>0.38</v>
          </cell>
          <cell r="AA132">
            <v>17.8</v>
          </cell>
          <cell r="AB132">
            <v>2181</v>
          </cell>
          <cell r="AC132">
            <v>181.11749999999998</v>
          </cell>
          <cell r="AD132">
            <v>32.43</v>
          </cell>
          <cell r="AE132">
            <v>169.20000000000002</v>
          </cell>
          <cell r="AF132">
            <v>63.92</v>
          </cell>
          <cell r="AG132">
            <v>490</v>
          </cell>
          <cell r="AH132">
            <v>836.6</v>
          </cell>
          <cell r="AI132">
            <v>614.03249999999991</v>
          </cell>
          <cell r="AJ132">
            <v>94.81</v>
          </cell>
          <cell r="AK132">
            <v>232.18</v>
          </cell>
          <cell r="AL132">
            <v>19</v>
          </cell>
          <cell r="AM132">
            <v>19</v>
          </cell>
          <cell r="AN132">
            <v>104.25</v>
          </cell>
          <cell r="AO132">
            <v>5.89</v>
          </cell>
          <cell r="AP132">
            <v>4.99</v>
          </cell>
          <cell r="AQ132">
            <v>12.22</v>
          </cell>
          <cell r="AR132">
            <v>2.91</v>
          </cell>
          <cell r="AS132">
            <v>0.55000000000000004</v>
          </cell>
          <cell r="AT132">
            <v>38.362754754698003</v>
          </cell>
          <cell r="AU132">
            <v>181.11749999999998</v>
          </cell>
          <cell r="AV132">
            <v>32.43</v>
          </cell>
          <cell r="AW132">
            <v>169.20000000000002</v>
          </cell>
          <cell r="AX132">
            <v>63.92</v>
          </cell>
          <cell r="AY132">
            <v>11.685</v>
          </cell>
          <cell r="AZ132">
            <v>836.6</v>
          </cell>
          <cell r="BA132">
            <v>614.03249999999991</v>
          </cell>
          <cell r="BB132">
            <v>94.81</v>
          </cell>
          <cell r="BC132">
            <v>232.18</v>
          </cell>
          <cell r="BD132">
            <v>55.290000000000006</v>
          </cell>
          <cell r="BE132">
            <v>57.337500000000006</v>
          </cell>
          <cell r="BF132">
            <v>728.89234033926209</v>
          </cell>
          <cell r="BG132">
            <v>1.8059301400968956E-4</v>
          </cell>
          <cell r="BH132">
            <v>9.8362999999999996</v>
          </cell>
        </row>
        <row r="133">
          <cell r="A133" t="str">
            <v>EK</v>
          </cell>
          <cell r="B133" t="str">
            <v>UG</v>
          </cell>
          <cell r="C133" t="str">
            <v>H</v>
          </cell>
          <cell r="D133" t="str">
            <v>H</v>
          </cell>
          <cell r="E133">
            <v>4358</v>
          </cell>
          <cell r="F133">
            <v>2837</v>
          </cell>
          <cell r="G133">
            <v>3265</v>
          </cell>
          <cell r="H133">
            <v>2171</v>
          </cell>
          <cell r="I133">
            <v>3265</v>
          </cell>
          <cell r="J133">
            <v>75</v>
          </cell>
          <cell r="K133">
            <v>35</v>
          </cell>
          <cell r="L133">
            <v>3</v>
          </cell>
          <cell r="M133">
            <v>0.18</v>
          </cell>
          <cell r="N133">
            <v>2171</v>
          </cell>
          <cell r="O133">
            <v>0.37</v>
          </cell>
          <cell r="P133">
            <v>0.18</v>
          </cell>
          <cell r="Q133">
            <v>18.850000000000001</v>
          </cell>
          <cell r="R133">
            <v>1093</v>
          </cell>
          <cell r="S133">
            <v>74</v>
          </cell>
          <cell r="T133">
            <v>75</v>
          </cell>
          <cell r="U133">
            <v>35</v>
          </cell>
          <cell r="V133">
            <v>3</v>
          </cell>
          <cell r="W133">
            <v>0.18</v>
          </cell>
          <cell r="X133">
            <v>1.87</v>
          </cell>
          <cell r="Y133">
            <v>0.37</v>
          </cell>
          <cell r="Z133">
            <v>0.18</v>
          </cell>
          <cell r="AA133">
            <v>18.850000000000001</v>
          </cell>
          <cell r="AB133">
            <v>1093</v>
          </cell>
          <cell r="AC133">
            <v>105</v>
          </cell>
          <cell r="AD133">
            <v>13.5</v>
          </cell>
          <cell r="AE133">
            <v>138.38</v>
          </cell>
          <cell r="AF133">
            <v>27.75</v>
          </cell>
          <cell r="AG133">
            <v>666</v>
          </cell>
          <cell r="AH133">
            <v>1394.9</v>
          </cell>
          <cell r="AI133">
            <v>118.5</v>
          </cell>
          <cell r="AJ133">
            <v>20.7</v>
          </cell>
          <cell r="AK133">
            <v>55.099999999999994</v>
          </cell>
          <cell r="AL133">
            <v>10</v>
          </cell>
          <cell r="AM133">
            <v>10</v>
          </cell>
          <cell r="AN133">
            <v>39.5</v>
          </cell>
          <cell r="AO133">
            <v>3</v>
          </cell>
          <cell r="AP133">
            <v>2.0699999999999998</v>
          </cell>
          <cell r="AQ133">
            <v>5.51</v>
          </cell>
          <cell r="AR133">
            <v>0.37</v>
          </cell>
          <cell r="AS133">
            <v>0.18</v>
          </cell>
          <cell r="AT133">
            <v>13.49</v>
          </cell>
          <cell r="AU133">
            <v>105</v>
          </cell>
          <cell r="AV133">
            <v>13.5</v>
          </cell>
          <cell r="AW133">
            <v>138.38</v>
          </cell>
          <cell r="AX133">
            <v>27.75</v>
          </cell>
          <cell r="AY133">
            <v>6.3</v>
          </cell>
          <cell r="AZ133">
            <v>1394.9</v>
          </cell>
          <cell r="BA133">
            <v>118.5</v>
          </cell>
          <cell r="BB133">
            <v>20.7</v>
          </cell>
          <cell r="BC133">
            <v>55.099999999999994</v>
          </cell>
          <cell r="BD133">
            <v>3.7</v>
          </cell>
          <cell r="BE133">
            <v>7.1099999999999994</v>
          </cell>
          <cell r="BF133">
            <v>134.9</v>
          </cell>
          <cell r="BG133">
            <v>1.7862559125152681E-4</v>
          </cell>
          <cell r="BH133">
            <v>5.01</v>
          </cell>
        </row>
        <row r="134">
          <cell r="A134" t="str">
            <v>EA</v>
          </cell>
          <cell r="B134" t="str">
            <v>GG</v>
          </cell>
          <cell r="C134" t="str">
            <v>H</v>
          </cell>
          <cell r="D134" t="str">
            <v>H</v>
          </cell>
          <cell r="E134">
            <v>4125</v>
          </cell>
          <cell r="F134">
            <v>2476</v>
          </cell>
          <cell r="G134">
            <v>3540</v>
          </cell>
          <cell r="H134">
            <v>2175</v>
          </cell>
          <cell r="I134">
            <v>3540</v>
          </cell>
          <cell r="J134">
            <v>79</v>
          </cell>
          <cell r="K134">
            <v>82.5</v>
          </cell>
          <cell r="L134">
            <v>2.5099999999999998</v>
          </cell>
          <cell r="M134">
            <v>0.72</v>
          </cell>
          <cell r="N134">
            <v>2175</v>
          </cell>
          <cell r="O134">
            <v>1.1000000000000001</v>
          </cell>
          <cell r="P134">
            <v>0.17</v>
          </cell>
          <cell r="Q134">
            <v>25.8631203334322</v>
          </cell>
          <cell r="R134">
            <v>585</v>
          </cell>
          <cell r="S134">
            <v>76</v>
          </cell>
          <cell r="T134">
            <v>79</v>
          </cell>
          <cell r="U134">
            <v>82.5</v>
          </cell>
          <cell r="V134">
            <v>2.5099999999999998</v>
          </cell>
          <cell r="W134">
            <v>0.72</v>
          </cell>
          <cell r="X134">
            <v>3.91</v>
          </cell>
          <cell r="Y134">
            <v>1.1000000000000001</v>
          </cell>
          <cell r="Z134">
            <v>0.17</v>
          </cell>
          <cell r="AA134">
            <v>25.8631203334322</v>
          </cell>
          <cell r="AB134">
            <v>585</v>
          </cell>
          <cell r="AC134">
            <v>207.07499999999999</v>
          </cell>
          <cell r="AD134">
            <v>56.879999999999995</v>
          </cell>
          <cell r="AE134">
            <v>297.16000000000003</v>
          </cell>
          <cell r="AF134">
            <v>86.9</v>
          </cell>
          <cell r="AG134">
            <v>302</v>
          </cell>
          <cell r="AH134">
            <v>1965.5971453408472</v>
          </cell>
          <cell r="AI134">
            <v>39.532499999999999</v>
          </cell>
          <cell r="AJ134">
            <v>22.200000000000003</v>
          </cell>
          <cell r="AK134">
            <v>49.400000000000006</v>
          </cell>
          <cell r="AL134">
            <v>5</v>
          </cell>
          <cell r="AM134">
            <v>5</v>
          </cell>
          <cell r="AN134">
            <v>15.75</v>
          </cell>
          <cell r="AO134">
            <v>2.5099999999999998</v>
          </cell>
          <cell r="AP134">
            <v>4.4400000000000004</v>
          </cell>
          <cell r="AQ134">
            <v>9.8800000000000008</v>
          </cell>
          <cell r="AR134">
            <v>1.32</v>
          </cell>
          <cell r="AS134">
            <v>0.18</v>
          </cell>
          <cell r="AT134">
            <v>14.94</v>
          </cell>
          <cell r="AU134">
            <v>207.07499999999999</v>
          </cell>
          <cell r="AV134">
            <v>56.879999999999995</v>
          </cell>
          <cell r="AW134">
            <v>297.16000000000003</v>
          </cell>
          <cell r="AX134">
            <v>86.9</v>
          </cell>
          <cell r="AY134">
            <v>14.025</v>
          </cell>
          <cell r="AZ134">
            <v>1965.5971453408472</v>
          </cell>
          <cell r="BA134">
            <v>39.532499999999999</v>
          </cell>
          <cell r="BB134">
            <v>22.200000000000003</v>
          </cell>
          <cell r="BC134">
            <v>49.400000000000006</v>
          </cell>
          <cell r="BD134">
            <v>6.6000000000000005</v>
          </cell>
          <cell r="BE134">
            <v>2.835</v>
          </cell>
          <cell r="BF134">
            <v>74.7</v>
          </cell>
          <cell r="BG134">
            <v>1.6907539327961176E-4</v>
          </cell>
          <cell r="BH134">
            <v>4.1916999999999991</v>
          </cell>
        </row>
        <row r="135">
          <cell r="A135" t="str">
            <v>LA</v>
          </cell>
          <cell r="B135" t="str">
            <v>BS</v>
          </cell>
          <cell r="C135" t="str">
            <v>H</v>
          </cell>
          <cell r="D135" t="str">
            <v>H</v>
          </cell>
          <cell r="E135">
            <v>4108</v>
          </cell>
          <cell r="F135">
            <v>2401</v>
          </cell>
          <cell r="G135">
            <v>3287</v>
          </cell>
          <cell r="H135">
            <v>1953</v>
          </cell>
          <cell r="I135">
            <v>3287</v>
          </cell>
          <cell r="J135">
            <v>73</v>
          </cell>
          <cell r="K135">
            <v>27.25</v>
          </cell>
          <cell r="L135">
            <v>5.55</v>
          </cell>
          <cell r="M135">
            <v>1.1200000000000001</v>
          </cell>
          <cell r="N135">
            <v>1953</v>
          </cell>
          <cell r="O135">
            <v>0.52</v>
          </cell>
          <cell r="P135">
            <v>0.43</v>
          </cell>
          <cell r="Q135">
            <v>32.200000000000003</v>
          </cell>
          <cell r="R135">
            <v>821</v>
          </cell>
          <cell r="S135">
            <v>73</v>
          </cell>
          <cell r="T135">
            <v>73</v>
          </cell>
          <cell r="U135">
            <v>27.25</v>
          </cell>
          <cell r="V135">
            <v>5.55</v>
          </cell>
          <cell r="W135">
            <v>1.1200000000000001</v>
          </cell>
          <cell r="X135">
            <v>1.43</v>
          </cell>
          <cell r="Y135">
            <v>0.52</v>
          </cell>
          <cell r="Z135">
            <v>0.43</v>
          </cell>
          <cell r="AA135">
            <v>32.200000000000003</v>
          </cell>
          <cell r="AB135">
            <v>821</v>
          </cell>
          <cell r="AC135">
            <v>151.23749999999998</v>
          </cell>
          <cell r="AD135">
            <v>81.760000000000005</v>
          </cell>
          <cell r="AE135">
            <v>104.39</v>
          </cell>
          <cell r="AF135">
            <v>37.96</v>
          </cell>
          <cell r="AG135">
            <v>448</v>
          </cell>
          <cell r="AH135">
            <v>2350.6000000000004</v>
          </cell>
          <cell r="AI135">
            <v>81.715000000000003</v>
          </cell>
          <cell r="AJ135">
            <v>30.85</v>
          </cell>
          <cell r="AK135">
            <v>83.800000000000011</v>
          </cell>
          <cell r="AL135">
            <v>5</v>
          </cell>
          <cell r="AM135">
            <v>5</v>
          </cell>
          <cell r="AN135">
            <v>14.75</v>
          </cell>
          <cell r="AO135">
            <v>5.54</v>
          </cell>
          <cell r="AP135">
            <v>6.17</v>
          </cell>
          <cell r="AQ135">
            <v>16.760000000000002</v>
          </cell>
          <cell r="AR135">
            <v>1.17</v>
          </cell>
          <cell r="AS135">
            <v>0.31</v>
          </cell>
          <cell r="AT135">
            <v>34.85</v>
          </cell>
          <cell r="AU135">
            <v>151.23749999999998</v>
          </cell>
          <cell r="AV135">
            <v>81.760000000000005</v>
          </cell>
          <cell r="AW135">
            <v>104.39</v>
          </cell>
          <cell r="AX135">
            <v>37.96</v>
          </cell>
          <cell r="AY135">
            <v>11.717499999999999</v>
          </cell>
          <cell r="AZ135">
            <v>2350.6000000000004</v>
          </cell>
          <cell r="BA135">
            <v>81.715000000000003</v>
          </cell>
          <cell r="BB135">
            <v>30.85</v>
          </cell>
          <cell r="BC135">
            <v>83.800000000000011</v>
          </cell>
          <cell r="BD135">
            <v>5.85</v>
          </cell>
          <cell r="BE135">
            <v>4.5724999999999998</v>
          </cell>
          <cell r="BF135">
            <v>174.25</v>
          </cell>
          <cell r="BG135">
            <v>1.6837859771942911E-4</v>
          </cell>
          <cell r="BH135">
            <v>9.2517999999999994</v>
          </cell>
        </row>
        <row r="136">
          <cell r="A136" t="str">
            <v>EI</v>
          </cell>
          <cell r="B136" t="str">
            <v>TG</v>
          </cell>
          <cell r="C136" t="str">
            <v>H</v>
          </cell>
          <cell r="D136" t="str">
            <v>H</v>
          </cell>
          <cell r="E136">
            <v>4025</v>
          </cell>
          <cell r="F136">
            <v>1862</v>
          </cell>
          <cell r="G136">
            <v>1593</v>
          </cell>
          <cell r="H136">
            <v>912</v>
          </cell>
          <cell r="I136">
            <v>1593</v>
          </cell>
          <cell r="J136">
            <v>47</v>
          </cell>
          <cell r="K136">
            <v>16.25</v>
          </cell>
          <cell r="L136">
            <v>7.88</v>
          </cell>
          <cell r="M136">
            <v>0.6</v>
          </cell>
          <cell r="N136">
            <v>912</v>
          </cell>
          <cell r="O136">
            <v>0.19</v>
          </cell>
          <cell r="P136">
            <v>0.73</v>
          </cell>
          <cell r="Q136">
            <v>11.27</v>
          </cell>
          <cell r="R136">
            <v>2432</v>
          </cell>
          <cell r="S136">
            <v>47</v>
          </cell>
          <cell r="T136">
            <v>47</v>
          </cell>
          <cell r="U136">
            <v>16.25</v>
          </cell>
          <cell r="V136">
            <v>7.88</v>
          </cell>
          <cell r="W136">
            <v>0.6</v>
          </cell>
          <cell r="X136">
            <v>1.51</v>
          </cell>
          <cell r="Y136">
            <v>0.19</v>
          </cell>
          <cell r="Z136">
            <v>0.73</v>
          </cell>
          <cell r="AA136">
            <v>11.27</v>
          </cell>
          <cell r="AB136">
            <v>2432</v>
          </cell>
          <cell r="AC136">
            <v>128.05000000000001</v>
          </cell>
          <cell r="AD136">
            <v>28.2</v>
          </cell>
          <cell r="AE136">
            <v>70.97</v>
          </cell>
          <cell r="AF136">
            <v>8.93</v>
          </cell>
          <cell r="AG136">
            <v>950</v>
          </cell>
          <cell r="AH136">
            <v>529.68999999999994</v>
          </cell>
          <cell r="AI136">
            <v>836.33999999999992</v>
          </cell>
          <cell r="AJ136">
            <v>93.240000000000009</v>
          </cell>
          <cell r="AK136">
            <v>29.259999999999998</v>
          </cell>
          <cell r="AL136">
            <v>14</v>
          </cell>
          <cell r="AM136">
            <v>21</v>
          </cell>
          <cell r="AN136">
            <v>106</v>
          </cell>
          <cell r="AO136">
            <v>7.89</v>
          </cell>
          <cell r="AP136">
            <v>4.4400000000000004</v>
          </cell>
          <cell r="AQ136">
            <v>2.09</v>
          </cell>
          <cell r="AR136">
            <v>0.19</v>
          </cell>
          <cell r="AS136">
            <v>0.05</v>
          </cell>
          <cell r="AT136">
            <v>28.713622530194701</v>
          </cell>
          <cell r="AU136">
            <v>128.05000000000001</v>
          </cell>
          <cell r="AV136">
            <v>28.2</v>
          </cell>
          <cell r="AW136">
            <v>70.97</v>
          </cell>
          <cell r="AX136">
            <v>8.93</v>
          </cell>
          <cell r="AY136">
            <v>11.862499999999999</v>
          </cell>
          <cell r="AZ136">
            <v>529.68999999999994</v>
          </cell>
          <cell r="BA136">
            <v>836.33999999999992</v>
          </cell>
          <cell r="BB136">
            <v>93.240000000000009</v>
          </cell>
          <cell r="BC136">
            <v>29.259999999999998</v>
          </cell>
          <cell r="BD136">
            <v>3.99</v>
          </cell>
          <cell r="BE136">
            <v>5.3000000000000007</v>
          </cell>
          <cell r="BF136">
            <v>401.99071542272583</v>
          </cell>
          <cell r="BG136">
            <v>1.649765958667727E-4</v>
          </cell>
          <cell r="BH136">
            <v>13.176299999999999</v>
          </cell>
        </row>
        <row r="137">
          <cell r="A137" t="str">
            <v>EG</v>
          </cell>
          <cell r="B137" t="str">
            <v>LY</v>
          </cell>
          <cell r="C137" t="str">
            <v>H</v>
          </cell>
          <cell r="D137" t="str">
            <v>H</v>
          </cell>
          <cell r="E137">
            <v>3909</v>
          </cell>
          <cell r="F137">
            <v>2508</v>
          </cell>
          <cell r="G137">
            <v>2345</v>
          </cell>
          <cell r="H137">
            <v>1666</v>
          </cell>
          <cell r="I137">
            <v>2345</v>
          </cell>
          <cell r="J137">
            <v>45</v>
          </cell>
          <cell r="K137">
            <v>35.75</v>
          </cell>
          <cell r="L137">
            <v>4.32</v>
          </cell>
          <cell r="M137">
            <v>1.04</v>
          </cell>
          <cell r="N137">
            <v>1666</v>
          </cell>
          <cell r="O137">
            <v>0.62</v>
          </cell>
          <cell r="P137">
            <v>0.41</v>
          </cell>
          <cell r="Q137">
            <v>14.53</v>
          </cell>
          <cell r="R137">
            <v>1564</v>
          </cell>
          <cell r="S137">
            <v>45</v>
          </cell>
          <cell r="T137">
            <v>45</v>
          </cell>
          <cell r="U137">
            <v>35.75</v>
          </cell>
          <cell r="V137">
            <v>4.32</v>
          </cell>
          <cell r="W137">
            <v>1.04</v>
          </cell>
          <cell r="X137">
            <v>1.72</v>
          </cell>
          <cell r="Y137">
            <v>0.62</v>
          </cell>
          <cell r="Z137">
            <v>0.41</v>
          </cell>
          <cell r="AA137">
            <v>14.53</v>
          </cell>
          <cell r="AB137">
            <v>1564</v>
          </cell>
          <cell r="AC137">
            <v>154.44</v>
          </cell>
          <cell r="AD137">
            <v>46.800000000000004</v>
          </cell>
          <cell r="AE137">
            <v>77.400000000000006</v>
          </cell>
          <cell r="AF137">
            <v>27.9</v>
          </cell>
          <cell r="AG137">
            <v>842</v>
          </cell>
          <cell r="AH137">
            <v>653.85</v>
          </cell>
          <cell r="AI137">
            <v>305.64000000000004</v>
          </cell>
          <cell r="AJ137">
            <v>56.32</v>
          </cell>
          <cell r="AK137">
            <v>15.540000000000001</v>
          </cell>
          <cell r="AL137">
            <v>7</v>
          </cell>
          <cell r="AM137">
            <v>8</v>
          </cell>
          <cell r="AN137">
            <v>70.75</v>
          </cell>
          <cell r="AO137">
            <v>4.32</v>
          </cell>
          <cell r="AP137">
            <v>7.04</v>
          </cell>
          <cell r="AQ137">
            <v>2.2200000000000002</v>
          </cell>
          <cell r="AR137">
            <v>0.45</v>
          </cell>
          <cell r="AS137">
            <v>0.12</v>
          </cell>
          <cell r="AT137">
            <v>15.9597561626732</v>
          </cell>
          <cell r="AU137">
            <v>154.44</v>
          </cell>
          <cell r="AV137">
            <v>46.800000000000004</v>
          </cell>
          <cell r="AW137">
            <v>77.400000000000006</v>
          </cell>
          <cell r="AX137">
            <v>27.9</v>
          </cell>
          <cell r="AY137">
            <v>14.657499999999999</v>
          </cell>
          <cell r="AZ137">
            <v>653.85</v>
          </cell>
          <cell r="BA137">
            <v>305.64000000000004</v>
          </cell>
          <cell r="BB137">
            <v>56.32</v>
          </cell>
          <cell r="BC137">
            <v>15.540000000000001</v>
          </cell>
          <cell r="BD137">
            <v>3.6</v>
          </cell>
          <cell r="BE137">
            <v>8.49</v>
          </cell>
          <cell r="BF137">
            <v>111.7182931387124</v>
          </cell>
          <cell r="BG137">
            <v>1.6022199086787936E-4</v>
          </cell>
          <cell r="BH137">
            <v>7.2144000000000004</v>
          </cell>
        </row>
        <row r="138">
          <cell r="A138" t="str">
            <v>EI</v>
          </cell>
          <cell r="B138" t="str">
            <v>GN</v>
          </cell>
          <cell r="C138" t="str">
            <v>H</v>
          </cell>
          <cell r="D138" t="str">
            <v>H</v>
          </cell>
          <cell r="E138">
            <v>3813</v>
          </cell>
          <cell r="F138">
            <v>1566</v>
          </cell>
          <cell r="G138">
            <v>1366</v>
          </cell>
          <cell r="H138">
            <v>776</v>
          </cell>
          <cell r="I138">
            <v>1366</v>
          </cell>
          <cell r="J138">
            <v>34</v>
          </cell>
          <cell r="K138">
            <v>9</v>
          </cell>
          <cell r="L138">
            <v>7.88</v>
          </cell>
          <cell r="M138">
            <v>0.52</v>
          </cell>
          <cell r="N138">
            <v>776</v>
          </cell>
          <cell r="O138">
            <v>0.66</v>
          </cell>
          <cell r="P138">
            <v>0.28000000000000003</v>
          </cell>
          <cell r="Q138">
            <v>27.36</v>
          </cell>
          <cell r="R138">
            <v>2447</v>
          </cell>
          <cell r="S138">
            <v>34</v>
          </cell>
          <cell r="T138">
            <v>34</v>
          </cell>
          <cell r="U138">
            <v>9</v>
          </cell>
          <cell r="V138">
            <v>7.88</v>
          </cell>
          <cell r="W138">
            <v>0.52</v>
          </cell>
          <cell r="X138">
            <v>2.25</v>
          </cell>
          <cell r="Y138">
            <v>0.66</v>
          </cell>
          <cell r="Z138">
            <v>0.28000000000000003</v>
          </cell>
          <cell r="AA138">
            <v>27.36</v>
          </cell>
          <cell r="AB138">
            <v>2447</v>
          </cell>
          <cell r="AC138">
            <v>70.92</v>
          </cell>
          <cell r="AD138">
            <v>17.68</v>
          </cell>
          <cell r="AE138">
            <v>76.5</v>
          </cell>
          <cell r="AF138">
            <v>22.44</v>
          </cell>
          <cell r="AG138">
            <v>789</v>
          </cell>
          <cell r="AH138">
            <v>930.24</v>
          </cell>
          <cell r="AI138">
            <v>996.11249999999995</v>
          </cell>
          <cell r="AJ138">
            <v>75.599999999999994</v>
          </cell>
          <cell r="AK138">
            <v>18.989999999999998</v>
          </cell>
          <cell r="AL138">
            <v>9</v>
          </cell>
          <cell r="AM138">
            <v>10</v>
          </cell>
          <cell r="AN138">
            <v>126.25</v>
          </cell>
          <cell r="AO138">
            <v>7.89</v>
          </cell>
          <cell r="AP138">
            <v>7.56</v>
          </cell>
          <cell r="AQ138">
            <v>2.11</v>
          </cell>
          <cell r="AR138">
            <v>0.31</v>
          </cell>
          <cell r="AS138">
            <v>0.04</v>
          </cell>
          <cell r="AT138">
            <v>28.51</v>
          </cell>
          <cell r="AU138">
            <v>70.92</v>
          </cell>
          <cell r="AV138">
            <v>17.68</v>
          </cell>
          <cell r="AW138">
            <v>76.5</v>
          </cell>
          <cell r="AX138">
            <v>22.44</v>
          </cell>
          <cell r="AY138">
            <v>2.5200000000000005</v>
          </cell>
          <cell r="AZ138">
            <v>930.24</v>
          </cell>
          <cell r="BA138">
            <v>996.11249999999995</v>
          </cell>
          <cell r="BB138">
            <v>75.599999999999994</v>
          </cell>
          <cell r="BC138">
            <v>18.989999999999998</v>
          </cell>
          <cell r="BD138">
            <v>3.1</v>
          </cell>
          <cell r="BE138">
            <v>5.05</v>
          </cell>
          <cell r="BF138">
            <v>256.59000000000003</v>
          </cell>
          <cell r="BG138">
            <v>1.5628714535155386E-4</v>
          </cell>
          <cell r="BH138">
            <v>13.176299999999999</v>
          </cell>
        </row>
        <row r="139">
          <cell r="A139" t="str">
            <v>LA</v>
          </cell>
          <cell r="B139" t="str">
            <v>VG</v>
          </cell>
          <cell r="C139" t="str">
            <v>H</v>
          </cell>
          <cell r="D139" t="str">
            <v>H</v>
          </cell>
          <cell r="E139">
            <v>3635</v>
          </cell>
          <cell r="F139">
            <v>1647</v>
          </cell>
          <cell r="G139">
            <v>3557</v>
          </cell>
          <cell r="H139">
            <v>1632</v>
          </cell>
          <cell r="I139">
            <v>3557</v>
          </cell>
          <cell r="J139">
            <v>77</v>
          </cell>
          <cell r="K139">
            <v>40.75</v>
          </cell>
          <cell r="L139">
            <v>10.19</v>
          </cell>
          <cell r="M139">
            <v>1.18</v>
          </cell>
          <cell r="N139">
            <v>1632</v>
          </cell>
          <cell r="O139">
            <v>0.81</v>
          </cell>
          <cell r="P139">
            <v>0.59</v>
          </cell>
          <cell r="Q139">
            <v>26.98</v>
          </cell>
          <cell r="R139">
            <v>78</v>
          </cell>
          <cell r="S139">
            <v>77</v>
          </cell>
          <cell r="T139">
            <v>77</v>
          </cell>
          <cell r="U139">
            <v>40.75</v>
          </cell>
          <cell r="V139">
            <v>10.19</v>
          </cell>
          <cell r="W139">
            <v>1.18</v>
          </cell>
          <cell r="X139">
            <v>2.89</v>
          </cell>
          <cell r="Y139">
            <v>0.81</v>
          </cell>
          <cell r="Z139">
            <v>0.59</v>
          </cell>
          <cell r="AA139">
            <v>26.98</v>
          </cell>
          <cell r="AB139">
            <v>78</v>
          </cell>
          <cell r="AC139">
            <v>415.24250000000001</v>
          </cell>
          <cell r="AD139">
            <v>90.86</v>
          </cell>
          <cell r="AE139">
            <v>222.53</v>
          </cell>
          <cell r="AF139">
            <v>62.370000000000005</v>
          </cell>
          <cell r="AG139">
            <v>15</v>
          </cell>
          <cell r="AH139">
            <v>2077.46</v>
          </cell>
          <cell r="AI139">
            <v>2.5499999999999998</v>
          </cell>
          <cell r="AJ139">
            <v>6.17</v>
          </cell>
          <cell r="AK139">
            <v>24.19</v>
          </cell>
          <cell r="AL139">
            <v>1</v>
          </cell>
          <cell r="AM139">
            <v>1</v>
          </cell>
          <cell r="AN139">
            <v>0.25</v>
          </cell>
          <cell r="AO139">
            <v>10.199999999999999</v>
          </cell>
          <cell r="AP139">
            <v>6.17</v>
          </cell>
          <cell r="AQ139">
            <v>24.19</v>
          </cell>
          <cell r="AR139">
            <v>0.7</v>
          </cell>
          <cell r="AS139">
            <v>0.51</v>
          </cell>
          <cell r="AT139">
            <v>13.05</v>
          </cell>
          <cell r="AU139">
            <v>415.24250000000001</v>
          </cell>
          <cell r="AV139">
            <v>90.86</v>
          </cell>
          <cell r="AW139">
            <v>222.53</v>
          </cell>
          <cell r="AX139">
            <v>62.370000000000005</v>
          </cell>
          <cell r="AY139">
            <v>24.0425</v>
          </cell>
          <cell r="AZ139">
            <v>2077.46</v>
          </cell>
          <cell r="BA139">
            <v>2.5499999999999998</v>
          </cell>
          <cell r="BB139">
            <v>6.17</v>
          </cell>
          <cell r="BC139">
            <v>24.19</v>
          </cell>
          <cell r="BD139">
            <v>0.7</v>
          </cell>
          <cell r="BE139">
            <v>0.1275</v>
          </cell>
          <cell r="BF139">
            <v>13.05</v>
          </cell>
          <cell r="BG139">
            <v>1.4899128595670031E-4</v>
          </cell>
          <cell r="BH139">
            <v>17.033999999999999</v>
          </cell>
        </row>
        <row r="140">
          <cell r="A140" t="str">
            <v>EG</v>
          </cell>
          <cell r="B140" t="str">
            <v>DZ</v>
          </cell>
          <cell r="C140" t="str">
            <v>H</v>
          </cell>
          <cell r="D140" t="str">
            <v>H</v>
          </cell>
          <cell r="E140">
            <v>3624</v>
          </cell>
          <cell r="F140">
            <v>2259</v>
          </cell>
          <cell r="G140">
            <v>2582</v>
          </cell>
          <cell r="H140">
            <v>1603</v>
          </cell>
          <cell r="I140">
            <v>2582</v>
          </cell>
          <cell r="J140">
            <v>53</v>
          </cell>
          <cell r="K140">
            <v>27.25</v>
          </cell>
          <cell r="L140">
            <v>4.55</v>
          </cell>
          <cell r="M140">
            <v>0.67</v>
          </cell>
          <cell r="N140">
            <v>1603</v>
          </cell>
          <cell r="O140">
            <v>0.56999999999999995</v>
          </cell>
          <cell r="P140">
            <v>0.43</v>
          </cell>
          <cell r="Q140">
            <v>14.53</v>
          </cell>
          <cell r="R140">
            <v>1042</v>
          </cell>
          <cell r="S140">
            <v>53</v>
          </cell>
          <cell r="T140">
            <v>53</v>
          </cell>
          <cell r="U140">
            <v>27.25</v>
          </cell>
          <cell r="V140">
            <v>4.55</v>
          </cell>
          <cell r="W140">
            <v>0.67</v>
          </cell>
          <cell r="X140">
            <v>1.58</v>
          </cell>
          <cell r="Y140">
            <v>0.56999999999999995</v>
          </cell>
          <cell r="Z140">
            <v>0.43</v>
          </cell>
          <cell r="AA140">
            <v>14.53</v>
          </cell>
          <cell r="AB140">
            <v>1042</v>
          </cell>
          <cell r="AC140">
            <v>123.9875</v>
          </cell>
          <cell r="AD140">
            <v>35.510000000000005</v>
          </cell>
          <cell r="AE140">
            <v>83.740000000000009</v>
          </cell>
          <cell r="AF140">
            <v>30.209999999999997</v>
          </cell>
          <cell r="AG140">
            <v>656</v>
          </cell>
          <cell r="AH140">
            <v>770.08999999999992</v>
          </cell>
          <cell r="AI140">
            <v>81.72</v>
          </cell>
          <cell r="AJ140">
            <v>39.96</v>
          </cell>
          <cell r="AK140">
            <v>29.6</v>
          </cell>
          <cell r="AL140">
            <v>8</v>
          </cell>
          <cell r="AM140">
            <v>9</v>
          </cell>
          <cell r="AN140">
            <v>18</v>
          </cell>
          <cell r="AO140">
            <v>4.54</v>
          </cell>
          <cell r="AP140">
            <v>4.4400000000000004</v>
          </cell>
          <cell r="AQ140">
            <v>3.7</v>
          </cell>
          <cell r="AR140">
            <v>0.78</v>
          </cell>
          <cell r="AS140">
            <v>0.21</v>
          </cell>
          <cell r="AT140">
            <v>28.713622530194701</v>
          </cell>
          <cell r="AU140">
            <v>123.9875</v>
          </cell>
          <cell r="AV140">
            <v>35.510000000000005</v>
          </cell>
          <cell r="AW140">
            <v>83.740000000000009</v>
          </cell>
          <cell r="AX140">
            <v>30.209999999999997</v>
          </cell>
          <cell r="AY140">
            <v>11.717499999999999</v>
          </cell>
          <cell r="AZ140">
            <v>770.08999999999992</v>
          </cell>
          <cell r="BA140">
            <v>81.72</v>
          </cell>
          <cell r="BB140">
            <v>39.96</v>
          </cell>
          <cell r="BC140">
            <v>29.6</v>
          </cell>
          <cell r="BD140">
            <v>7.0200000000000005</v>
          </cell>
          <cell r="BE140">
            <v>3.78</v>
          </cell>
          <cell r="BF140">
            <v>229.70898024155761</v>
          </cell>
          <cell r="BG140">
            <v>1.48540418241288E-4</v>
          </cell>
          <cell r="BH140">
            <v>7.5817999999999994</v>
          </cell>
        </row>
        <row r="141">
          <cell r="A141" t="str">
            <v>EH</v>
          </cell>
          <cell r="B141" t="str">
            <v>EE</v>
          </cell>
          <cell r="C141" t="str">
            <v>H</v>
          </cell>
          <cell r="D141" t="str">
            <v>H</v>
          </cell>
          <cell r="E141">
            <v>3587</v>
          </cell>
          <cell r="F141">
            <v>1985</v>
          </cell>
          <cell r="G141">
            <v>1037</v>
          </cell>
          <cell r="H141">
            <v>652</v>
          </cell>
          <cell r="I141">
            <v>1037</v>
          </cell>
          <cell r="J141">
            <v>29</v>
          </cell>
          <cell r="K141">
            <v>9.75</v>
          </cell>
          <cell r="L141">
            <v>6.24</v>
          </cell>
          <cell r="M141">
            <v>0.52</v>
          </cell>
          <cell r="N141">
            <v>652</v>
          </cell>
          <cell r="O141">
            <v>0.57999999999999996</v>
          </cell>
          <cell r="P141">
            <v>0.14000000000000001</v>
          </cell>
          <cell r="Q141">
            <v>23.98</v>
          </cell>
          <cell r="R141">
            <v>2551</v>
          </cell>
          <cell r="S141">
            <v>29</v>
          </cell>
          <cell r="T141">
            <v>29</v>
          </cell>
          <cell r="U141">
            <v>9.75</v>
          </cell>
          <cell r="V141">
            <v>6.24</v>
          </cell>
          <cell r="W141">
            <v>0.52</v>
          </cell>
          <cell r="X141">
            <v>1.63</v>
          </cell>
          <cell r="Y141">
            <v>0.57999999999999996</v>
          </cell>
          <cell r="Z141">
            <v>0.14000000000000001</v>
          </cell>
          <cell r="AA141">
            <v>23.98</v>
          </cell>
          <cell r="AB141">
            <v>2551</v>
          </cell>
          <cell r="AC141">
            <v>60.84</v>
          </cell>
          <cell r="AD141">
            <v>15.08</v>
          </cell>
          <cell r="AE141">
            <v>47.269999999999996</v>
          </cell>
          <cell r="AF141">
            <v>16.82</v>
          </cell>
          <cell r="AG141">
            <v>1333</v>
          </cell>
          <cell r="AH141">
            <v>695.42</v>
          </cell>
          <cell r="AI141">
            <v>613.65500000000009</v>
          </cell>
          <cell r="AJ141">
            <v>102.12</v>
          </cell>
          <cell r="AK141">
            <v>43.84</v>
          </cell>
          <cell r="AL141">
            <v>8</v>
          </cell>
          <cell r="AM141">
            <v>23</v>
          </cell>
          <cell r="AN141">
            <v>98.5</v>
          </cell>
          <cell r="AO141">
            <v>6.23</v>
          </cell>
          <cell r="AP141">
            <v>4.4400000000000004</v>
          </cell>
          <cell r="AQ141">
            <v>5.48</v>
          </cell>
          <cell r="AR141">
            <v>1.29</v>
          </cell>
          <cell r="AS141">
            <v>0.13</v>
          </cell>
          <cell r="AT141">
            <v>11.11</v>
          </cell>
          <cell r="AU141">
            <v>60.84</v>
          </cell>
          <cell r="AV141">
            <v>15.08</v>
          </cell>
          <cell r="AW141">
            <v>47.269999999999996</v>
          </cell>
          <cell r="AX141">
            <v>16.82</v>
          </cell>
          <cell r="AY141">
            <v>1.3650000000000002</v>
          </cell>
          <cell r="AZ141">
            <v>695.42</v>
          </cell>
          <cell r="BA141">
            <v>613.65500000000009</v>
          </cell>
          <cell r="BB141">
            <v>102.12</v>
          </cell>
          <cell r="BC141">
            <v>43.84</v>
          </cell>
          <cell r="BD141">
            <v>29.67</v>
          </cell>
          <cell r="BE141">
            <v>12.805</v>
          </cell>
          <cell r="BF141">
            <v>88.88</v>
          </cell>
          <cell r="BG141">
            <v>1.4702386319853756E-4</v>
          </cell>
          <cell r="BH141">
            <v>10.4041</v>
          </cell>
        </row>
        <row r="142">
          <cell r="A142" t="str">
            <v>LA</v>
          </cell>
          <cell r="B142" t="str">
            <v>GP</v>
          </cell>
          <cell r="C142" t="str">
            <v>H</v>
          </cell>
          <cell r="D142" t="str">
            <v>H</v>
          </cell>
          <cell r="E142">
            <v>3514</v>
          </cell>
          <cell r="F142">
            <v>1839</v>
          </cell>
          <cell r="G142">
            <v>449</v>
          </cell>
          <cell r="H142">
            <v>253</v>
          </cell>
          <cell r="I142">
            <v>449</v>
          </cell>
          <cell r="J142">
            <v>9</v>
          </cell>
          <cell r="K142">
            <v>6</v>
          </cell>
          <cell r="L142">
            <v>5.85</v>
          </cell>
          <cell r="M142">
            <v>0.52</v>
          </cell>
          <cell r="N142">
            <v>253</v>
          </cell>
          <cell r="O142">
            <v>0.66</v>
          </cell>
          <cell r="P142">
            <v>0.35</v>
          </cell>
          <cell r="Q142">
            <v>15.23</v>
          </cell>
          <cell r="R142">
            <v>3065</v>
          </cell>
          <cell r="S142">
            <v>8</v>
          </cell>
          <cell r="T142">
            <v>9</v>
          </cell>
          <cell r="U142">
            <v>6</v>
          </cell>
          <cell r="V142">
            <v>5.85</v>
          </cell>
          <cell r="W142">
            <v>0.52</v>
          </cell>
          <cell r="X142">
            <v>1.87</v>
          </cell>
          <cell r="Y142">
            <v>0.66</v>
          </cell>
          <cell r="Z142">
            <v>0.35</v>
          </cell>
          <cell r="AA142">
            <v>15.23</v>
          </cell>
          <cell r="AB142">
            <v>3065</v>
          </cell>
          <cell r="AC142">
            <v>35.099999999999994</v>
          </cell>
          <cell r="AD142">
            <v>4.68</v>
          </cell>
          <cell r="AE142">
            <v>14.96</v>
          </cell>
          <cell r="AF142">
            <v>5.94</v>
          </cell>
          <cell r="AG142">
            <v>1586</v>
          </cell>
          <cell r="AH142">
            <v>121.84</v>
          </cell>
          <cell r="AI142">
            <v>659.58749999999998</v>
          </cell>
          <cell r="AJ142">
            <v>65.199999999999989</v>
          </cell>
          <cell r="AK142">
            <v>107.73</v>
          </cell>
          <cell r="AL142">
            <v>9</v>
          </cell>
          <cell r="AM142">
            <v>10</v>
          </cell>
          <cell r="AN142">
            <v>112.75</v>
          </cell>
          <cell r="AO142">
            <v>5.85</v>
          </cell>
          <cell r="AP142">
            <v>6.52</v>
          </cell>
          <cell r="AQ142">
            <v>11.97</v>
          </cell>
          <cell r="AR142">
            <v>0.78</v>
          </cell>
          <cell r="AS142">
            <v>0.56000000000000005</v>
          </cell>
          <cell r="AT142">
            <v>24.9207805503708</v>
          </cell>
          <cell r="AU142">
            <v>35.099999999999994</v>
          </cell>
          <cell r="AV142">
            <v>4.68</v>
          </cell>
          <cell r="AW142">
            <v>14.96</v>
          </cell>
          <cell r="AX142">
            <v>5.94</v>
          </cell>
          <cell r="AY142">
            <v>2.0999999999999996</v>
          </cell>
          <cell r="AZ142">
            <v>121.84</v>
          </cell>
          <cell r="BA142">
            <v>659.58749999999998</v>
          </cell>
          <cell r="BB142">
            <v>65.199999999999989</v>
          </cell>
          <cell r="BC142">
            <v>107.73</v>
          </cell>
          <cell r="BD142">
            <v>7.8000000000000007</v>
          </cell>
          <cell r="BE142">
            <v>63.140000000000008</v>
          </cell>
          <cell r="BF142">
            <v>224.28702495333721</v>
          </cell>
          <cell r="BG142">
            <v>1.4403174108716503E-4</v>
          </cell>
          <cell r="BH142">
            <v>9.769499999999999</v>
          </cell>
        </row>
        <row r="143">
          <cell r="A143" t="str">
            <v>US</v>
          </cell>
          <cell r="B143" t="str">
            <v>PR</v>
          </cell>
          <cell r="C143" t="str">
            <v>H</v>
          </cell>
          <cell r="D143" t="str">
            <v>H</v>
          </cell>
          <cell r="E143">
            <v>3476</v>
          </cell>
          <cell r="F143">
            <v>1366</v>
          </cell>
          <cell r="G143">
            <v>1492</v>
          </cell>
          <cell r="H143">
            <v>694</v>
          </cell>
          <cell r="I143">
            <v>1492</v>
          </cell>
          <cell r="J143">
            <v>46</v>
          </cell>
          <cell r="K143">
            <v>28</v>
          </cell>
          <cell r="L143">
            <v>4.05</v>
          </cell>
          <cell r="M143">
            <v>0.7</v>
          </cell>
          <cell r="N143">
            <v>694</v>
          </cell>
          <cell r="O143">
            <v>1.05</v>
          </cell>
          <cell r="P143">
            <v>0.15</v>
          </cell>
          <cell r="Q143">
            <v>10.28</v>
          </cell>
          <cell r="R143">
            <v>1983</v>
          </cell>
          <cell r="S143">
            <v>46</v>
          </cell>
          <cell r="T143">
            <v>46</v>
          </cell>
          <cell r="U143">
            <v>28</v>
          </cell>
          <cell r="V143">
            <v>4.05</v>
          </cell>
          <cell r="W143">
            <v>0.7</v>
          </cell>
          <cell r="X143">
            <v>4.1100000000000003</v>
          </cell>
          <cell r="Y143">
            <v>1.05</v>
          </cell>
          <cell r="Z143">
            <v>0.15</v>
          </cell>
          <cell r="AA143">
            <v>10.28</v>
          </cell>
          <cell r="AB143">
            <v>1983</v>
          </cell>
          <cell r="AC143">
            <v>113.39999999999999</v>
          </cell>
          <cell r="AD143">
            <v>32.199999999999996</v>
          </cell>
          <cell r="AE143">
            <v>189.06</v>
          </cell>
          <cell r="AF143">
            <v>48.300000000000004</v>
          </cell>
          <cell r="AG143">
            <v>673</v>
          </cell>
          <cell r="AH143">
            <v>472.88</v>
          </cell>
          <cell r="AI143">
            <v>182.25</v>
          </cell>
          <cell r="AJ143">
            <v>81.12</v>
          </cell>
          <cell r="AK143">
            <v>460</v>
          </cell>
          <cell r="AL143">
            <v>20</v>
          </cell>
          <cell r="AM143">
            <v>24</v>
          </cell>
          <cell r="AN143">
            <v>45</v>
          </cell>
          <cell r="AO143">
            <v>4.05</v>
          </cell>
          <cell r="AP143">
            <v>3.38</v>
          </cell>
          <cell r="AQ143">
            <v>23</v>
          </cell>
          <cell r="AR143">
            <v>2.4900000000000002</v>
          </cell>
          <cell r="AS143">
            <v>0.15</v>
          </cell>
          <cell r="AT143">
            <v>26.74</v>
          </cell>
          <cell r="AU143">
            <v>113.39999999999999</v>
          </cell>
          <cell r="AV143">
            <v>32.199999999999996</v>
          </cell>
          <cell r="AW143">
            <v>189.06</v>
          </cell>
          <cell r="AX143">
            <v>48.300000000000004</v>
          </cell>
          <cell r="AY143">
            <v>4.2</v>
          </cell>
          <cell r="AZ143">
            <v>472.88</v>
          </cell>
          <cell r="BA143">
            <v>182.25</v>
          </cell>
          <cell r="BB143">
            <v>81.12</v>
          </cell>
          <cell r="BC143">
            <v>460</v>
          </cell>
          <cell r="BD143">
            <v>59.760000000000005</v>
          </cell>
          <cell r="BE143">
            <v>6.75</v>
          </cell>
          <cell r="BF143">
            <v>534.79999999999995</v>
          </cell>
          <cell r="BG143">
            <v>1.4247419807028618E-4</v>
          </cell>
          <cell r="BH143">
            <v>6.7634999999999996</v>
          </cell>
        </row>
        <row r="144">
          <cell r="A144" t="str">
            <v>LA</v>
          </cell>
          <cell r="B144" t="str">
            <v>GT</v>
          </cell>
          <cell r="C144" t="str">
            <v>H</v>
          </cell>
          <cell r="D144" t="str">
            <v>H</v>
          </cell>
          <cell r="E144">
            <v>3193</v>
          </cell>
          <cell r="F144">
            <v>1738</v>
          </cell>
          <cell r="G144">
            <v>2354</v>
          </cell>
          <cell r="H144">
            <v>1407</v>
          </cell>
          <cell r="I144">
            <v>2354</v>
          </cell>
          <cell r="J144">
            <v>81</v>
          </cell>
          <cell r="K144">
            <v>23.75</v>
          </cell>
          <cell r="L144">
            <v>7.32</v>
          </cell>
          <cell r="M144">
            <v>0.77</v>
          </cell>
          <cell r="N144">
            <v>1407</v>
          </cell>
          <cell r="O144">
            <v>0.12</v>
          </cell>
          <cell r="P144">
            <v>0.08</v>
          </cell>
          <cell r="Q144">
            <v>33.1</v>
          </cell>
          <cell r="R144">
            <v>839</v>
          </cell>
          <cell r="S144">
            <v>81</v>
          </cell>
          <cell r="T144">
            <v>81</v>
          </cell>
          <cell r="U144">
            <v>23.75</v>
          </cell>
          <cell r="V144">
            <v>7.32</v>
          </cell>
          <cell r="W144">
            <v>0.77</v>
          </cell>
          <cell r="X144">
            <v>1.73</v>
          </cell>
          <cell r="Y144">
            <v>0.12</v>
          </cell>
          <cell r="Z144">
            <v>0.08</v>
          </cell>
          <cell r="AA144">
            <v>33.1</v>
          </cell>
          <cell r="AB144">
            <v>839</v>
          </cell>
          <cell r="AC144">
            <v>173.85</v>
          </cell>
          <cell r="AD144">
            <v>62.370000000000005</v>
          </cell>
          <cell r="AE144">
            <v>140.13</v>
          </cell>
          <cell r="AF144">
            <v>9.7199999999999989</v>
          </cell>
          <cell r="AG144">
            <v>331</v>
          </cell>
          <cell r="AH144">
            <v>2681.1</v>
          </cell>
          <cell r="AI144">
            <v>120.45</v>
          </cell>
          <cell r="AJ144">
            <v>88.62</v>
          </cell>
          <cell r="AK144">
            <v>39.620000000000005</v>
          </cell>
          <cell r="AL144">
            <v>14</v>
          </cell>
          <cell r="AM144">
            <v>14</v>
          </cell>
          <cell r="AN144">
            <v>16.5</v>
          </cell>
          <cell r="AO144">
            <v>7.3</v>
          </cell>
          <cell r="AP144">
            <v>6.33</v>
          </cell>
          <cell r="AQ144">
            <v>2.83</v>
          </cell>
          <cell r="AR144">
            <v>0.48</v>
          </cell>
          <cell r="AS144">
            <v>0.1</v>
          </cell>
          <cell r="AT144">
            <v>19.91</v>
          </cell>
          <cell r="AU144">
            <v>173.85</v>
          </cell>
          <cell r="AV144">
            <v>62.370000000000005</v>
          </cell>
          <cell r="AW144">
            <v>140.13</v>
          </cell>
          <cell r="AX144">
            <v>9.7199999999999989</v>
          </cell>
          <cell r="AY144">
            <v>1.9000000000000001</v>
          </cell>
          <cell r="AZ144">
            <v>2681.1</v>
          </cell>
          <cell r="BA144">
            <v>120.45</v>
          </cell>
          <cell r="BB144">
            <v>88.62</v>
          </cell>
          <cell r="BC144">
            <v>39.620000000000005</v>
          </cell>
          <cell r="BD144">
            <v>6.72</v>
          </cell>
          <cell r="BE144">
            <v>1.6500000000000001</v>
          </cell>
          <cell r="BF144">
            <v>278.74</v>
          </cell>
          <cell r="BG144">
            <v>1.308746013919516E-4</v>
          </cell>
          <cell r="BH144">
            <v>12.190999999999999</v>
          </cell>
        </row>
        <row r="145">
          <cell r="A145" t="str">
            <v>EI</v>
          </cell>
          <cell r="B145" t="str">
            <v>SL</v>
          </cell>
          <cell r="C145" t="str">
            <v>H</v>
          </cell>
          <cell r="D145" t="str">
            <v>H</v>
          </cell>
          <cell r="E145">
            <v>3033</v>
          </cell>
          <cell r="F145">
            <v>1551</v>
          </cell>
          <cell r="G145">
            <v>242</v>
          </cell>
          <cell r="H145">
            <v>136</v>
          </cell>
          <cell r="I145">
            <v>242</v>
          </cell>
          <cell r="J145">
            <v>5</v>
          </cell>
          <cell r="K145">
            <v>2.75</v>
          </cell>
          <cell r="L145">
            <v>7.87</v>
          </cell>
          <cell r="M145">
            <v>0.52</v>
          </cell>
          <cell r="N145">
            <v>136</v>
          </cell>
          <cell r="O145">
            <v>15.9597561626732</v>
          </cell>
          <cell r="P145">
            <v>2791</v>
          </cell>
          <cell r="Q145">
            <v>1414</v>
          </cell>
          <cell r="R145">
            <v>8</v>
          </cell>
          <cell r="S145">
            <v>5</v>
          </cell>
          <cell r="T145">
            <v>5</v>
          </cell>
          <cell r="U145">
            <v>2.75</v>
          </cell>
          <cell r="V145">
            <v>7.87</v>
          </cell>
          <cell r="W145">
            <v>0.52</v>
          </cell>
          <cell r="X145">
            <v>4.2300000000000004</v>
          </cell>
          <cell r="Y145">
            <v>21.642500000000002</v>
          </cell>
          <cell r="Z145">
            <v>2.6</v>
          </cell>
          <cell r="AA145">
            <v>15.9597561626732</v>
          </cell>
          <cell r="AB145">
            <v>2791</v>
          </cell>
          <cell r="AC145">
            <v>0</v>
          </cell>
          <cell r="AD145">
            <v>79.798780813365994</v>
          </cell>
          <cell r="AE145">
            <v>2444.46</v>
          </cell>
          <cell r="AF145">
            <v>88.800000000000011</v>
          </cell>
          <cell r="AG145">
            <v>1414</v>
          </cell>
          <cell r="AH145">
            <v>0</v>
          </cell>
          <cell r="AI145">
            <v>0</v>
          </cell>
          <cell r="AJ145">
            <v>115.76</v>
          </cell>
          <cell r="AK145">
            <v>1.2431652553140907E-4</v>
          </cell>
          <cell r="AL145">
            <v>8</v>
          </cell>
          <cell r="AM145">
            <v>20</v>
          </cell>
          <cell r="AN145">
            <v>311</v>
          </cell>
          <cell r="AO145">
            <v>7.86</v>
          </cell>
          <cell r="AP145">
            <v>4.4400000000000004</v>
          </cell>
          <cell r="AQ145">
            <v>13.84</v>
          </cell>
          <cell r="AR145">
            <v>0</v>
          </cell>
          <cell r="AS145">
            <v>0</v>
          </cell>
          <cell r="AT145">
            <v>14.47</v>
          </cell>
          <cell r="AU145">
            <v>21.642500000000002</v>
          </cell>
          <cell r="AV145">
            <v>2.6</v>
          </cell>
          <cell r="AW145">
            <v>21.150000000000002</v>
          </cell>
          <cell r="AX145">
            <v>0</v>
          </cell>
          <cell r="AY145">
            <v>0</v>
          </cell>
          <cell r="AZ145">
            <v>79.798780813365994</v>
          </cell>
          <cell r="BA145">
            <v>2444.46</v>
          </cell>
          <cell r="BB145">
            <v>88.800000000000011</v>
          </cell>
          <cell r="BC145">
            <v>110.72</v>
          </cell>
          <cell r="BD145">
            <v>0</v>
          </cell>
          <cell r="BE145">
            <v>0</v>
          </cell>
          <cell r="BF145">
            <v>115.76</v>
          </cell>
          <cell r="BG145">
            <v>1.2431652553140907E-4</v>
          </cell>
          <cell r="BH145">
            <v>13.126200000000001</v>
          </cell>
        </row>
        <row r="146">
          <cell r="A146" t="str">
            <v>EI</v>
          </cell>
          <cell r="B146" t="str">
            <v>SN</v>
          </cell>
          <cell r="C146" t="str">
            <v>H</v>
          </cell>
          <cell r="D146" t="str">
            <v>H</v>
          </cell>
          <cell r="E146">
            <v>2960</v>
          </cell>
          <cell r="F146">
            <v>1710</v>
          </cell>
          <cell r="G146">
            <v>1388</v>
          </cell>
          <cell r="H146">
            <v>780</v>
          </cell>
          <cell r="I146">
            <v>1388</v>
          </cell>
          <cell r="J146">
            <v>32</v>
          </cell>
          <cell r="K146">
            <v>12</v>
          </cell>
          <cell r="L146">
            <v>5.24</v>
          </cell>
          <cell r="M146">
            <v>0.52</v>
          </cell>
          <cell r="N146">
            <v>780</v>
          </cell>
          <cell r="O146">
            <v>0.69</v>
          </cell>
          <cell r="P146">
            <v>0.23</v>
          </cell>
          <cell r="Q146">
            <v>28.51</v>
          </cell>
          <cell r="R146">
            <v>1572</v>
          </cell>
          <cell r="S146">
            <v>32</v>
          </cell>
          <cell r="T146">
            <v>32</v>
          </cell>
          <cell r="U146">
            <v>12</v>
          </cell>
          <cell r="V146">
            <v>5.24</v>
          </cell>
          <cell r="W146">
            <v>0.52</v>
          </cell>
          <cell r="X146">
            <v>2.82</v>
          </cell>
          <cell r="Y146">
            <v>0.69</v>
          </cell>
          <cell r="Z146">
            <v>0.23</v>
          </cell>
          <cell r="AA146">
            <v>28.51</v>
          </cell>
          <cell r="AB146">
            <v>1572</v>
          </cell>
          <cell r="AC146">
            <v>62.88</v>
          </cell>
          <cell r="AD146">
            <v>16.64</v>
          </cell>
          <cell r="AE146">
            <v>90.24</v>
          </cell>
          <cell r="AF146">
            <v>22.08</v>
          </cell>
          <cell r="AG146">
            <v>931</v>
          </cell>
          <cell r="AH146">
            <v>912.32</v>
          </cell>
          <cell r="AI146">
            <v>240.58</v>
          </cell>
          <cell r="AJ146">
            <v>44.400000000000006</v>
          </cell>
          <cell r="AK146">
            <v>61.1</v>
          </cell>
          <cell r="AL146">
            <v>10</v>
          </cell>
          <cell r="AM146">
            <v>10</v>
          </cell>
          <cell r="AN146">
            <v>46</v>
          </cell>
          <cell r="AO146">
            <v>5.23</v>
          </cell>
          <cell r="AP146">
            <v>4.4400000000000004</v>
          </cell>
          <cell r="AQ146">
            <v>6.11</v>
          </cell>
          <cell r="AR146">
            <v>0.69</v>
          </cell>
          <cell r="AS146">
            <v>0.23</v>
          </cell>
          <cell r="AT146">
            <v>77.45</v>
          </cell>
          <cell r="AU146">
            <v>62.88</v>
          </cell>
          <cell r="AV146">
            <v>16.64</v>
          </cell>
          <cell r="AW146">
            <v>90.24</v>
          </cell>
          <cell r="AX146">
            <v>22.08</v>
          </cell>
          <cell r="AY146">
            <v>2.7600000000000002</v>
          </cell>
          <cell r="AZ146">
            <v>912.32</v>
          </cell>
          <cell r="BA146">
            <v>240.58</v>
          </cell>
          <cell r="BB146">
            <v>44.400000000000006</v>
          </cell>
          <cell r="BC146">
            <v>61.1</v>
          </cell>
          <cell r="BD146">
            <v>6.8999999999999995</v>
          </cell>
          <cell r="BE146">
            <v>10.58</v>
          </cell>
          <cell r="BF146">
            <v>774.5</v>
          </cell>
          <cell r="BG146">
            <v>1.2132440342003656E-4</v>
          </cell>
          <cell r="BH146">
            <v>8.7340999999999998</v>
          </cell>
        </row>
        <row r="147">
          <cell r="A147" t="str">
            <v>EH</v>
          </cell>
          <cell r="B147" t="str">
            <v>LT</v>
          </cell>
          <cell r="C147" t="str">
            <v>H</v>
          </cell>
          <cell r="D147" t="str">
            <v>H</v>
          </cell>
          <cell r="E147">
            <v>2581</v>
          </cell>
          <cell r="F147">
            <v>1399</v>
          </cell>
          <cell r="G147">
            <v>948</v>
          </cell>
          <cell r="H147">
            <v>554</v>
          </cell>
          <cell r="I147">
            <v>948</v>
          </cell>
          <cell r="J147">
            <v>23</v>
          </cell>
          <cell r="K147">
            <v>14.25</v>
          </cell>
          <cell r="L147">
            <v>7.67</v>
          </cell>
          <cell r="M147">
            <v>0.86</v>
          </cell>
          <cell r="N147">
            <v>554</v>
          </cell>
          <cell r="O147">
            <v>0.66</v>
          </cell>
          <cell r="P147">
            <v>0.24</v>
          </cell>
          <cell r="Q147">
            <v>18.440000000000001</v>
          </cell>
          <cell r="R147">
            <v>1633</v>
          </cell>
          <cell r="S147">
            <v>23</v>
          </cell>
          <cell r="T147">
            <v>23</v>
          </cell>
          <cell r="U147">
            <v>14.25</v>
          </cell>
          <cell r="V147">
            <v>7.67</v>
          </cell>
          <cell r="W147">
            <v>0.86</v>
          </cell>
          <cell r="X147">
            <v>1.71</v>
          </cell>
          <cell r="Y147">
            <v>0.66</v>
          </cell>
          <cell r="Z147">
            <v>0.24</v>
          </cell>
          <cell r="AA147">
            <v>18.440000000000001</v>
          </cell>
          <cell r="AB147">
            <v>1633</v>
          </cell>
          <cell r="AC147">
            <v>109.2975</v>
          </cell>
          <cell r="AD147">
            <v>19.78</v>
          </cell>
          <cell r="AE147">
            <v>39.33</v>
          </cell>
          <cell r="AF147">
            <v>15.180000000000001</v>
          </cell>
          <cell r="AG147">
            <v>845</v>
          </cell>
          <cell r="AH147">
            <v>424.12</v>
          </cell>
          <cell r="AI147">
            <v>243.52250000000001</v>
          </cell>
          <cell r="AJ147">
            <v>79.92</v>
          </cell>
          <cell r="AK147">
            <v>89.25</v>
          </cell>
          <cell r="AL147">
            <v>17</v>
          </cell>
          <cell r="AM147">
            <v>18</v>
          </cell>
          <cell r="AN147">
            <v>31.75</v>
          </cell>
          <cell r="AO147">
            <v>7.67</v>
          </cell>
          <cell r="AP147">
            <v>4.4400000000000004</v>
          </cell>
          <cell r="AQ147">
            <v>5.25</v>
          </cell>
          <cell r="AR147">
            <v>1.19</v>
          </cell>
          <cell r="AS147">
            <v>0.19</v>
          </cell>
          <cell r="AT147">
            <v>80.290000000000006</v>
          </cell>
          <cell r="AU147">
            <v>109.2975</v>
          </cell>
          <cell r="AV147">
            <v>19.78</v>
          </cell>
          <cell r="AW147">
            <v>39.33</v>
          </cell>
          <cell r="AX147">
            <v>15.180000000000001</v>
          </cell>
          <cell r="AY147">
            <v>3.42</v>
          </cell>
          <cell r="AZ147">
            <v>424.12</v>
          </cell>
          <cell r="BA147">
            <v>243.52250000000001</v>
          </cell>
          <cell r="BB147">
            <v>79.92</v>
          </cell>
          <cell r="BC147">
            <v>89.25</v>
          </cell>
          <cell r="BD147">
            <v>21.419999999999998</v>
          </cell>
          <cell r="BE147">
            <v>6.0324999999999998</v>
          </cell>
          <cell r="BF147">
            <v>1364.93</v>
          </cell>
          <cell r="BG147">
            <v>1.0578996122537648E-4</v>
          </cell>
          <cell r="BH147">
            <v>12.8089</v>
          </cell>
        </row>
        <row r="148">
          <cell r="A148" t="str">
            <v>EU</v>
          </cell>
          <cell r="B148" t="str">
            <v>IC</v>
          </cell>
          <cell r="C148" t="str">
            <v>H</v>
          </cell>
          <cell r="D148" t="str">
            <v>H</v>
          </cell>
          <cell r="E148">
            <v>2554</v>
          </cell>
          <cell r="F148">
            <v>1502</v>
          </cell>
          <cell r="G148">
            <v>1874</v>
          </cell>
          <cell r="H148">
            <v>1131</v>
          </cell>
          <cell r="I148">
            <v>1874</v>
          </cell>
          <cell r="J148">
            <v>42</v>
          </cell>
          <cell r="K148">
            <v>17.5</v>
          </cell>
          <cell r="L148">
            <v>3.64</v>
          </cell>
          <cell r="M148">
            <v>0.71</v>
          </cell>
          <cell r="N148">
            <v>1131</v>
          </cell>
          <cell r="O148">
            <v>0.84</v>
          </cell>
          <cell r="P148">
            <v>0.32</v>
          </cell>
          <cell r="Q148">
            <v>35.2619719756335</v>
          </cell>
          <cell r="R148">
            <v>679</v>
          </cell>
          <cell r="S148">
            <v>42</v>
          </cell>
          <cell r="T148">
            <v>42</v>
          </cell>
          <cell r="U148">
            <v>17.5</v>
          </cell>
          <cell r="V148">
            <v>3.64</v>
          </cell>
          <cell r="W148">
            <v>0.71</v>
          </cell>
          <cell r="X148">
            <v>4.13</v>
          </cell>
          <cell r="Y148">
            <v>0.84</v>
          </cell>
          <cell r="Z148">
            <v>0.32</v>
          </cell>
          <cell r="AA148">
            <v>35.2619719756335</v>
          </cell>
          <cell r="AB148">
            <v>679</v>
          </cell>
          <cell r="AC148">
            <v>63.7</v>
          </cell>
          <cell r="AD148">
            <v>29.82</v>
          </cell>
          <cell r="AE148">
            <v>173.46</v>
          </cell>
          <cell r="AF148">
            <v>35.28</v>
          </cell>
          <cell r="AG148">
            <v>371</v>
          </cell>
          <cell r="AH148">
            <v>1481.0028229766069</v>
          </cell>
          <cell r="AI148">
            <v>74.825000000000003</v>
          </cell>
          <cell r="AJ148">
            <v>26.64</v>
          </cell>
          <cell r="AK148">
            <v>50.16</v>
          </cell>
          <cell r="AL148">
            <v>6</v>
          </cell>
          <cell r="AM148">
            <v>6</v>
          </cell>
          <cell r="AN148">
            <v>20.5</v>
          </cell>
          <cell r="AO148">
            <v>3.65</v>
          </cell>
          <cell r="AP148">
            <v>4.4400000000000004</v>
          </cell>
          <cell r="AQ148">
            <v>8.36</v>
          </cell>
          <cell r="AR148">
            <v>1.69</v>
          </cell>
          <cell r="AS148">
            <v>0.14000000000000001</v>
          </cell>
          <cell r="AT148">
            <v>27.57</v>
          </cell>
          <cell r="AU148">
            <v>63.7</v>
          </cell>
          <cell r="AV148">
            <v>29.82</v>
          </cell>
          <cell r="AW148">
            <v>173.46</v>
          </cell>
          <cell r="AX148">
            <v>35.28</v>
          </cell>
          <cell r="AY148">
            <v>5.6000000000000005</v>
          </cell>
          <cell r="AZ148">
            <v>1481.0028229766069</v>
          </cell>
          <cell r="BA148">
            <v>74.825000000000003</v>
          </cell>
          <cell r="BB148">
            <v>26.64</v>
          </cell>
          <cell r="BC148">
            <v>50.16</v>
          </cell>
          <cell r="BD148">
            <v>10.14</v>
          </cell>
          <cell r="BE148">
            <v>2.87</v>
          </cell>
          <cell r="BF148">
            <v>165.42000000000002</v>
          </cell>
          <cell r="BG148">
            <v>1.0468328592390993E-4</v>
          </cell>
          <cell r="BH148">
            <v>6.0954999999999995</v>
          </cell>
        </row>
        <row r="149">
          <cell r="A149" t="str">
            <v>EC</v>
          </cell>
          <cell r="B149" t="str">
            <v>SZ</v>
          </cell>
          <cell r="C149" t="str">
            <v>H</v>
          </cell>
          <cell r="D149" t="str">
            <v>H</v>
          </cell>
          <cell r="E149">
            <v>2542</v>
          </cell>
          <cell r="F149">
            <v>1717</v>
          </cell>
          <cell r="G149">
            <v>1146</v>
          </cell>
          <cell r="H149">
            <v>834</v>
          </cell>
          <cell r="I149">
            <v>1146</v>
          </cell>
          <cell r="J149">
            <v>20</v>
          </cell>
          <cell r="K149">
            <v>15.5</v>
          </cell>
          <cell r="L149">
            <v>4.47</v>
          </cell>
          <cell r="M149">
            <v>0.27</v>
          </cell>
          <cell r="N149">
            <v>834</v>
          </cell>
          <cell r="O149">
            <v>0.43</v>
          </cell>
          <cell r="P149">
            <v>0.18</v>
          </cell>
          <cell r="Q149">
            <v>11.11</v>
          </cell>
          <cell r="R149">
            <v>1396</v>
          </cell>
          <cell r="S149">
            <v>20</v>
          </cell>
          <cell r="T149">
            <v>20</v>
          </cell>
          <cell r="U149">
            <v>15.5</v>
          </cell>
          <cell r="V149">
            <v>4.47</v>
          </cell>
          <cell r="W149">
            <v>0.27</v>
          </cell>
          <cell r="X149">
            <v>1.65</v>
          </cell>
          <cell r="Y149">
            <v>0.43</v>
          </cell>
          <cell r="Z149">
            <v>0.18</v>
          </cell>
          <cell r="AA149">
            <v>11.11</v>
          </cell>
          <cell r="AB149">
            <v>1396</v>
          </cell>
          <cell r="AC149">
            <v>69.284999999999997</v>
          </cell>
          <cell r="AD149">
            <v>5.4</v>
          </cell>
          <cell r="AE149">
            <v>33</v>
          </cell>
          <cell r="AF149">
            <v>8.6</v>
          </cell>
          <cell r="AG149">
            <v>883</v>
          </cell>
          <cell r="AH149">
            <v>222.2</v>
          </cell>
          <cell r="AI149">
            <v>253.10499999999999</v>
          </cell>
          <cell r="AJ149">
            <v>15.75</v>
          </cell>
          <cell r="AK149">
            <v>22.75</v>
          </cell>
          <cell r="AL149">
            <v>7</v>
          </cell>
          <cell r="AM149">
            <v>7</v>
          </cell>
          <cell r="AN149">
            <v>56.75</v>
          </cell>
          <cell r="AO149">
            <v>4.46</v>
          </cell>
          <cell r="AP149">
            <v>2.25</v>
          </cell>
          <cell r="AQ149">
            <v>3.25</v>
          </cell>
          <cell r="AR149">
            <v>0.43</v>
          </cell>
          <cell r="AS149">
            <v>0.18</v>
          </cell>
          <cell r="AT149">
            <v>18.920000000000002</v>
          </cell>
          <cell r="AU149">
            <v>69.284999999999997</v>
          </cell>
          <cell r="AV149">
            <v>5.4</v>
          </cell>
          <cell r="AW149">
            <v>33</v>
          </cell>
          <cell r="AX149">
            <v>8.6</v>
          </cell>
          <cell r="AY149">
            <v>2.79</v>
          </cell>
          <cell r="AZ149">
            <v>222.2</v>
          </cell>
          <cell r="BA149">
            <v>253.10499999999999</v>
          </cell>
          <cell r="BB149">
            <v>15.75</v>
          </cell>
          <cell r="BC149">
            <v>22.75</v>
          </cell>
          <cell r="BD149">
            <v>3.01</v>
          </cell>
          <cell r="BE149">
            <v>10.215</v>
          </cell>
          <cell r="BF149">
            <v>132.44</v>
          </cell>
          <cell r="BG149">
            <v>1.0419143023436924E-4</v>
          </cell>
          <cell r="BH149">
            <v>7.4481999999999999</v>
          </cell>
        </row>
        <row r="150">
          <cell r="A150" t="str">
            <v>EI</v>
          </cell>
          <cell r="B150" t="str">
            <v>ML</v>
          </cell>
          <cell r="C150" t="str">
            <v>H</v>
          </cell>
          <cell r="D150" t="str">
            <v>H</v>
          </cell>
          <cell r="E150">
            <v>2354</v>
          </cell>
          <cell r="F150">
            <v>1684</v>
          </cell>
          <cell r="G150">
            <v>1822</v>
          </cell>
          <cell r="H150">
            <v>1109</v>
          </cell>
          <cell r="I150">
            <v>1822</v>
          </cell>
          <cell r="J150">
            <v>39</v>
          </cell>
          <cell r="K150">
            <v>11.75</v>
          </cell>
          <cell r="L150">
            <v>7.88</v>
          </cell>
          <cell r="M150">
            <v>0.52</v>
          </cell>
          <cell r="N150">
            <v>1109</v>
          </cell>
          <cell r="O150">
            <v>24.9207805503708</v>
          </cell>
          <cell r="P150">
            <v>531</v>
          </cell>
          <cell r="Q150">
            <v>575</v>
          </cell>
          <cell r="R150">
            <v>16</v>
          </cell>
          <cell r="S150">
            <v>39</v>
          </cell>
          <cell r="T150">
            <v>39</v>
          </cell>
          <cell r="U150">
            <v>11.75</v>
          </cell>
          <cell r="V150">
            <v>7.88</v>
          </cell>
          <cell r="W150">
            <v>0.52</v>
          </cell>
          <cell r="X150">
            <v>2.39</v>
          </cell>
          <cell r="Y150">
            <v>92.59</v>
          </cell>
          <cell r="Z150">
            <v>20.28</v>
          </cell>
          <cell r="AA150">
            <v>24.9207805503708</v>
          </cell>
          <cell r="AB150">
            <v>531</v>
          </cell>
          <cell r="AC150">
            <v>0</v>
          </cell>
          <cell r="AD150">
            <v>971.9104414644612</v>
          </cell>
          <cell r="AE150">
            <v>63.12</v>
          </cell>
          <cell r="AF150">
            <v>71.040000000000006</v>
          </cell>
          <cell r="AG150">
            <v>575</v>
          </cell>
          <cell r="AH150">
            <v>0</v>
          </cell>
          <cell r="AI150">
            <v>0</v>
          </cell>
          <cell r="AJ150">
            <v>309.60000000000002</v>
          </cell>
          <cell r="AK150">
            <v>9.6485691098231779E-5</v>
          </cell>
          <cell r="AL150">
            <v>16</v>
          </cell>
          <cell r="AM150">
            <v>16</v>
          </cell>
          <cell r="AN150">
            <v>8</v>
          </cell>
          <cell r="AO150">
            <v>7.89</v>
          </cell>
          <cell r="AP150">
            <v>4.4400000000000004</v>
          </cell>
          <cell r="AQ150">
            <v>7.8</v>
          </cell>
          <cell r="AR150">
            <v>0</v>
          </cell>
          <cell r="AS150">
            <v>0</v>
          </cell>
          <cell r="AT150">
            <v>19.350000000000001</v>
          </cell>
          <cell r="AU150">
            <v>92.59</v>
          </cell>
          <cell r="AV150">
            <v>20.28</v>
          </cell>
          <cell r="AW150">
            <v>93.210000000000008</v>
          </cell>
          <cell r="AX150">
            <v>0</v>
          </cell>
          <cell r="AY150">
            <v>0</v>
          </cell>
          <cell r="AZ150">
            <v>971.9104414644612</v>
          </cell>
          <cell r="BA150">
            <v>63.12</v>
          </cell>
          <cell r="BB150">
            <v>71.040000000000006</v>
          </cell>
          <cell r="BC150">
            <v>124.8</v>
          </cell>
          <cell r="BD150">
            <v>0</v>
          </cell>
          <cell r="BE150">
            <v>0</v>
          </cell>
          <cell r="BF150">
            <v>309.60000000000002</v>
          </cell>
          <cell r="BG150">
            <v>9.6485691098231779E-5</v>
          </cell>
          <cell r="BH150">
            <v>13.176299999999999</v>
          </cell>
        </row>
        <row r="151">
          <cell r="A151" t="str">
            <v>LA</v>
          </cell>
          <cell r="B151" t="str">
            <v>BB</v>
          </cell>
          <cell r="C151" t="str">
            <v>H</v>
          </cell>
          <cell r="D151" t="str">
            <v>H</v>
          </cell>
          <cell r="E151">
            <v>2349</v>
          </cell>
          <cell r="F151">
            <v>1256</v>
          </cell>
          <cell r="G151">
            <v>1883</v>
          </cell>
          <cell r="H151">
            <v>1040</v>
          </cell>
          <cell r="I151">
            <v>1883</v>
          </cell>
          <cell r="J151">
            <v>51</v>
          </cell>
          <cell r="K151">
            <v>16.75</v>
          </cell>
          <cell r="L151">
            <v>5.2</v>
          </cell>
          <cell r="M151">
            <v>1.08</v>
          </cell>
          <cell r="N151">
            <v>1040</v>
          </cell>
          <cell r="O151">
            <v>0.52</v>
          </cell>
          <cell r="P151">
            <v>0.31</v>
          </cell>
          <cell r="Q151">
            <v>27.3</v>
          </cell>
          <cell r="R151">
            <v>466</v>
          </cell>
          <cell r="S151">
            <v>51</v>
          </cell>
          <cell r="T151">
            <v>51</v>
          </cell>
          <cell r="U151">
            <v>16.75</v>
          </cell>
          <cell r="V151">
            <v>5.2</v>
          </cell>
          <cell r="W151">
            <v>1.08</v>
          </cell>
          <cell r="X151">
            <v>2.66</v>
          </cell>
          <cell r="Y151">
            <v>0.52</v>
          </cell>
          <cell r="Z151">
            <v>0.31</v>
          </cell>
          <cell r="AA151">
            <v>27.3</v>
          </cell>
          <cell r="AB151">
            <v>466</v>
          </cell>
          <cell r="AC151">
            <v>87.100000000000009</v>
          </cell>
          <cell r="AD151">
            <v>55.080000000000005</v>
          </cell>
          <cell r="AE151">
            <v>135.66</v>
          </cell>
          <cell r="AF151">
            <v>26.52</v>
          </cell>
          <cell r="AG151">
            <v>215</v>
          </cell>
          <cell r="AH151">
            <v>1392.3</v>
          </cell>
          <cell r="AI151">
            <v>62.519999999999996</v>
          </cell>
          <cell r="AJ151">
            <v>30.85</v>
          </cell>
          <cell r="AK151">
            <v>38.32</v>
          </cell>
          <cell r="AL151">
            <v>4</v>
          </cell>
          <cell r="AM151">
            <v>5</v>
          </cell>
          <cell r="AN151">
            <v>12</v>
          </cell>
          <cell r="AO151">
            <v>5.21</v>
          </cell>
          <cell r="AP151">
            <v>6.17</v>
          </cell>
          <cell r="AQ151">
            <v>9.58</v>
          </cell>
          <cell r="AR151">
            <v>0.59</v>
          </cell>
          <cell r="AS151">
            <v>0.18</v>
          </cell>
          <cell r="AT151">
            <v>14.4</v>
          </cell>
          <cell r="AU151">
            <v>87.100000000000009</v>
          </cell>
          <cell r="AV151">
            <v>55.080000000000005</v>
          </cell>
          <cell r="AW151">
            <v>135.66</v>
          </cell>
          <cell r="AX151">
            <v>26.52</v>
          </cell>
          <cell r="AY151">
            <v>5.1924999999999999</v>
          </cell>
          <cell r="AZ151">
            <v>1392.3</v>
          </cell>
          <cell r="BA151">
            <v>62.519999999999996</v>
          </cell>
          <cell r="BB151">
            <v>30.85</v>
          </cell>
          <cell r="BC151">
            <v>38.32</v>
          </cell>
          <cell r="BD151">
            <v>2.9499999999999997</v>
          </cell>
          <cell r="BE151">
            <v>2.16</v>
          </cell>
          <cell r="BF151">
            <v>57.6</v>
          </cell>
          <cell r="BG151">
            <v>9.6280751227589825E-5</v>
          </cell>
          <cell r="BH151">
            <v>8.7006999999999994</v>
          </cell>
        </row>
        <row r="152">
          <cell r="A152" t="str">
            <v>LA</v>
          </cell>
          <cell r="B152" t="str">
            <v>CR</v>
          </cell>
          <cell r="C152" t="str">
            <v>H</v>
          </cell>
          <cell r="D152" t="str">
            <v>H</v>
          </cell>
          <cell r="E152">
            <v>2250</v>
          </cell>
          <cell r="F152">
            <v>1194</v>
          </cell>
          <cell r="G152">
            <v>1392</v>
          </cell>
          <cell r="H152">
            <v>780</v>
          </cell>
          <cell r="I152">
            <v>1392</v>
          </cell>
          <cell r="J152">
            <v>44</v>
          </cell>
          <cell r="K152">
            <v>16.5</v>
          </cell>
          <cell r="L152">
            <v>6.43</v>
          </cell>
          <cell r="M152">
            <v>1.02</v>
          </cell>
          <cell r="N152">
            <v>780</v>
          </cell>
          <cell r="O152">
            <v>0.79</v>
          </cell>
          <cell r="P152">
            <v>0.1</v>
          </cell>
          <cell r="Q152">
            <v>18.57</v>
          </cell>
          <cell r="R152">
            <v>857</v>
          </cell>
          <cell r="S152">
            <v>44</v>
          </cell>
          <cell r="T152">
            <v>44</v>
          </cell>
          <cell r="U152">
            <v>16.5</v>
          </cell>
          <cell r="V152">
            <v>6.43</v>
          </cell>
          <cell r="W152">
            <v>1.02</v>
          </cell>
          <cell r="X152">
            <v>1.77</v>
          </cell>
          <cell r="Y152">
            <v>0.79</v>
          </cell>
          <cell r="Z152">
            <v>0.1</v>
          </cell>
          <cell r="AA152">
            <v>18.57</v>
          </cell>
          <cell r="AB152">
            <v>857</v>
          </cell>
          <cell r="AC152">
            <v>106.095</v>
          </cell>
          <cell r="AD152">
            <v>44.88</v>
          </cell>
          <cell r="AE152">
            <v>77.88</v>
          </cell>
          <cell r="AF152">
            <v>34.760000000000005</v>
          </cell>
          <cell r="AG152">
            <v>414</v>
          </cell>
          <cell r="AH152">
            <v>817.08</v>
          </cell>
          <cell r="AI152">
            <v>147.66</v>
          </cell>
          <cell r="AJ152">
            <v>56.97</v>
          </cell>
          <cell r="AK152">
            <v>36.32</v>
          </cell>
          <cell r="AL152">
            <v>8</v>
          </cell>
          <cell r="AM152">
            <v>9</v>
          </cell>
          <cell r="AN152">
            <v>23</v>
          </cell>
          <cell r="AO152">
            <v>6.42</v>
          </cell>
          <cell r="AP152">
            <v>6.33</v>
          </cell>
          <cell r="AQ152">
            <v>4.54</v>
          </cell>
          <cell r="AR152">
            <v>1.1299999999999999</v>
          </cell>
          <cell r="AS152">
            <v>0.08</v>
          </cell>
          <cell r="AT152">
            <v>14.53</v>
          </cell>
          <cell r="AU152">
            <v>106.095</v>
          </cell>
          <cell r="AV152">
            <v>44.88</v>
          </cell>
          <cell r="AW152">
            <v>77.88</v>
          </cell>
          <cell r="AX152">
            <v>34.760000000000005</v>
          </cell>
          <cell r="AY152">
            <v>1.6500000000000001</v>
          </cell>
          <cell r="AZ152">
            <v>817.08</v>
          </cell>
          <cell r="BA152">
            <v>147.66</v>
          </cell>
          <cell r="BB152">
            <v>56.97</v>
          </cell>
          <cell r="BC152">
            <v>36.32</v>
          </cell>
          <cell r="BD152">
            <v>10.169999999999998</v>
          </cell>
          <cell r="BE152">
            <v>1.84</v>
          </cell>
          <cell r="BF152">
            <v>116.24</v>
          </cell>
          <cell r="BG152">
            <v>9.2222941788879141E-5</v>
          </cell>
          <cell r="BH152">
            <v>10.721399999999999</v>
          </cell>
        </row>
        <row r="153">
          <cell r="A153" t="str">
            <v>EC</v>
          </cell>
          <cell r="B153" t="str">
            <v>ZM</v>
          </cell>
          <cell r="C153" t="str">
            <v>H</v>
          </cell>
          <cell r="D153" t="str">
            <v>H</v>
          </cell>
          <cell r="E153">
            <v>2129</v>
          </cell>
          <cell r="F153">
            <v>1089</v>
          </cell>
          <cell r="G153">
            <v>1535</v>
          </cell>
          <cell r="H153">
            <v>886</v>
          </cell>
          <cell r="I153">
            <v>1535</v>
          </cell>
          <cell r="J153">
            <v>37</v>
          </cell>
          <cell r="K153">
            <v>10.75</v>
          </cell>
          <cell r="L153">
            <v>6.48</v>
          </cell>
          <cell r="M153">
            <v>0.12</v>
          </cell>
          <cell r="N153">
            <v>886</v>
          </cell>
          <cell r="O153">
            <v>0.48</v>
          </cell>
          <cell r="P153">
            <v>0.28999999999999998</v>
          </cell>
          <cell r="Q153">
            <v>30.31</v>
          </cell>
          <cell r="R153">
            <v>593</v>
          </cell>
          <cell r="S153">
            <v>37</v>
          </cell>
          <cell r="T153">
            <v>37</v>
          </cell>
          <cell r="U153">
            <v>10.75</v>
          </cell>
          <cell r="V153">
            <v>6.48</v>
          </cell>
          <cell r="W153">
            <v>0.12</v>
          </cell>
          <cell r="X153">
            <v>2.4500000000000002</v>
          </cell>
          <cell r="Y153">
            <v>0.48</v>
          </cell>
          <cell r="Z153">
            <v>0.28999999999999998</v>
          </cell>
          <cell r="AA153">
            <v>30.31</v>
          </cell>
          <cell r="AB153">
            <v>593</v>
          </cell>
          <cell r="AC153">
            <v>69.660000000000011</v>
          </cell>
          <cell r="AD153">
            <v>4.4399999999999995</v>
          </cell>
          <cell r="AE153">
            <v>90.65</v>
          </cell>
          <cell r="AF153">
            <v>17.759999999999998</v>
          </cell>
          <cell r="AG153">
            <v>203</v>
          </cell>
          <cell r="AH153">
            <v>1121.47</v>
          </cell>
          <cell r="AI153">
            <v>74.405000000000001</v>
          </cell>
          <cell r="AJ153">
            <v>19.799999999999997</v>
          </cell>
          <cell r="AK153">
            <v>41.04</v>
          </cell>
          <cell r="AL153">
            <v>12</v>
          </cell>
          <cell r="AM153">
            <v>12</v>
          </cell>
          <cell r="AN153">
            <v>11.5</v>
          </cell>
          <cell r="AO153">
            <v>6.47</v>
          </cell>
          <cell r="AP153">
            <v>1.65</v>
          </cell>
          <cell r="AQ153">
            <v>3.42</v>
          </cell>
          <cell r="AR153">
            <v>0.33</v>
          </cell>
          <cell r="AS153">
            <v>0.23</v>
          </cell>
          <cell r="AT153">
            <v>14.53</v>
          </cell>
          <cell r="AU153">
            <v>69.660000000000011</v>
          </cell>
          <cell r="AV153">
            <v>4.4399999999999995</v>
          </cell>
          <cell r="AW153">
            <v>90.65</v>
          </cell>
          <cell r="AX153">
            <v>17.759999999999998</v>
          </cell>
          <cell r="AY153">
            <v>3.1174999999999997</v>
          </cell>
          <cell r="AZ153">
            <v>1121.47</v>
          </cell>
          <cell r="BA153">
            <v>74.405000000000001</v>
          </cell>
          <cell r="BB153">
            <v>19.799999999999997</v>
          </cell>
          <cell r="BC153">
            <v>41.04</v>
          </cell>
          <cell r="BD153">
            <v>3.96</v>
          </cell>
          <cell r="BE153">
            <v>2.645</v>
          </cell>
          <cell r="BF153">
            <v>174.35999999999999</v>
          </cell>
          <cell r="BG153">
            <v>8.7263396919343863E-5</v>
          </cell>
          <cell r="BH153">
            <v>10.8049</v>
          </cell>
        </row>
        <row r="154">
          <cell r="A154" t="str">
            <v>EI</v>
          </cell>
          <cell r="B154" t="str">
            <v>BF</v>
          </cell>
          <cell r="C154" t="str">
            <v>H</v>
          </cell>
          <cell r="D154" t="str">
            <v>H</v>
          </cell>
          <cell r="E154">
            <v>2056</v>
          </cell>
          <cell r="F154">
            <v>1131</v>
          </cell>
          <cell r="G154">
            <v>1349</v>
          </cell>
          <cell r="H154">
            <v>744</v>
          </cell>
          <cell r="I154">
            <v>1349</v>
          </cell>
          <cell r="J154">
            <v>35</v>
          </cell>
          <cell r="K154">
            <v>11.25</v>
          </cell>
          <cell r="L154">
            <v>7.88</v>
          </cell>
          <cell r="M154">
            <v>0.52</v>
          </cell>
          <cell r="N154">
            <v>744</v>
          </cell>
          <cell r="O154">
            <v>1.02</v>
          </cell>
          <cell r="P154">
            <v>0.41</v>
          </cell>
          <cell r="Q154">
            <v>17.14</v>
          </cell>
          <cell r="R154">
            <v>708</v>
          </cell>
          <cell r="S154">
            <v>35</v>
          </cell>
          <cell r="T154">
            <v>35</v>
          </cell>
          <cell r="U154">
            <v>11.25</v>
          </cell>
          <cell r="V154">
            <v>7.88</v>
          </cell>
          <cell r="W154">
            <v>0.52</v>
          </cell>
          <cell r="X154">
            <v>1.93</v>
          </cell>
          <cell r="Y154">
            <v>1.02</v>
          </cell>
          <cell r="Z154">
            <v>0.41</v>
          </cell>
          <cell r="AA154">
            <v>17.14</v>
          </cell>
          <cell r="AB154">
            <v>708</v>
          </cell>
          <cell r="AC154">
            <v>88.65</v>
          </cell>
          <cell r="AD154">
            <v>18.2</v>
          </cell>
          <cell r="AE154">
            <v>67.55</v>
          </cell>
          <cell r="AF154">
            <v>35.700000000000003</v>
          </cell>
          <cell r="AG154">
            <v>387</v>
          </cell>
          <cell r="AH154">
            <v>599.9</v>
          </cell>
          <cell r="AI154">
            <v>53.2575</v>
          </cell>
          <cell r="AJ154">
            <v>39.96</v>
          </cell>
          <cell r="AK154">
            <v>25.38</v>
          </cell>
          <cell r="AL154">
            <v>9</v>
          </cell>
          <cell r="AM154">
            <v>9</v>
          </cell>
          <cell r="AN154">
            <v>6.75</v>
          </cell>
          <cell r="AO154">
            <v>7.89</v>
          </cell>
          <cell r="AP154">
            <v>4.4400000000000004</v>
          </cell>
          <cell r="AQ154">
            <v>2.82</v>
          </cell>
          <cell r="AR154">
            <v>0.28999999999999998</v>
          </cell>
          <cell r="AS154">
            <v>0.09</v>
          </cell>
          <cell r="AT154">
            <v>26.07</v>
          </cell>
          <cell r="AU154">
            <v>88.65</v>
          </cell>
          <cell r="AV154">
            <v>18.2</v>
          </cell>
          <cell r="AW154">
            <v>67.55</v>
          </cell>
          <cell r="AX154">
            <v>35.700000000000003</v>
          </cell>
          <cell r="AY154">
            <v>4.6124999999999998</v>
          </cell>
          <cell r="AZ154">
            <v>599.9</v>
          </cell>
          <cell r="BA154">
            <v>53.2575</v>
          </cell>
          <cell r="BB154">
            <v>39.96</v>
          </cell>
          <cell r="BC154">
            <v>25.38</v>
          </cell>
          <cell r="BD154">
            <v>2.61</v>
          </cell>
          <cell r="BE154">
            <v>0.60749999999999993</v>
          </cell>
          <cell r="BF154">
            <v>234.63</v>
          </cell>
          <cell r="BG154">
            <v>8.4271274807971335E-5</v>
          </cell>
          <cell r="BH154">
            <v>13.176299999999999</v>
          </cell>
        </row>
        <row r="155">
          <cell r="A155" t="str">
            <v>LA</v>
          </cell>
          <cell r="B155" t="str">
            <v>SR</v>
          </cell>
          <cell r="C155" t="str">
            <v>H</v>
          </cell>
          <cell r="D155" t="str">
            <v>H</v>
          </cell>
          <cell r="E155">
            <v>1958</v>
          </cell>
          <cell r="F155">
            <v>955</v>
          </cell>
          <cell r="G155">
            <v>212</v>
          </cell>
          <cell r="H155">
            <v>99</v>
          </cell>
          <cell r="I155">
            <v>212</v>
          </cell>
          <cell r="J155">
            <v>5</v>
          </cell>
          <cell r="K155">
            <v>1.25</v>
          </cell>
          <cell r="L155">
            <v>5.08</v>
          </cell>
          <cell r="M155">
            <v>0.98</v>
          </cell>
          <cell r="N155">
            <v>99</v>
          </cell>
          <cell r="O155">
            <v>0.66</v>
          </cell>
          <cell r="P155">
            <v>0.35</v>
          </cell>
          <cell r="Q155">
            <v>15.23</v>
          </cell>
          <cell r="R155">
            <v>1746</v>
          </cell>
          <cell r="S155">
            <v>5</v>
          </cell>
          <cell r="T155">
            <v>5</v>
          </cell>
          <cell r="U155">
            <v>1.25</v>
          </cell>
          <cell r="V155">
            <v>5.08</v>
          </cell>
          <cell r="W155">
            <v>0.98</v>
          </cell>
          <cell r="X155">
            <v>1.87</v>
          </cell>
          <cell r="Y155">
            <v>0.66</v>
          </cell>
          <cell r="Z155">
            <v>0.35</v>
          </cell>
          <cell r="AA155">
            <v>15.23</v>
          </cell>
          <cell r="AB155">
            <v>1746</v>
          </cell>
          <cell r="AC155">
            <v>6.35</v>
          </cell>
          <cell r="AD155">
            <v>4.9000000000000004</v>
          </cell>
          <cell r="AE155">
            <v>9.3500000000000014</v>
          </cell>
          <cell r="AF155">
            <v>3.3000000000000003</v>
          </cell>
          <cell r="AG155">
            <v>855</v>
          </cell>
          <cell r="AH155">
            <v>76.150000000000006</v>
          </cell>
          <cell r="AI155">
            <v>116.38</v>
          </cell>
          <cell r="AJ155">
            <v>111.06</v>
          </cell>
          <cell r="AK155">
            <v>215.46</v>
          </cell>
          <cell r="AL155">
            <v>18</v>
          </cell>
          <cell r="AM155">
            <v>18</v>
          </cell>
          <cell r="AN155">
            <v>23</v>
          </cell>
          <cell r="AO155">
            <v>5.0599999999999996</v>
          </cell>
          <cell r="AP155">
            <v>6.17</v>
          </cell>
          <cell r="AQ155">
            <v>11.97</v>
          </cell>
          <cell r="AR155">
            <v>0.78</v>
          </cell>
          <cell r="AS155">
            <v>0.56000000000000005</v>
          </cell>
          <cell r="AT155">
            <v>11.4</v>
          </cell>
          <cell r="AU155">
            <v>6.35</v>
          </cell>
          <cell r="AV155">
            <v>4.9000000000000004</v>
          </cell>
          <cell r="AW155">
            <v>9.3500000000000014</v>
          </cell>
          <cell r="AX155">
            <v>3.3000000000000003</v>
          </cell>
          <cell r="AY155">
            <v>0.4375</v>
          </cell>
          <cell r="AZ155">
            <v>76.150000000000006</v>
          </cell>
          <cell r="BA155">
            <v>116.38</v>
          </cell>
          <cell r="BB155">
            <v>111.06</v>
          </cell>
          <cell r="BC155">
            <v>215.46</v>
          </cell>
          <cell r="BD155">
            <v>14.040000000000001</v>
          </cell>
          <cell r="BE155">
            <v>12.88</v>
          </cell>
          <cell r="BF155">
            <v>205.20000000000002</v>
          </cell>
          <cell r="BG155">
            <v>8.0254453343389054E-5</v>
          </cell>
          <cell r="BH155">
            <v>8.4501999999999988</v>
          </cell>
        </row>
        <row r="156">
          <cell r="A156" t="str">
            <v>LA</v>
          </cell>
          <cell r="B156" t="str">
            <v>JM</v>
          </cell>
          <cell r="C156" t="str">
            <v>H</v>
          </cell>
          <cell r="D156" t="str">
            <v>H</v>
          </cell>
          <cell r="E156">
            <v>1806</v>
          </cell>
          <cell r="F156">
            <v>985</v>
          </cell>
          <cell r="G156">
            <v>1121</v>
          </cell>
          <cell r="H156">
            <v>627</v>
          </cell>
          <cell r="I156">
            <v>1121</v>
          </cell>
          <cell r="J156">
            <v>34</v>
          </cell>
          <cell r="K156">
            <v>14</v>
          </cell>
          <cell r="L156">
            <v>4.95</v>
          </cell>
          <cell r="M156">
            <v>1.1299999999999999</v>
          </cell>
          <cell r="N156">
            <v>627</v>
          </cell>
          <cell r="O156">
            <v>0.79</v>
          </cell>
          <cell r="P156">
            <v>0.37</v>
          </cell>
          <cell r="Q156">
            <v>19.059999999999999</v>
          </cell>
          <cell r="R156">
            <v>685</v>
          </cell>
          <cell r="S156">
            <v>34</v>
          </cell>
          <cell r="T156">
            <v>34</v>
          </cell>
          <cell r="U156">
            <v>14</v>
          </cell>
          <cell r="V156">
            <v>4.95</v>
          </cell>
          <cell r="W156">
            <v>1.1299999999999999</v>
          </cell>
          <cell r="X156">
            <v>2.5</v>
          </cell>
          <cell r="Y156">
            <v>0.79</v>
          </cell>
          <cell r="Z156">
            <v>0.37</v>
          </cell>
          <cell r="AA156">
            <v>19.059999999999999</v>
          </cell>
          <cell r="AB156">
            <v>685</v>
          </cell>
          <cell r="AC156">
            <v>69.3</v>
          </cell>
          <cell r="AD156">
            <v>38.419999999999995</v>
          </cell>
          <cell r="AE156">
            <v>85</v>
          </cell>
          <cell r="AF156">
            <v>26.86</v>
          </cell>
          <cell r="AG156">
            <v>357</v>
          </cell>
          <cell r="AH156">
            <v>648.04</v>
          </cell>
          <cell r="AI156">
            <v>53.105000000000004</v>
          </cell>
          <cell r="AJ156">
            <v>43.19</v>
          </cell>
          <cell r="AK156">
            <v>46.129999999999995</v>
          </cell>
          <cell r="AL156">
            <v>7</v>
          </cell>
          <cell r="AM156">
            <v>7</v>
          </cell>
          <cell r="AN156">
            <v>10.75</v>
          </cell>
          <cell r="AO156">
            <v>4.9400000000000004</v>
          </cell>
          <cell r="AP156">
            <v>6.17</v>
          </cell>
          <cell r="AQ156">
            <v>6.59</v>
          </cell>
          <cell r="AR156">
            <v>2.25</v>
          </cell>
          <cell r="AS156">
            <v>0.12</v>
          </cell>
          <cell r="AT156">
            <v>12.4831254454222</v>
          </cell>
          <cell r="AU156">
            <v>69.3</v>
          </cell>
          <cell r="AV156">
            <v>38.419999999999995</v>
          </cell>
          <cell r="AW156">
            <v>85</v>
          </cell>
          <cell r="AX156">
            <v>26.86</v>
          </cell>
          <cell r="AY156">
            <v>5.18</v>
          </cell>
          <cell r="AZ156">
            <v>648.04</v>
          </cell>
          <cell r="BA156">
            <v>53.105000000000004</v>
          </cell>
          <cell r="BB156">
            <v>43.19</v>
          </cell>
          <cell r="BC156">
            <v>46.129999999999995</v>
          </cell>
          <cell r="BD156">
            <v>15.75</v>
          </cell>
          <cell r="BE156">
            <v>1.29</v>
          </cell>
          <cell r="BF156">
            <v>87.381878117955395</v>
          </cell>
          <cell r="BG156">
            <v>7.4024281275873654E-5</v>
          </cell>
          <cell r="BH156">
            <v>8.2498000000000005</v>
          </cell>
        </row>
        <row r="157">
          <cell r="A157" t="str">
            <v>LA</v>
          </cell>
          <cell r="B157" t="str">
            <v>DO</v>
          </cell>
          <cell r="C157" t="str">
            <v>H</v>
          </cell>
          <cell r="D157" t="str">
            <v>H</v>
          </cell>
          <cell r="E157">
            <v>1785</v>
          </cell>
          <cell r="F157">
            <v>1026</v>
          </cell>
          <cell r="G157">
            <v>1249</v>
          </cell>
          <cell r="H157">
            <v>704</v>
          </cell>
          <cell r="I157">
            <v>1249</v>
          </cell>
          <cell r="J157">
            <v>35</v>
          </cell>
          <cell r="K157">
            <v>9.25</v>
          </cell>
          <cell r="L157">
            <v>4.92</v>
          </cell>
          <cell r="M157">
            <v>0.98</v>
          </cell>
          <cell r="N157">
            <v>704</v>
          </cell>
          <cell r="O157">
            <v>0.62</v>
          </cell>
          <cell r="P157">
            <v>0.23</v>
          </cell>
          <cell r="Q157">
            <v>24.45</v>
          </cell>
          <cell r="R157">
            <v>536</v>
          </cell>
          <cell r="S157">
            <v>35</v>
          </cell>
          <cell r="T157">
            <v>35</v>
          </cell>
          <cell r="U157">
            <v>9.25</v>
          </cell>
          <cell r="V157">
            <v>4.92</v>
          </cell>
          <cell r="W157">
            <v>0.98</v>
          </cell>
          <cell r="X157">
            <v>1.65</v>
          </cell>
          <cell r="Y157">
            <v>0.62</v>
          </cell>
          <cell r="Z157">
            <v>0.23</v>
          </cell>
          <cell r="AA157">
            <v>24.45</v>
          </cell>
          <cell r="AB157">
            <v>536</v>
          </cell>
          <cell r="AC157">
            <v>45.51</v>
          </cell>
          <cell r="AD157">
            <v>34.299999999999997</v>
          </cell>
          <cell r="AE157">
            <v>57.75</v>
          </cell>
          <cell r="AF157">
            <v>21.7</v>
          </cell>
          <cell r="AG157">
            <v>322</v>
          </cell>
          <cell r="AH157">
            <v>855.75</v>
          </cell>
          <cell r="AI157">
            <v>24.55</v>
          </cell>
          <cell r="AJ157">
            <v>37.019999999999996</v>
          </cell>
          <cell r="AK157">
            <v>24.18</v>
          </cell>
          <cell r="AL157">
            <v>6</v>
          </cell>
          <cell r="AM157">
            <v>6</v>
          </cell>
          <cell r="AN157">
            <v>5</v>
          </cell>
          <cell r="AO157">
            <v>4.91</v>
          </cell>
          <cell r="AP157">
            <v>6.17</v>
          </cell>
          <cell r="AQ157">
            <v>4.03</v>
          </cell>
          <cell r="AR157">
            <v>0.66</v>
          </cell>
          <cell r="AS157">
            <v>0.24</v>
          </cell>
          <cell r="AT157">
            <v>49.46</v>
          </cell>
          <cell r="AU157">
            <v>45.51</v>
          </cell>
          <cell r="AV157">
            <v>34.299999999999997</v>
          </cell>
          <cell r="AW157">
            <v>57.75</v>
          </cell>
          <cell r="AX157">
            <v>21.7</v>
          </cell>
          <cell r="AY157">
            <v>2.1274999999999999</v>
          </cell>
          <cell r="AZ157">
            <v>855.75</v>
          </cell>
          <cell r="BA157">
            <v>24.55</v>
          </cell>
          <cell r="BB157">
            <v>37.019999999999996</v>
          </cell>
          <cell r="BC157">
            <v>24.18</v>
          </cell>
          <cell r="BD157">
            <v>3.96</v>
          </cell>
          <cell r="BE157">
            <v>1.2</v>
          </cell>
          <cell r="BF157">
            <v>296.76</v>
          </cell>
          <cell r="BG157">
            <v>7.3163533819177451E-5</v>
          </cell>
          <cell r="BH157">
            <v>8.1997</v>
          </cell>
        </row>
        <row r="158">
          <cell r="A158" t="str">
            <v>LA</v>
          </cell>
          <cell r="B158" t="str">
            <v>PY</v>
          </cell>
          <cell r="C158" t="str">
            <v>H</v>
          </cell>
          <cell r="D158" t="str">
            <v>H</v>
          </cell>
          <cell r="E158">
            <v>1758</v>
          </cell>
          <cell r="F158">
            <v>686</v>
          </cell>
          <cell r="G158">
            <v>1287</v>
          </cell>
          <cell r="H158">
            <v>508</v>
          </cell>
          <cell r="I158">
            <v>1287</v>
          </cell>
          <cell r="J158">
            <v>41</v>
          </cell>
          <cell r="K158">
            <v>11.25</v>
          </cell>
          <cell r="L158">
            <v>5.4</v>
          </cell>
          <cell r="M158">
            <v>0.98</v>
          </cell>
          <cell r="N158">
            <v>508</v>
          </cell>
          <cell r="O158">
            <v>0.5</v>
          </cell>
          <cell r="P158">
            <v>0.17</v>
          </cell>
          <cell r="Q158">
            <v>43.26</v>
          </cell>
          <cell r="R158">
            <v>471</v>
          </cell>
          <cell r="S158">
            <v>41</v>
          </cell>
          <cell r="T158">
            <v>41</v>
          </cell>
          <cell r="U158">
            <v>11.25</v>
          </cell>
          <cell r="V158">
            <v>5.4</v>
          </cell>
          <cell r="W158">
            <v>0.98</v>
          </cell>
          <cell r="X158">
            <v>2.12</v>
          </cell>
          <cell r="Y158">
            <v>0.5</v>
          </cell>
          <cell r="Z158">
            <v>0.17</v>
          </cell>
          <cell r="AA158">
            <v>43.26</v>
          </cell>
          <cell r="AB158">
            <v>471</v>
          </cell>
          <cell r="AC158">
            <v>60.750000000000007</v>
          </cell>
          <cell r="AD158">
            <v>40.18</v>
          </cell>
          <cell r="AE158">
            <v>86.92</v>
          </cell>
          <cell r="AF158">
            <v>20.5</v>
          </cell>
          <cell r="AG158">
            <v>178</v>
          </cell>
          <cell r="AH158">
            <v>1773.6599999999999</v>
          </cell>
          <cell r="AI158">
            <v>47.162499999999994</v>
          </cell>
          <cell r="AJ158">
            <v>43.19</v>
          </cell>
          <cell r="AK158">
            <v>57.68</v>
          </cell>
          <cell r="AL158">
            <v>7</v>
          </cell>
          <cell r="AM158">
            <v>7</v>
          </cell>
          <cell r="AN158">
            <v>8.75</v>
          </cell>
          <cell r="AO158">
            <v>5.39</v>
          </cell>
          <cell r="AP158">
            <v>6.17</v>
          </cell>
          <cell r="AQ158">
            <v>8.24</v>
          </cell>
          <cell r="AR158">
            <v>0.75</v>
          </cell>
          <cell r="AS158">
            <v>0.06</v>
          </cell>
          <cell r="AT158">
            <v>12.4831254454222</v>
          </cell>
          <cell r="AU158">
            <v>60.750000000000007</v>
          </cell>
          <cell r="AV158">
            <v>40.18</v>
          </cell>
          <cell r="AW158">
            <v>86.92</v>
          </cell>
          <cell r="AX158">
            <v>20.5</v>
          </cell>
          <cell r="AY158">
            <v>1.9125000000000001</v>
          </cell>
          <cell r="AZ158">
            <v>1773.6599999999999</v>
          </cell>
          <cell r="BA158">
            <v>47.162499999999994</v>
          </cell>
          <cell r="BB158">
            <v>43.19</v>
          </cell>
          <cell r="BC158">
            <v>57.68</v>
          </cell>
          <cell r="BD158">
            <v>5.25</v>
          </cell>
          <cell r="BE158">
            <v>0.52500000000000002</v>
          </cell>
          <cell r="BF158">
            <v>87.381878117955395</v>
          </cell>
          <cell r="BG158">
            <v>7.2056858517710904E-5</v>
          </cell>
          <cell r="BH158">
            <v>9.0012999999999987</v>
          </cell>
        </row>
        <row r="159">
          <cell r="A159" t="str">
            <v>EJ</v>
          </cell>
          <cell r="B159" t="str">
            <v>TM</v>
          </cell>
          <cell r="C159" t="str">
            <v>H</v>
          </cell>
          <cell r="D159" t="str">
            <v>H</v>
          </cell>
          <cell r="E159">
            <v>1719</v>
          </cell>
          <cell r="F159">
            <v>853</v>
          </cell>
          <cell r="G159">
            <v>678</v>
          </cell>
          <cell r="H159">
            <v>418</v>
          </cell>
          <cell r="I159">
            <v>678</v>
          </cell>
          <cell r="J159">
            <v>17</v>
          </cell>
          <cell r="K159">
            <v>11.25</v>
          </cell>
          <cell r="L159">
            <v>5.88</v>
          </cell>
          <cell r="M159">
            <v>0.75</v>
          </cell>
          <cell r="N159">
            <v>418</v>
          </cell>
          <cell r="O159">
            <v>0.34</v>
          </cell>
          <cell r="P159">
            <v>0.18</v>
          </cell>
          <cell r="Q159">
            <v>14.53</v>
          </cell>
          <cell r="R159">
            <v>1041</v>
          </cell>
          <cell r="S159">
            <v>17</v>
          </cell>
          <cell r="T159">
            <v>17</v>
          </cell>
          <cell r="U159">
            <v>11.25</v>
          </cell>
          <cell r="V159">
            <v>5.88</v>
          </cell>
          <cell r="W159">
            <v>0.75</v>
          </cell>
          <cell r="X159">
            <v>0.93</v>
          </cell>
          <cell r="Y159">
            <v>0.34</v>
          </cell>
          <cell r="Z159">
            <v>0.18</v>
          </cell>
          <cell r="AA159">
            <v>14.53</v>
          </cell>
          <cell r="AB159">
            <v>1041</v>
          </cell>
          <cell r="AC159">
            <v>66.150000000000006</v>
          </cell>
          <cell r="AD159">
            <v>12.75</v>
          </cell>
          <cell r="AE159">
            <v>15.81</v>
          </cell>
          <cell r="AF159">
            <v>5.78</v>
          </cell>
          <cell r="AG159">
            <v>435</v>
          </cell>
          <cell r="AH159">
            <v>247.01</v>
          </cell>
          <cell r="AI159">
            <v>291.06</v>
          </cell>
          <cell r="AJ159">
            <v>37.019999999999996</v>
          </cell>
          <cell r="AK159">
            <v>37.5</v>
          </cell>
          <cell r="AL159">
            <v>6</v>
          </cell>
          <cell r="AM159">
            <v>6</v>
          </cell>
          <cell r="AN159">
            <v>49.5</v>
          </cell>
          <cell r="AO159">
            <v>5.88</v>
          </cell>
          <cell r="AP159">
            <v>6.17</v>
          </cell>
          <cell r="AQ159">
            <v>6.25</v>
          </cell>
          <cell r="AR159">
            <v>0.75</v>
          </cell>
          <cell r="AS159">
            <v>0.13</v>
          </cell>
          <cell r="AT159">
            <v>27.57</v>
          </cell>
          <cell r="AU159">
            <v>66.150000000000006</v>
          </cell>
          <cell r="AV159">
            <v>12.75</v>
          </cell>
          <cell r="AW159">
            <v>15.81</v>
          </cell>
          <cell r="AX159">
            <v>5.78</v>
          </cell>
          <cell r="AY159">
            <v>2.0249999999999999</v>
          </cell>
          <cell r="AZ159">
            <v>247.01</v>
          </cell>
          <cell r="BA159">
            <v>291.06</v>
          </cell>
          <cell r="BB159">
            <v>37.019999999999996</v>
          </cell>
          <cell r="BC159">
            <v>37.5</v>
          </cell>
          <cell r="BD159">
            <v>4.5</v>
          </cell>
          <cell r="BE159">
            <v>6.4350000000000005</v>
          </cell>
          <cell r="BF159">
            <v>165.42000000000002</v>
          </cell>
          <cell r="BG159">
            <v>7.045832752670367E-5</v>
          </cell>
          <cell r="BH159">
            <v>9.8195999999999994</v>
          </cell>
        </row>
        <row r="160">
          <cell r="A160" t="str">
            <v>EJ</v>
          </cell>
          <cell r="B160" t="str">
            <v>UZ</v>
          </cell>
          <cell r="C160" t="str">
            <v>H</v>
          </cell>
          <cell r="D160" t="str">
            <v>H</v>
          </cell>
          <cell r="E160">
            <v>1696</v>
          </cell>
          <cell r="F160">
            <v>1032</v>
          </cell>
          <cell r="G160">
            <v>684</v>
          </cell>
          <cell r="H160">
            <v>388</v>
          </cell>
          <cell r="I160">
            <v>684</v>
          </cell>
          <cell r="J160">
            <v>13</v>
          </cell>
          <cell r="K160">
            <v>5.75</v>
          </cell>
          <cell r="L160">
            <v>5.95</v>
          </cell>
          <cell r="M160">
            <v>0.82</v>
          </cell>
          <cell r="N160">
            <v>388</v>
          </cell>
          <cell r="O160">
            <v>0.26</v>
          </cell>
          <cell r="P160">
            <v>0.1</v>
          </cell>
          <cell r="Q160">
            <v>14.53</v>
          </cell>
          <cell r="R160">
            <v>1011</v>
          </cell>
          <cell r="S160">
            <v>13</v>
          </cell>
          <cell r="T160">
            <v>13</v>
          </cell>
          <cell r="U160">
            <v>5.75</v>
          </cell>
          <cell r="V160">
            <v>5.95</v>
          </cell>
          <cell r="W160">
            <v>0.82</v>
          </cell>
          <cell r="X160">
            <v>0.71</v>
          </cell>
          <cell r="Y160">
            <v>0.26</v>
          </cell>
          <cell r="Z160">
            <v>0.1</v>
          </cell>
          <cell r="AA160">
            <v>14.53</v>
          </cell>
          <cell r="AB160">
            <v>1011</v>
          </cell>
          <cell r="AC160">
            <v>34.212499999999999</v>
          </cell>
          <cell r="AD160">
            <v>10.66</v>
          </cell>
          <cell r="AE160">
            <v>9.23</v>
          </cell>
          <cell r="AF160">
            <v>3.38</v>
          </cell>
          <cell r="AG160">
            <v>643</v>
          </cell>
          <cell r="AH160">
            <v>188.89</v>
          </cell>
          <cell r="AI160">
            <v>117.5125</v>
          </cell>
          <cell r="AJ160">
            <v>26.64</v>
          </cell>
          <cell r="AK160">
            <v>32.700000000000003</v>
          </cell>
          <cell r="AL160">
            <v>5</v>
          </cell>
          <cell r="AM160">
            <v>6</v>
          </cell>
          <cell r="AN160">
            <v>19.75</v>
          </cell>
          <cell r="AO160">
            <v>5.95</v>
          </cell>
          <cell r="AP160">
            <v>4.4400000000000004</v>
          </cell>
          <cell r="AQ160">
            <v>6.54</v>
          </cell>
          <cell r="AR160">
            <v>0.73</v>
          </cell>
          <cell r="AS160">
            <v>0.13</v>
          </cell>
          <cell r="AT160">
            <v>13.068926836034599</v>
          </cell>
          <cell r="AU160">
            <v>34.212499999999999</v>
          </cell>
          <cell r="AV160">
            <v>10.66</v>
          </cell>
          <cell r="AW160">
            <v>9.23</v>
          </cell>
          <cell r="AX160">
            <v>3.38</v>
          </cell>
          <cell r="AY160">
            <v>0.57500000000000007</v>
          </cell>
          <cell r="AZ160">
            <v>188.89</v>
          </cell>
          <cell r="BA160">
            <v>117.5125</v>
          </cell>
          <cell r="BB160">
            <v>26.64</v>
          </cell>
          <cell r="BC160">
            <v>32.700000000000003</v>
          </cell>
          <cell r="BD160">
            <v>4.38</v>
          </cell>
          <cell r="BE160">
            <v>2.5674999999999999</v>
          </cell>
          <cell r="BF160">
            <v>65.344634180172989</v>
          </cell>
          <cell r="BG160">
            <v>6.9515604121750673E-5</v>
          </cell>
          <cell r="BH160">
            <v>9.9365000000000006</v>
          </cell>
        </row>
        <row r="161">
          <cell r="A161" t="str">
            <v>LA</v>
          </cell>
          <cell r="B161" t="str">
            <v>XC</v>
          </cell>
          <cell r="C161" t="str">
            <v>H</v>
          </cell>
          <cell r="D161" t="str">
            <v>H</v>
          </cell>
          <cell r="E161">
            <v>1674</v>
          </cell>
          <cell r="F161">
            <v>795</v>
          </cell>
          <cell r="G161">
            <v>1201</v>
          </cell>
          <cell r="H161">
            <v>671</v>
          </cell>
          <cell r="I161">
            <v>1201</v>
          </cell>
          <cell r="J161">
            <v>23</v>
          </cell>
          <cell r="K161">
            <v>16.75</v>
          </cell>
          <cell r="L161">
            <v>6.21</v>
          </cell>
          <cell r="M161">
            <v>1.03</v>
          </cell>
          <cell r="N161">
            <v>671</v>
          </cell>
          <cell r="O161">
            <v>0.7</v>
          </cell>
          <cell r="P161">
            <v>0.45</v>
          </cell>
          <cell r="Q161">
            <v>33.4</v>
          </cell>
          <cell r="R161">
            <v>473</v>
          </cell>
          <cell r="S161">
            <v>23</v>
          </cell>
          <cell r="T161">
            <v>23</v>
          </cell>
          <cell r="U161">
            <v>16.75</v>
          </cell>
          <cell r="V161">
            <v>6.21</v>
          </cell>
          <cell r="W161">
            <v>1.03</v>
          </cell>
          <cell r="X161">
            <v>3.19</v>
          </cell>
          <cell r="Y161">
            <v>0.7</v>
          </cell>
          <cell r="Z161">
            <v>0.45</v>
          </cell>
          <cell r="AA161">
            <v>33.4</v>
          </cell>
          <cell r="AB161">
            <v>473</v>
          </cell>
          <cell r="AC161">
            <v>104.0175</v>
          </cell>
          <cell r="AD161">
            <v>23.69</v>
          </cell>
          <cell r="AE161">
            <v>73.37</v>
          </cell>
          <cell r="AF161">
            <v>16.099999999999998</v>
          </cell>
          <cell r="AG161">
            <v>124</v>
          </cell>
          <cell r="AH161">
            <v>768.19999999999993</v>
          </cell>
          <cell r="AI161">
            <v>163.01249999999999</v>
          </cell>
          <cell r="AJ161">
            <v>17.760000000000002</v>
          </cell>
          <cell r="AK161">
            <v>29.880000000000003</v>
          </cell>
          <cell r="AL161">
            <v>3</v>
          </cell>
          <cell r="AM161">
            <v>4</v>
          </cell>
          <cell r="AN161">
            <v>26.25</v>
          </cell>
          <cell r="AO161">
            <v>6.21</v>
          </cell>
          <cell r="AP161">
            <v>4.4400000000000004</v>
          </cell>
          <cell r="AQ161">
            <v>9.9600000000000009</v>
          </cell>
          <cell r="AR161">
            <v>0.67</v>
          </cell>
          <cell r="AS161">
            <v>0.4</v>
          </cell>
          <cell r="AT161">
            <v>14.53</v>
          </cell>
          <cell r="AU161">
            <v>104.0175</v>
          </cell>
          <cell r="AV161">
            <v>23.69</v>
          </cell>
          <cell r="AW161">
            <v>73.37</v>
          </cell>
          <cell r="AX161">
            <v>16.099999999999998</v>
          </cell>
          <cell r="AY161">
            <v>7.5375000000000005</v>
          </cell>
          <cell r="AZ161">
            <v>768.19999999999993</v>
          </cell>
          <cell r="BA161">
            <v>163.01249999999999</v>
          </cell>
          <cell r="BB161">
            <v>17.760000000000002</v>
          </cell>
          <cell r="BC161">
            <v>29.880000000000003</v>
          </cell>
          <cell r="BD161">
            <v>2.68</v>
          </cell>
          <cell r="BE161">
            <v>10.5</v>
          </cell>
          <cell r="BF161">
            <v>43.589999999999996</v>
          </cell>
          <cell r="BG161">
            <v>6.8613868690926079E-5</v>
          </cell>
          <cell r="BH161">
            <v>10.370699999999999</v>
          </cell>
        </row>
        <row r="162">
          <cell r="A162" t="str">
            <v>LA</v>
          </cell>
          <cell r="B162" t="str">
            <v>BO</v>
          </cell>
          <cell r="C162" t="str">
            <v>H</v>
          </cell>
          <cell r="D162" t="str">
            <v>H</v>
          </cell>
          <cell r="E162">
            <v>1651</v>
          </cell>
          <cell r="F162">
            <v>818</v>
          </cell>
          <cell r="G162">
            <v>721</v>
          </cell>
          <cell r="H162">
            <v>427</v>
          </cell>
          <cell r="I162">
            <v>721</v>
          </cell>
          <cell r="J162">
            <v>17</v>
          </cell>
          <cell r="K162">
            <v>8.25</v>
          </cell>
          <cell r="L162">
            <v>7.07</v>
          </cell>
          <cell r="M162">
            <v>1.29</v>
          </cell>
          <cell r="N162">
            <v>427</v>
          </cell>
          <cell r="O162">
            <v>0.33</v>
          </cell>
          <cell r="P162">
            <v>0.18</v>
          </cell>
          <cell r="Q162">
            <v>24.26</v>
          </cell>
          <cell r="R162">
            <v>931</v>
          </cell>
          <cell r="S162">
            <v>17</v>
          </cell>
          <cell r="T162">
            <v>17</v>
          </cell>
          <cell r="U162">
            <v>8.25</v>
          </cell>
          <cell r="V162">
            <v>7.07</v>
          </cell>
          <cell r="W162">
            <v>1.29</v>
          </cell>
          <cell r="X162">
            <v>1.36</v>
          </cell>
          <cell r="Y162">
            <v>0.33</v>
          </cell>
          <cell r="Z162">
            <v>0.18</v>
          </cell>
          <cell r="AA162">
            <v>24.26</v>
          </cell>
          <cell r="AB162">
            <v>931</v>
          </cell>
          <cell r="AC162">
            <v>58.327500000000001</v>
          </cell>
          <cell r="AD162">
            <v>21.93</v>
          </cell>
          <cell r="AE162">
            <v>23.12</v>
          </cell>
          <cell r="AF162">
            <v>5.61</v>
          </cell>
          <cell r="AG162">
            <v>391</v>
          </cell>
          <cell r="AH162">
            <v>412.42</v>
          </cell>
          <cell r="AI162">
            <v>212.10000000000002</v>
          </cell>
          <cell r="AJ162">
            <v>43.19</v>
          </cell>
          <cell r="AK162">
            <v>37.380000000000003</v>
          </cell>
          <cell r="AL162">
            <v>6</v>
          </cell>
          <cell r="AM162">
            <v>7</v>
          </cell>
          <cell r="AN162">
            <v>30</v>
          </cell>
          <cell r="AO162">
            <v>7.07</v>
          </cell>
          <cell r="AP162">
            <v>6.17</v>
          </cell>
          <cell r="AQ162">
            <v>6.23</v>
          </cell>
          <cell r="AR162">
            <v>1.1200000000000001</v>
          </cell>
          <cell r="AS162">
            <v>0.12</v>
          </cell>
          <cell r="AT162">
            <v>14.53</v>
          </cell>
          <cell r="AU162">
            <v>58.327500000000001</v>
          </cell>
          <cell r="AV162">
            <v>21.93</v>
          </cell>
          <cell r="AW162">
            <v>23.12</v>
          </cell>
          <cell r="AX162">
            <v>5.61</v>
          </cell>
          <cell r="AY162">
            <v>1.4849999999999999</v>
          </cell>
          <cell r="AZ162">
            <v>412.42</v>
          </cell>
          <cell r="BA162">
            <v>212.10000000000002</v>
          </cell>
          <cell r="BB162">
            <v>43.19</v>
          </cell>
          <cell r="BC162">
            <v>37.380000000000003</v>
          </cell>
          <cell r="BD162">
            <v>7.8400000000000007</v>
          </cell>
          <cell r="BE162">
            <v>3.5999999999999996</v>
          </cell>
          <cell r="BF162">
            <v>87.179999999999993</v>
          </cell>
          <cell r="BG162">
            <v>6.7671145285973095E-5</v>
          </cell>
          <cell r="BH162">
            <v>11.806900000000001</v>
          </cell>
        </row>
        <row r="163">
          <cell r="A163" t="str">
            <v>US</v>
          </cell>
          <cell r="B163" t="str">
            <v>AS</v>
          </cell>
          <cell r="C163" t="str">
            <v>H</v>
          </cell>
          <cell r="D163" t="str">
            <v>H</v>
          </cell>
          <cell r="E163">
            <v>1549</v>
          </cell>
          <cell r="F163">
            <v>639</v>
          </cell>
          <cell r="G163">
            <v>363</v>
          </cell>
          <cell r="H163">
            <v>198</v>
          </cell>
          <cell r="I163">
            <v>363</v>
          </cell>
          <cell r="J163">
            <v>9</v>
          </cell>
          <cell r="K163">
            <v>2.25</v>
          </cell>
          <cell r="L163">
            <v>4.24</v>
          </cell>
          <cell r="M163">
            <v>0.57999999999999996</v>
          </cell>
          <cell r="N163">
            <v>198</v>
          </cell>
          <cell r="O163">
            <v>1.05</v>
          </cell>
          <cell r="P163">
            <v>0.15</v>
          </cell>
          <cell r="Q163">
            <v>10.28</v>
          </cell>
          <cell r="R163">
            <v>1187</v>
          </cell>
          <cell r="S163">
            <v>9</v>
          </cell>
          <cell r="T163">
            <v>9</v>
          </cell>
          <cell r="U163">
            <v>2.25</v>
          </cell>
          <cell r="V163">
            <v>4.24</v>
          </cell>
          <cell r="W163">
            <v>0.57999999999999996</v>
          </cell>
          <cell r="X163">
            <v>4.1100000000000003</v>
          </cell>
          <cell r="Y163">
            <v>1.05</v>
          </cell>
          <cell r="Z163">
            <v>0.15</v>
          </cell>
          <cell r="AA163">
            <v>10.28</v>
          </cell>
          <cell r="AB163">
            <v>1187</v>
          </cell>
          <cell r="AC163">
            <v>9.5400000000000009</v>
          </cell>
          <cell r="AD163">
            <v>5.22</v>
          </cell>
          <cell r="AE163">
            <v>36.99</v>
          </cell>
          <cell r="AF163">
            <v>9.4500000000000011</v>
          </cell>
          <cell r="AG163">
            <v>441</v>
          </cell>
          <cell r="AH163">
            <v>92.52</v>
          </cell>
          <cell r="AI163">
            <v>439.875</v>
          </cell>
          <cell r="AJ163">
            <v>24.55</v>
          </cell>
          <cell r="AK163">
            <v>92</v>
          </cell>
          <cell r="AL163">
            <v>4</v>
          </cell>
          <cell r="AM163">
            <v>5</v>
          </cell>
          <cell r="AN163">
            <v>103.5</v>
          </cell>
          <cell r="AO163">
            <v>4.25</v>
          </cell>
          <cell r="AP163">
            <v>4.91</v>
          </cell>
          <cell r="AQ163">
            <v>23</v>
          </cell>
          <cell r="AR163">
            <v>2.4900000000000002</v>
          </cell>
          <cell r="AS163">
            <v>0.15</v>
          </cell>
          <cell r="AT163">
            <v>14.53</v>
          </cell>
          <cell r="AU163">
            <v>9.5400000000000009</v>
          </cell>
          <cell r="AV163">
            <v>5.22</v>
          </cell>
          <cell r="AW163">
            <v>36.99</v>
          </cell>
          <cell r="AX163">
            <v>9.4500000000000011</v>
          </cell>
          <cell r="AY163">
            <v>0.33749999999999997</v>
          </cell>
          <cell r="AZ163">
            <v>92.52</v>
          </cell>
          <cell r="BA163">
            <v>439.875</v>
          </cell>
          <cell r="BB163">
            <v>24.55</v>
          </cell>
          <cell r="BC163">
            <v>92</v>
          </cell>
          <cell r="BD163">
            <v>12.450000000000001</v>
          </cell>
          <cell r="BE163">
            <v>15.524999999999999</v>
          </cell>
          <cell r="BF163">
            <v>58.12</v>
          </cell>
          <cell r="BG163">
            <v>6.3490371924877239E-5</v>
          </cell>
          <cell r="BH163">
            <v>7.0975000000000001</v>
          </cell>
        </row>
        <row r="164">
          <cell r="A164" t="str">
            <v>EC</v>
          </cell>
          <cell r="B164" t="str">
            <v>BW</v>
          </cell>
          <cell r="C164" t="str">
            <v>H</v>
          </cell>
          <cell r="D164" t="str">
            <v>H</v>
          </cell>
          <cell r="E164">
            <v>1538</v>
          </cell>
          <cell r="F164">
            <v>857</v>
          </cell>
          <cell r="G164">
            <v>458</v>
          </cell>
          <cell r="H164">
            <v>240</v>
          </cell>
          <cell r="I164">
            <v>458</v>
          </cell>
          <cell r="J164">
            <v>17</v>
          </cell>
          <cell r="K164">
            <v>4.75</v>
          </cell>
          <cell r="L164">
            <v>6.56</v>
          </cell>
          <cell r="M164">
            <v>0.12</v>
          </cell>
          <cell r="N164">
            <v>240</v>
          </cell>
          <cell r="O164">
            <v>0.14000000000000001</v>
          </cell>
          <cell r="P164">
            <v>0.01</v>
          </cell>
          <cell r="Q164">
            <v>23.44</v>
          </cell>
          <cell r="R164">
            <v>1081</v>
          </cell>
          <cell r="S164">
            <v>17</v>
          </cell>
          <cell r="T164">
            <v>17</v>
          </cell>
          <cell r="U164">
            <v>4.75</v>
          </cell>
          <cell r="V164">
            <v>6.56</v>
          </cell>
          <cell r="W164">
            <v>0.12</v>
          </cell>
          <cell r="X164">
            <v>0.77</v>
          </cell>
          <cell r="Y164">
            <v>0.14000000000000001</v>
          </cell>
          <cell r="Z164">
            <v>0.01</v>
          </cell>
          <cell r="AA164">
            <v>23.44</v>
          </cell>
          <cell r="AB164">
            <v>1081</v>
          </cell>
          <cell r="AC164">
            <v>31.159999999999997</v>
          </cell>
          <cell r="AD164">
            <v>2.04</v>
          </cell>
          <cell r="AE164">
            <v>13.09</v>
          </cell>
          <cell r="AF164">
            <v>2.3800000000000003</v>
          </cell>
          <cell r="AG164">
            <v>618</v>
          </cell>
          <cell r="AH164">
            <v>398.48</v>
          </cell>
          <cell r="AI164">
            <v>159.07999999999998</v>
          </cell>
          <cell r="AJ164">
            <v>14.85</v>
          </cell>
          <cell r="AK164">
            <v>27.81</v>
          </cell>
          <cell r="AL164">
            <v>9</v>
          </cell>
          <cell r="AM164">
            <v>9</v>
          </cell>
          <cell r="AN164">
            <v>24.25</v>
          </cell>
          <cell r="AO164">
            <v>6.56</v>
          </cell>
          <cell r="AP164">
            <v>1.65</v>
          </cell>
          <cell r="AQ164">
            <v>3.09</v>
          </cell>
          <cell r="AR164">
            <v>0.3</v>
          </cell>
          <cell r="AS164">
            <v>0.14000000000000001</v>
          </cell>
          <cell r="AT164">
            <v>14.47</v>
          </cell>
          <cell r="AU164">
            <v>31.159999999999997</v>
          </cell>
          <cell r="AV164">
            <v>2.04</v>
          </cell>
          <cell r="AW164">
            <v>13.09</v>
          </cell>
          <cell r="AX164">
            <v>2.3800000000000003</v>
          </cell>
          <cell r="AY164">
            <v>4.7500000000000001E-2</v>
          </cell>
          <cell r="AZ164">
            <v>398.48</v>
          </cell>
          <cell r="BA164">
            <v>159.07999999999998</v>
          </cell>
          <cell r="BB164">
            <v>14.85</v>
          </cell>
          <cell r="BC164">
            <v>27.81</v>
          </cell>
          <cell r="BD164">
            <v>2.6999999999999997</v>
          </cell>
          <cell r="BE164">
            <v>3.3950000000000005</v>
          </cell>
          <cell r="BF164">
            <v>130.23000000000002</v>
          </cell>
          <cell r="BG164">
            <v>6.3039504209464942E-5</v>
          </cell>
          <cell r="BH164">
            <v>10.9552</v>
          </cell>
        </row>
        <row r="165">
          <cell r="A165" t="str">
            <v>MX</v>
          </cell>
          <cell r="B165" t="str">
            <v>CU</v>
          </cell>
          <cell r="C165" t="str">
            <v>H</v>
          </cell>
          <cell r="D165" t="str">
            <v>H</v>
          </cell>
          <cell r="E165">
            <v>1484</v>
          </cell>
          <cell r="F165">
            <v>662</v>
          </cell>
          <cell r="G165">
            <v>687</v>
          </cell>
          <cell r="H165">
            <v>312</v>
          </cell>
          <cell r="I165">
            <v>687</v>
          </cell>
          <cell r="J165">
            <v>23</v>
          </cell>
          <cell r="K165">
            <v>6.25</v>
          </cell>
          <cell r="L165">
            <v>4.2</v>
          </cell>
          <cell r="M165">
            <v>0.57999999999999996</v>
          </cell>
          <cell r="N165">
            <v>312</v>
          </cell>
          <cell r="O165">
            <v>0.65</v>
          </cell>
          <cell r="P165">
            <v>0.09</v>
          </cell>
          <cell r="Q165">
            <v>10.28</v>
          </cell>
          <cell r="R165">
            <v>797</v>
          </cell>
          <cell r="S165">
            <v>23</v>
          </cell>
          <cell r="T165">
            <v>23</v>
          </cell>
          <cell r="U165">
            <v>6.25</v>
          </cell>
          <cell r="V165">
            <v>4.2</v>
          </cell>
          <cell r="W165">
            <v>0.57999999999999996</v>
          </cell>
          <cell r="X165">
            <v>4.5</v>
          </cell>
          <cell r="Y165">
            <v>0.65</v>
          </cell>
          <cell r="Z165">
            <v>0.09</v>
          </cell>
          <cell r="AA165">
            <v>10.28</v>
          </cell>
          <cell r="AB165">
            <v>797</v>
          </cell>
          <cell r="AC165">
            <v>26.25</v>
          </cell>
          <cell r="AD165">
            <v>13.34</v>
          </cell>
          <cell r="AE165">
            <v>103.5</v>
          </cell>
          <cell r="AF165">
            <v>14.950000000000001</v>
          </cell>
          <cell r="AG165">
            <v>350</v>
          </cell>
          <cell r="AH165">
            <v>236.44</v>
          </cell>
          <cell r="AI165">
            <v>65.834999999999994</v>
          </cell>
          <cell r="AJ165">
            <v>30.419999999999998</v>
          </cell>
          <cell r="AK165">
            <v>115.38</v>
          </cell>
          <cell r="AL165">
            <v>9</v>
          </cell>
          <cell r="AM165">
            <v>9</v>
          </cell>
          <cell r="AN165">
            <v>15.75</v>
          </cell>
          <cell r="AO165">
            <v>4.18</v>
          </cell>
          <cell r="AP165">
            <v>3.38</v>
          </cell>
          <cell r="AQ165">
            <v>12.82</v>
          </cell>
          <cell r="AR165">
            <v>1.49</v>
          </cell>
          <cell r="AS165">
            <v>0.09</v>
          </cell>
          <cell r="AT165">
            <v>2.1</v>
          </cell>
          <cell r="AU165">
            <v>26.25</v>
          </cell>
          <cell r="AV165">
            <v>13.34</v>
          </cell>
          <cell r="AW165">
            <v>103.5</v>
          </cell>
          <cell r="AX165">
            <v>14.950000000000001</v>
          </cell>
          <cell r="AY165">
            <v>0.5625</v>
          </cell>
          <cell r="AZ165">
            <v>236.44</v>
          </cell>
          <cell r="BA165">
            <v>65.834999999999994</v>
          </cell>
          <cell r="BB165">
            <v>30.419999999999998</v>
          </cell>
          <cell r="BC165">
            <v>115.38</v>
          </cell>
          <cell r="BD165">
            <v>13.41</v>
          </cell>
          <cell r="BE165">
            <v>1.4175</v>
          </cell>
          <cell r="BF165">
            <v>18.900000000000002</v>
          </cell>
          <cell r="BG165">
            <v>6.0826153606531842E-5</v>
          </cell>
          <cell r="BH165">
            <v>6.980599999999999</v>
          </cell>
        </row>
        <row r="166">
          <cell r="A166" t="str">
            <v>LA</v>
          </cell>
          <cell r="B166" t="str">
            <v>GY</v>
          </cell>
          <cell r="C166" t="str">
            <v>H</v>
          </cell>
          <cell r="D166" t="str">
            <v>H</v>
          </cell>
          <cell r="E166">
            <v>1455</v>
          </cell>
          <cell r="F166">
            <v>694</v>
          </cell>
          <cell r="G166">
            <v>921</v>
          </cell>
          <cell r="H166">
            <v>517</v>
          </cell>
          <cell r="I166">
            <v>921</v>
          </cell>
          <cell r="J166">
            <v>19</v>
          </cell>
          <cell r="K166">
            <v>5.75</v>
          </cell>
          <cell r="L166">
            <v>5.08</v>
          </cell>
          <cell r="M166">
            <v>0.98</v>
          </cell>
          <cell r="N166">
            <v>517</v>
          </cell>
          <cell r="O166">
            <v>0.66</v>
          </cell>
          <cell r="P166">
            <v>0.35</v>
          </cell>
          <cell r="Q166">
            <v>15.23</v>
          </cell>
          <cell r="R166">
            <v>534</v>
          </cell>
          <cell r="S166">
            <v>19</v>
          </cell>
          <cell r="T166">
            <v>19</v>
          </cell>
          <cell r="U166">
            <v>5.75</v>
          </cell>
          <cell r="V166">
            <v>5.08</v>
          </cell>
          <cell r="W166">
            <v>0.98</v>
          </cell>
          <cell r="X166">
            <v>1.87</v>
          </cell>
          <cell r="Y166">
            <v>0.66</v>
          </cell>
          <cell r="Z166">
            <v>0.35</v>
          </cell>
          <cell r="AA166">
            <v>15.23</v>
          </cell>
          <cell r="AB166">
            <v>534</v>
          </cell>
          <cell r="AC166">
            <v>29.21</v>
          </cell>
          <cell r="AD166">
            <v>18.62</v>
          </cell>
          <cell r="AE166">
            <v>35.53</v>
          </cell>
          <cell r="AF166">
            <v>12.540000000000001</v>
          </cell>
          <cell r="AG166">
            <v>177</v>
          </cell>
          <cell r="AH166">
            <v>289.37</v>
          </cell>
          <cell r="AI166">
            <v>132.82499999999999</v>
          </cell>
          <cell r="AJ166">
            <v>30.85</v>
          </cell>
          <cell r="AK166">
            <v>35.910000000000004</v>
          </cell>
          <cell r="AL166">
            <v>3</v>
          </cell>
          <cell r="AM166">
            <v>5</v>
          </cell>
          <cell r="AN166">
            <v>26.25</v>
          </cell>
          <cell r="AO166">
            <v>5.0599999999999996</v>
          </cell>
          <cell r="AP166">
            <v>6.17</v>
          </cell>
          <cell r="AQ166">
            <v>11.97</v>
          </cell>
          <cell r="AR166">
            <v>0.78</v>
          </cell>
          <cell r="AS166">
            <v>0.56000000000000005</v>
          </cell>
          <cell r="AT166">
            <v>62.49</v>
          </cell>
          <cell r="AU166">
            <v>29.21</v>
          </cell>
          <cell r="AV166">
            <v>18.62</v>
          </cell>
          <cell r="AW166">
            <v>35.53</v>
          </cell>
          <cell r="AX166">
            <v>12.540000000000001</v>
          </cell>
          <cell r="AY166">
            <v>2.0124999999999997</v>
          </cell>
          <cell r="AZ166">
            <v>289.37</v>
          </cell>
          <cell r="BA166">
            <v>132.82499999999999</v>
          </cell>
          <cell r="BB166">
            <v>30.85</v>
          </cell>
          <cell r="BC166">
            <v>35.910000000000004</v>
          </cell>
          <cell r="BD166">
            <v>3.9000000000000004</v>
          </cell>
          <cell r="BE166">
            <v>14.700000000000001</v>
          </cell>
          <cell r="BF166">
            <v>187.47</v>
          </cell>
          <cell r="BG166">
            <v>5.9637502356808514E-5</v>
          </cell>
          <cell r="BH166">
            <v>8.4501999999999988</v>
          </cell>
        </row>
        <row r="167">
          <cell r="A167" t="str">
            <v>EG</v>
          </cell>
          <cell r="B167" t="str">
            <v>MR</v>
          </cell>
          <cell r="C167" t="str">
            <v>H</v>
          </cell>
          <cell r="D167" t="str">
            <v>H</v>
          </cell>
          <cell r="E167">
            <v>1445</v>
          </cell>
          <cell r="F167">
            <v>1079</v>
          </cell>
          <cell r="G167">
            <v>1005</v>
          </cell>
          <cell r="H167">
            <v>631</v>
          </cell>
          <cell r="I167">
            <v>1005</v>
          </cell>
          <cell r="J167">
            <v>26</v>
          </cell>
          <cell r="K167">
            <v>7</v>
          </cell>
          <cell r="L167">
            <v>8.36</v>
          </cell>
          <cell r="M167">
            <v>0.52</v>
          </cell>
          <cell r="N167">
            <v>631</v>
          </cell>
          <cell r="O167">
            <v>13.068926836034599</v>
          </cell>
          <cell r="P167">
            <v>440</v>
          </cell>
          <cell r="Q167">
            <v>448</v>
          </cell>
          <cell r="R167">
            <v>12</v>
          </cell>
          <cell r="S167">
            <v>26</v>
          </cell>
          <cell r="T167">
            <v>26</v>
          </cell>
          <cell r="U167">
            <v>7</v>
          </cell>
          <cell r="V167">
            <v>8.36</v>
          </cell>
          <cell r="W167">
            <v>0.52</v>
          </cell>
          <cell r="X167">
            <v>3.01</v>
          </cell>
          <cell r="Y167">
            <v>58.519999999999996</v>
          </cell>
          <cell r="Z167">
            <v>13.52</v>
          </cell>
          <cell r="AA167">
            <v>13.068926836034599</v>
          </cell>
          <cell r="AB167">
            <v>440</v>
          </cell>
          <cell r="AC167">
            <v>0</v>
          </cell>
          <cell r="AD167">
            <v>339.79209773689956</v>
          </cell>
          <cell r="AE167">
            <v>58.589999999999996</v>
          </cell>
          <cell r="AF167">
            <v>53.28</v>
          </cell>
          <cell r="AG167">
            <v>448</v>
          </cell>
          <cell r="AH167">
            <v>0</v>
          </cell>
          <cell r="AI167">
            <v>0</v>
          </cell>
          <cell r="AJ167">
            <v>205.32</v>
          </cell>
          <cell r="AK167">
            <v>5.9227622615524608E-5</v>
          </cell>
          <cell r="AL167">
            <v>12</v>
          </cell>
          <cell r="AM167">
            <v>12</v>
          </cell>
          <cell r="AN167">
            <v>7</v>
          </cell>
          <cell r="AO167">
            <v>8.3699999999999992</v>
          </cell>
          <cell r="AP167">
            <v>4.4400000000000004</v>
          </cell>
          <cell r="AQ167">
            <v>9.84</v>
          </cell>
          <cell r="AR167">
            <v>0</v>
          </cell>
          <cell r="AS167">
            <v>0</v>
          </cell>
          <cell r="AT167">
            <v>17.11</v>
          </cell>
          <cell r="AU167">
            <v>58.519999999999996</v>
          </cell>
          <cell r="AV167">
            <v>13.52</v>
          </cell>
          <cell r="AW167">
            <v>78.259999999999991</v>
          </cell>
          <cell r="AX167">
            <v>0</v>
          </cell>
          <cell r="AY167">
            <v>0</v>
          </cell>
          <cell r="AZ167">
            <v>339.79209773689956</v>
          </cell>
          <cell r="BA167">
            <v>58.589999999999996</v>
          </cell>
          <cell r="BB167">
            <v>53.28</v>
          </cell>
          <cell r="BC167">
            <v>118.08</v>
          </cell>
          <cell r="BD167">
            <v>0</v>
          </cell>
          <cell r="BE167">
            <v>0</v>
          </cell>
          <cell r="BF167">
            <v>205.32</v>
          </cell>
          <cell r="BG167">
            <v>5.9227622615524608E-5</v>
          </cell>
          <cell r="BH167">
            <v>13.977899999999998</v>
          </cell>
        </row>
        <row r="168">
          <cell r="A168" t="str">
            <v>EJ</v>
          </cell>
          <cell r="B168" t="str">
            <v>BY</v>
          </cell>
          <cell r="C168" t="str">
            <v>H</v>
          </cell>
          <cell r="D168" t="str">
            <v>H</v>
          </cell>
          <cell r="E168">
            <v>1359</v>
          </cell>
          <cell r="F168">
            <v>613</v>
          </cell>
          <cell r="G168">
            <v>444</v>
          </cell>
          <cell r="H168">
            <v>258</v>
          </cell>
          <cell r="I168">
            <v>444</v>
          </cell>
          <cell r="J168">
            <v>11</v>
          </cell>
          <cell r="K168">
            <v>3.25</v>
          </cell>
          <cell r="L168">
            <v>5.28</v>
          </cell>
          <cell r="M168">
            <v>0.52</v>
          </cell>
          <cell r="N168">
            <v>258</v>
          </cell>
          <cell r="O168">
            <v>0.26</v>
          </cell>
          <cell r="P168">
            <v>0.1</v>
          </cell>
          <cell r="Q168">
            <v>14.53</v>
          </cell>
          <cell r="R168">
            <v>914</v>
          </cell>
          <cell r="S168">
            <v>11</v>
          </cell>
          <cell r="T168">
            <v>11</v>
          </cell>
          <cell r="U168">
            <v>3.25</v>
          </cell>
          <cell r="V168">
            <v>5.28</v>
          </cell>
          <cell r="W168">
            <v>0.52</v>
          </cell>
          <cell r="X168">
            <v>0.73</v>
          </cell>
          <cell r="Y168">
            <v>0.26</v>
          </cell>
          <cell r="Z168">
            <v>0.1</v>
          </cell>
          <cell r="AA168">
            <v>14.53</v>
          </cell>
          <cell r="AB168">
            <v>914</v>
          </cell>
          <cell r="AC168">
            <v>17.16</v>
          </cell>
          <cell r="AD168">
            <v>5.7200000000000006</v>
          </cell>
          <cell r="AE168">
            <v>8.0299999999999994</v>
          </cell>
          <cell r="AF168">
            <v>2.8600000000000003</v>
          </cell>
          <cell r="AG168">
            <v>355</v>
          </cell>
          <cell r="AH168">
            <v>159.82999999999998</v>
          </cell>
          <cell r="AI168">
            <v>288.30500000000001</v>
          </cell>
          <cell r="AJ168">
            <v>17.760000000000002</v>
          </cell>
          <cell r="AK168">
            <v>7.8</v>
          </cell>
          <cell r="AL168">
            <v>2</v>
          </cell>
          <cell r="AM168">
            <v>4</v>
          </cell>
          <cell r="AN168">
            <v>54.5</v>
          </cell>
          <cell r="AO168">
            <v>5.29</v>
          </cell>
          <cell r="AP168">
            <v>4.4400000000000004</v>
          </cell>
          <cell r="AQ168">
            <v>3.9</v>
          </cell>
          <cell r="AR168">
            <v>0.49</v>
          </cell>
          <cell r="AS168">
            <v>0.08</v>
          </cell>
          <cell r="AT168">
            <v>18.43</v>
          </cell>
          <cell r="AU168">
            <v>17.16</v>
          </cell>
          <cell r="AV168">
            <v>5.7200000000000006</v>
          </cell>
          <cell r="AW168">
            <v>8.0299999999999994</v>
          </cell>
          <cell r="AX168">
            <v>2.8600000000000003</v>
          </cell>
          <cell r="AY168">
            <v>0.32500000000000001</v>
          </cell>
          <cell r="AZ168">
            <v>159.82999999999998</v>
          </cell>
          <cell r="BA168">
            <v>288.30500000000001</v>
          </cell>
          <cell r="BB168">
            <v>17.760000000000002</v>
          </cell>
          <cell r="BC168">
            <v>7.8</v>
          </cell>
          <cell r="BD168">
            <v>1.96</v>
          </cell>
          <cell r="BE168">
            <v>4.3600000000000003</v>
          </cell>
          <cell r="BF168">
            <v>36.86</v>
          </cell>
          <cell r="BG168">
            <v>5.5702656840483002E-5</v>
          </cell>
          <cell r="BH168">
            <v>8.8342999999999989</v>
          </cell>
        </row>
        <row r="169">
          <cell r="A169" t="str">
            <v>EK</v>
          </cell>
          <cell r="B169" t="str">
            <v>ER</v>
          </cell>
          <cell r="C169" t="str">
            <v>H</v>
          </cell>
          <cell r="D169" t="str">
            <v>H</v>
          </cell>
          <cell r="E169">
            <v>1315</v>
          </cell>
          <cell r="F169">
            <v>851</v>
          </cell>
          <cell r="G169">
            <v>1096</v>
          </cell>
          <cell r="H169">
            <v>717</v>
          </cell>
          <cell r="I169">
            <v>1096</v>
          </cell>
          <cell r="J169">
            <v>23</v>
          </cell>
          <cell r="K169">
            <v>12.25</v>
          </cell>
          <cell r="L169">
            <v>5.81</v>
          </cell>
          <cell r="M169">
            <v>0.69</v>
          </cell>
          <cell r="N169">
            <v>717</v>
          </cell>
          <cell r="O169">
            <v>0.26</v>
          </cell>
          <cell r="P169">
            <v>0.21</v>
          </cell>
          <cell r="Q169">
            <v>14.53</v>
          </cell>
          <cell r="R169">
            <v>219</v>
          </cell>
          <cell r="S169">
            <v>23</v>
          </cell>
          <cell r="T169">
            <v>23</v>
          </cell>
          <cell r="U169">
            <v>12.25</v>
          </cell>
          <cell r="V169">
            <v>5.81</v>
          </cell>
          <cell r="W169">
            <v>0.69</v>
          </cell>
          <cell r="X169">
            <v>0.73</v>
          </cell>
          <cell r="Y169">
            <v>0.26</v>
          </cell>
          <cell r="Z169">
            <v>0.21</v>
          </cell>
          <cell r="AA169">
            <v>14.53</v>
          </cell>
          <cell r="AB169">
            <v>219</v>
          </cell>
          <cell r="AC169">
            <v>71.172499999999999</v>
          </cell>
          <cell r="AD169">
            <v>15.87</v>
          </cell>
          <cell r="AE169">
            <v>16.79</v>
          </cell>
          <cell r="AF169">
            <v>5.98</v>
          </cell>
          <cell r="AG169">
            <v>134</v>
          </cell>
          <cell r="AH169">
            <v>334.19</v>
          </cell>
          <cell r="AI169">
            <v>8.7149999999999999</v>
          </cell>
          <cell r="AJ169">
            <v>8.8800000000000008</v>
          </cell>
          <cell r="AK169">
            <v>7.7</v>
          </cell>
          <cell r="AL169">
            <v>2</v>
          </cell>
          <cell r="AM169">
            <v>2</v>
          </cell>
          <cell r="AN169">
            <v>1.5</v>
          </cell>
          <cell r="AO169">
            <v>5.81</v>
          </cell>
          <cell r="AP169">
            <v>4.4400000000000004</v>
          </cell>
          <cell r="AQ169">
            <v>3.85</v>
          </cell>
          <cell r="AR169">
            <v>0.41</v>
          </cell>
          <cell r="AS169">
            <v>0.16</v>
          </cell>
          <cell r="AT169">
            <v>26.42</v>
          </cell>
          <cell r="AU169">
            <v>71.172499999999999</v>
          </cell>
          <cell r="AV169">
            <v>15.87</v>
          </cell>
          <cell r="AW169">
            <v>16.79</v>
          </cell>
          <cell r="AX169">
            <v>5.98</v>
          </cell>
          <cell r="AY169">
            <v>2.5724999999999998</v>
          </cell>
          <cell r="AZ169">
            <v>334.19</v>
          </cell>
          <cell r="BA169">
            <v>8.7149999999999999</v>
          </cell>
          <cell r="BB169">
            <v>8.8800000000000008</v>
          </cell>
          <cell r="BC169">
            <v>7.7</v>
          </cell>
          <cell r="BD169">
            <v>0.82</v>
          </cell>
          <cell r="BE169">
            <v>0.24</v>
          </cell>
          <cell r="BF169">
            <v>52.84</v>
          </cell>
          <cell r="BG169">
            <v>5.3899185978833808E-5</v>
          </cell>
          <cell r="BH169">
            <v>9.7026999999999983</v>
          </cell>
        </row>
        <row r="170">
          <cell r="A170" t="str">
            <v>EK</v>
          </cell>
          <cell r="B170" t="str">
            <v>DJ</v>
          </cell>
          <cell r="C170" t="str">
            <v>H</v>
          </cell>
          <cell r="D170" t="str">
            <v>H</v>
          </cell>
          <cell r="E170">
            <v>1294</v>
          </cell>
          <cell r="F170">
            <v>745</v>
          </cell>
          <cell r="G170">
            <v>856</v>
          </cell>
          <cell r="H170">
            <v>558</v>
          </cell>
          <cell r="I170">
            <v>856</v>
          </cell>
          <cell r="J170">
            <v>23</v>
          </cell>
          <cell r="K170">
            <v>9.75</v>
          </cell>
          <cell r="L170">
            <v>3</v>
          </cell>
          <cell r="M170">
            <v>0.19</v>
          </cell>
          <cell r="N170">
            <v>558</v>
          </cell>
          <cell r="O170">
            <v>0.73</v>
          </cell>
          <cell r="P170">
            <v>0.74</v>
          </cell>
          <cell r="Q170">
            <v>14.53</v>
          </cell>
          <cell r="R170">
            <v>438</v>
          </cell>
          <cell r="S170">
            <v>23</v>
          </cell>
          <cell r="T170">
            <v>23</v>
          </cell>
          <cell r="U170">
            <v>9.75</v>
          </cell>
          <cell r="V170">
            <v>3</v>
          </cell>
          <cell r="W170">
            <v>0.19</v>
          </cell>
          <cell r="X170">
            <v>2.0099999999999998</v>
          </cell>
          <cell r="Y170">
            <v>0.73</v>
          </cell>
          <cell r="Z170">
            <v>0.74</v>
          </cell>
          <cell r="AA170">
            <v>14.53</v>
          </cell>
          <cell r="AB170">
            <v>438</v>
          </cell>
          <cell r="AC170">
            <v>29.25</v>
          </cell>
          <cell r="AD170">
            <v>4.37</v>
          </cell>
          <cell r="AE170">
            <v>46.23</v>
          </cell>
          <cell r="AF170">
            <v>16.79</v>
          </cell>
          <cell r="AG170">
            <v>186</v>
          </cell>
          <cell r="AH170">
            <v>334.19</v>
          </cell>
          <cell r="AI170">
            <v>7.5</v>
          </cell>
          <cell r="AJ170">
            <v>9.8999999999999986</v>
          </cell>
          <cell r="AK170">
            <v>84.24</v>
          </cell>
          <cell r="AL170">
            <v>6</v>
          </cell>
          <cell r="AM170">
            <v>6</v>
          </cell>
          <cell r="AN170">
            <v>2.5</v>
          </cell>
          <cell r="AO170">
            <v>3</v>
          </cell>
          <cell r="AP170">
            <v>1.65</v>
          </cell>
          <cell r="AQ170">
            <v>14.04</v>
          </cell>
          <cell r="AR170">
            <v>1.17</v>
          </cell>
          <cell r="AS170">
            <v>0.6</v>
          </cell>
          <cell r="AT170">
            <v>14.53</v>
          </cell>
          <cell r="AU170">
            <v>29.25</v>
          </cell>
          <cell r="AV170">
            <v>4.37</v>
          </cell>
          <cell r="AW170">
            <v>46.23</v>
          </cell>
          <cell r="AX170">
            <v>16.79</v>
          </cell>
          <cell r="AY170">
            <v>7.2149999999999999</v>
          </cell>
          <cell r="AZ170">
            <v>334.19</v>
          </cell>
          <cell r="BA170">
            <v>7.5</v>
          </cell>
          <cell r="BB170">
            <v>9.8999999999999986</v>
          </cell>
          <cell r="BC170">
            <v>84.24</v>
          </cell>
          <cell r="BD170">
            <v>7.02</v>
          </cell>
          <cell r="BE170">
            <v>1.5</v>
          </cell>
          <cell r="BF170">
            <v>87.179999999999993</v>
          </cell>
          <cell r="BG170">
            <v>5.3038438522137605E-5</v>
          </cell>
          <cell r="BH170">
            <v>5.01</v>
          </cell>
        </row>
        <row r="171">
          <cell r="A171" t="str">
            <v>LA</v>
          </cell>
          <cell r="B171" t="str">
            <v>SV</v>
          </cell>
          <cell r="C171" t="str">
            <v>H</v>
          </cell>
          <cell r="D171" t="str">
            <v>H</v>
          </cell>
          <cell r="E171">
            <v>1265</v>
          </cell>
          <cell r="F171">
            <v>834</v>
          </cell>
          <cell r="G171">
            <v>874</v>
          </cell>
          <cell r="H171">
            <v>469</v>
          </cell>
          <cell r="I171">
            <v>874</v>
          </cell>
          <cell r="J171">
            <v>27</v>
          </cell>
          <cell r="K171">
            <v>8.75</v>
          </cell>
          <cell r="L171">
            <v>8.0399999999999991</v>
          </cell>
          <cell r="M171">
            <v>0.77</v>
          </cell>
          <cell r="N171">
            <v>469</v>
          </cell>
          <cell r="O171">
            <v>2.1</v>
          </cell>
          <cell r="P171">
            <v>391</v>
          </cell>
          <cell r="Q171">
            <v>366</v>
          </cell>
          <cell r="R171">
            <v>8</v>
          </cell>
          <cell r="S171">
            <v>27</v>
          </cell>
          <cell r="T171">
            <v>27</v>
          </cell>
          <cell r="U171">
            <v>8.75</v>
          </cell>
          <cell r="V171">
            <v>8.0399999999999991</v>
          </cell>
          <cell r="W171">
            <v>0.77</v>
          </cell>
          <cell r="X171">
            <v>5.89</v>
          </cell>
          <cell r="Y171">
            <v>70.349999999999994</v>
          </cell>
          <cell r="Z171">
            <v>20.79</v>
          </cell>
          <cell r="AA171">
            <v>2.1</v>
          </cell>
          <cell r="AB171">
            <v>391</v>
          </cell>
          <cell r="AC171">
            <v>0</v>
          </cell>
          <cell r="AD171">
            <v>56.7</v>
          </cell>
          <cell r="AE171">
            <v>48.179999999999993</v>
          </cell>
          <cell r="AF171">
            <v>50.64</v>
          </cell>
          <cell r="AG171">
            <v>366</v>
          </cell>
          <cell r="AH171">
            <v>0</v>
          </cell>
          <cell r="AI171">
            <v>0</v>
          </cell>
          <cell r="AJ171">
            <v>220.56</v>
          </cell>
          <cell r="AK171">
            <v>5.1849787272414277E-5</v>
          </cell>
          <cell r="AL171">
            <v>8</v>
          </cell>
          <cell r="AM171">
            <v>8</v>
          </cell>
          <cell r="AN171">
            <v>6</v>
          </cell>
          <cell r="AO171">
            <v>8.0299999999999994</v>
          </cell>
          <cell r="AP171">
            <v>6.33</v>
          </cell>
          <cell r="AQ171">
            <v>11.68</v>
          </cell>
          <cell r="AR171">
            <v>0</v>
          </cell>
          <cell r="AS171">
            <v>0</v>
          </cell>
          <cell r="AT171">
            <v>27.57</v>
          </cell>
          <cell r="AU171">
            <v>70.349999999999994</v>
          </cell>
          <cell r="AV171">
            <v>20.79</v>
          </cell>
          <cell r="AW171">
            <v>159.03</v>
          </cell>
          <cell r="AX171">
            <v>0</v>
          </cell>
          <cell r="AY171">
            <v>0</v>
          </cell>
          <cell r="AZ171">
            <v>56.7</v>
          </cell>
          <cell r="BA171">
            <v>48.179999999999993</v>
          </cell>
          <cell r="BB171">
            <v>50.64</v>
          </cell>
          <cell r="BC171">
            <v>93.44</v>
          </cell>
          <cell r="BD171">
            <v>0</v>
          </cell>
          <cell r="BE171">
            <v>0</v>
          </cell>
          <cell r="BF171">
            <v>220.56</v>
          </cell>
          <cell r="BG171">
            <v>5.1849787272414277E-5</v>
          </cell>
          <cell r="BH171">
            <v>13.410099999999998</v>
          </cell>
        </row>
        <row r="172">
          <cell r="A172" t="str">
            <v>EC</v>
          </cell>
          <cell r="B172" t="str">
            <v>MW</v>
          </cell>
          <cell r="C172" t="str">
            <v>H</v>
          </cell>
          <cell r="D172" t="str">
            <v>H</v>
          </cell>
          <cell r="E172">
            <v>1166</v>
          </cell>
          <cell r="F172">
            <v>760</v>
          </cell>
          <cell r="G172">
            <v>756</v>
          </cell>
          <cell r="H172">
            <v>459</v>
          </cell>
          <cell r="I172">
            <v>756</v>
          </cell>
          <cell r="J172">
            <v>26</v>
          </cell>
          <cell r="K172">
            <v>7</v>
          </cell>
          <cell r="L172">
            <v>6.48</v>
          </cell>
          <cell r="M172">
            <v>0.12</v>
          </cell>
          <cell r="N172">
            <v>459</v>
          </cell>
          <cell r="O172">
            <v>0.65</v>
          </cell>
          <cell r="P172">
            <v>0.15</v>
          </cell>
          <cell r="Q172">
            <v>39.1</v>
          </cell>
          <cell r="R172">
            <v>410</v>
          </cell>
          <cell r="S172">
            <v>26</v>
          </cell>
          <cell r="T172">
            <v>26</v>
          </cell>
          <cell r="U172">
            <v>7</v>
          </cell>
          <cell r="V172">
            <v>6.48</v>
          </cell>
          <cell r="W172">
            <v>0.12</v>
          </cell>
          <cell r="X172">
            <v>1.61</v>
          </cell>
          <cell r="Y172">
            <v>0.65</v>
          </cell>
          <cell r="Z172">
            <v>0.15</v>
          </cell>
          <cell r="AA172">
            <v>39.1</v>
          </cell>
          <cell r="AB172">
            <v>410</v>
          </cell>
          <cell r="AC172">
            <v>45.36</v>
          </cell>
          <cell r="AD172">
            <v>3.12</v>
          </cell>
          <cell r="AE172">
            <v>41.86</v>
          </cell>
          <cell r="AF172">
            <v>16.900000000000002</v>
          </cell>
          <cell r="AG172">
            <v>301</v>
          </cell>
          <cell r="AH172">
            <v>1016.6</v>
          </cell>
          <cell r="AI172">
            <v>24.225000000000001</v>
          </cell>
          <cell r="AJ172">
            <v>4.9499999999999993</v>
          </cell>
          <cell r="AK172">
            <v>4.1999999999999993</v>
          </cell>
          <cell r="AL172">
            <v>3</v>
          </cell>
          <cell r="AM172">
            <v>3</v>
          </cell>
          <cell r="AN172">
            <v>3.75</v>
          </cell>
          <cell r="AO172">
            <v>6.46</v>
          </cell>
          <cell r="AP172">
            <v>1.65</v>
          </cell>
          <cell r="AQ172">
            <v>1.4</v>
          </cell>
          <cell r="AR172">
            <v>0.19</v>
          </cell>
          <cell r="AS172">
            <v>0.09</v>
          </cell>
          <cell r="AT172">
            <v>12.4831254454222</v>
          </cell>
          <cell r="AU172">
            <v>45.36</v>
          </cell>
          <cell r="AV172">
            <v>3.12</v>
          </cell>
          <cell r="AW172">
            <v>41.86</v>
          </cell>
          <cell r="AX172">
            <v>16.900000000000002</v>
          </cell>
          <cell r="AY172">
            <v>1.05</v>
          </cell>
          <cell r="AZ172">
            <v>1016.6</v>
          </cell>
          <cell r="BA172">
            <v>24.225000000000001</v>
          </cell>
          <cell r="BB172">
            <v>4.9499999999999993</v>
          </cell>
          <cell r="BC172">
            <v>4.1999999999999993</v>
          </cell>
          <cell r="BD172">
            <v>0.57000000000000006</v>
          </cell>
          <cell r="BE172">
            <v>0.33749999999999997</v>
          </cell>
          <cell r="BF172">
            <v>37.449376336266596</v>
          </cell>
          <cell r="BG172">
            <v>4.7791977833703593E-5</v>
          </cell>
          <cell r="BH172">
            <v>10.7882</v>
          </cell>
        </row>
        <row r="173">
          <cell r="A173" t="str">
            <v>EC</v>
          </cell>
          <cell r="B173" t="str">
            <v>NA</v>
          </cell>
          <cell r="C173" t="str">
            <v>H</v>
          </cell>
          <cell r="D173" t="str">
            <v>H</v>
          </cell>
          <cell r="E173">
            <v>1107</v>
          </cell>
          <cell r="F173">
            <v>622</v>
          </cell>
          <cell r="G173">
            <v>472</v>
          </cell>
          <cell r="H173">
            <v>287</v>
          </cell>
          <cell r="I173">
            <v>472</v>
          </cell>
          <cell r="J173">
            <v>13</v>
          </cell>
          <cell r="K173">
            <v>3.25</v>
          </cell>
          <cell r="L173">
            <v>6.56</v>
          </cell>
          <cell r="M173">
            <v>0.12</v>
          </cell>
          <cell r="N173">
            <v>287</v>
          </cell>
          <cell r="O173">
            <v>0.32</v>
          </cell>
          <cell r="P173">
            <v>0.1</v>
          </cell>
          <cell r="Q173">
            <v>17.11</v>
          </cell>
          <cell r="R173">
            <v>635</v>
          </cell>
          <cell r="S173">
            <v>13</v>
          </cell>
          <cell r="T173">
            <v>13</v>
          </cell>
          <cell r="U173">
            <v>3.25</v>
          </cell>
          <cell r="V173">
            <v>6.56</v>
          </cell>
          <cell r="W173">
            <v>0.12</v>
          </cell>
          <cell r="X173">
            <v>2.3199999999999998</v>
          </cell>
          <cell r="Y173">
            <v>0.32</v>
          </cell>
          <cell r="Z173">
            <v>0.1</v>
          </cell>
          <cell r="AA173">
            <v>17.11</v>
          </cell>
          <cell r="AB173">
            <v>635</v>
          </cell>
          <cell r="AC173">
            <v>21.32</v>
          </cell>
          <cell r="AD173">
            <v>1.56</v>
          </cell>
          <cell r="AE173">
            <v>30.159999999999997</v>
          </cell>
          <cell r="AF173">
            <v>4.16</v>
          </cell>
          <cell r="AG173">
            <v>335</v>
          </cell>
          <cell r="AH173">
            <v>222.43</v>
          </cell>
          <cell r="AI173">
            <v>72.16</v>
          </cell>
          <cell r="AJ173">
            <v>9.8999999999999986</v>
          </cell>
          <cell r="AK173">
            <v>72.84</v>
          </cell>
          <cell r="AL173">
            <v>6</v>
          </cell>
          <cell r="AM173">
            <v>6</v>
          </cell>
          <cell r="AN173">
            <v>11</v>
          </cell>
          <cell r="AO173">
            <v>6.56</v>
          </cell>
          <cell r="AP173">
            <v>1.65</v>
          </cell>
          <cell r="AQ173">
            <v>12.14</v>
          </cell>
          <cell r="AR173">
            <v>0.32</v>
          </cell>
          <cell r="AS173">
            <v>0.1</v>
          </cell>
          <cell r="AT173">
            <v>21.4</v>
          </cell>
          <cell r="AU173">
            <v>21.32</v>
          </cell>
          <cell r="AV173">
            <v>1.56</v>
          </cell>
          <cell r="AW173">
            <v>30.159999999999997</v>
          </cell>
          <cell r="AX173">
            <v>4.16</v>
          </cell>
          <cell r="AY173">
            <v>0.32500000000000001</v>
          </cell>
          <cell r="AZ173">
            <v>222.43</v>
          </cell>
          <cell r="BA173">
            <v>72.16</v>
          </cell>
          <cell r="BB173">
            <v>9.8999999999999986</v>
          </cell>
          <cell r="BC173">
            <v>72.84</v>
          </cell>
          <cell r="BD173">
            <v>1.92</v>
          </cell>
          <cell r="BE173">
            <v>1.1000000000000001</v>
          </cell>
          <cell r="BF173">
            <v>128.39999999999998</v>
          </cell>
          <cell r="BG173">
            <v>4.5373687360128539E-5</v>
          </cell>
          <cell r="BH173">
            <v>10.9552</v>
          </cell>
        </row>
        <row r="174">
          <cell r="A174" t="str">
            <v>EU</v>
          </cell>
          <cell r="B174" t="str">
            <v>IS</v>
          </cell>
          <cell r="C174" t="str">
            <v>H</v>
          </cell>
          <cell r="D174" t="str">
            <v>H</v>
          </cell>
          <cell r="E174">
            <v>1088</v>
          </cell>
          <cell r="F174">
            <v>502</v>
          </cell>
          <cell r="G174">
            <v>317</v>
          </cell>
          <cell r="H174">
            <v>129</v>
          </cell>
          <cell r="I174">
            <v>317</v>
          </cell>
          <cell r="J174">
            <v>13</v>
          </cell>
          <cell r="K174">
            <v>3.75</v>
          </cell>
          <cell r="L174">
            <v>4.2</v>
          </cell>
          <cell r="M174">
            <v>0.52</v>
          </cell>
          <cell r="N174">
            <v>129</v>
          </cell>
          <cell r="O174">
            <v>0.9</v>
          </cell>
          <cell r="P174">
            <v>0.15</v>
          </cell>
          <cell r="Q174">
            <v>16.079999999999998</v>
          </cell>
          <cell r="R174">
            <v>771</v>
          </cell>
          <cell r="S174">
            <v>13</v>
          </cell>
          <cell r="T174">
            <v>13</v>
          </cell>
          <cell r="U174">
            <v>3.75</v>
          </cell>
          <cell r="V174">
            <v>4.2</v>
          </cell>
          <cell r="W174">
            <v>0.52</v>
          </cell>
          <cell r="X174">
            <v>2.46</v>
          </cell>
          <cell r="Y174">
            <v>0.9</v>
          </cell>
          <cell r="Z174">
            <v>0.15</v>
          </cell>
          <cell r="AA174">
            <v>16.079999999999998</v>
          </cell>
          <cell r="AB174">
            <v>771</v>
          </cell>
          <cell r="AC174">
            <v>15.75</v>
          </cell>
          <cell r="AD174">
            <v>6.76</v>
          </cell>
          <cell r="AE174">
            <v>31.98</v>
          </cell>
          <cell r="AF174">
            <v>11.700000000000001</v>
          </cell>
          <cell r="AG174">
            <v>372</v>
          </cell>
          <cell r="AH174">
            <v>209.03999999999996</v>
          </cell>
          <cell r="AI174">
            <v>73.325000000000003</v>
          </cell>
          <cell r="AJ174">
            <v>35.520000000000003</v>
          </cell>
          <cell r="AK174">
            <v>66.08</v>
          </cell>
          <cell r="AL174">
            <v>8</v>
          </cell>
          <cell r="AM174">
            <v>8</v>
          </cell>
          <cell r="AN174">
            <v>17.5</v>
          </cell>
          <cell r="AO174">
            <v>4.1900000000000004</v>
          </cell>
          <cell r="AP174">
            <v>4.4400000000000004</v>
          </cell>
          <cell r="AQ174">
            <v>8.26</v>
          </cell>
          <cell r="AR174">
            <v>1.93</v>
          </cell>
          <cell r="AS174">
            <v>0.15</v>
          </cell>
          <cell r="AT174">
            <v>15.26</v>
          </cell>
          <cell r="AU174">
            <v>15.75</v>
          </cell>
          <cell r="AV174">
            <v>6.76</v>
          </cell>
          <cell r="AW174">
            <v>31.98</v>
          </cell>
          <cell r="AX174">
            <v>11.700000000000001</v>
          </cell>
          <cell r="AY174">
            <v>0.5625</v>
          </cell>
          <cell r="AZ174">
            <v>209.03999999999996</v>
          </cell>
          <cell r="BA174">
            <v>73.325000000000003</v>
          </cell>
          <cell r="BB174">
            <v>35.520000000000003</v>
          </cell>
          <cell r="BC174">
            <v>66.08</v>
          </cell>
          <cell r="BD174">
            <v>15.44</v>
          </cell>
          <cell r="BE174">
            <v>2.625</v>
          </cell>
          <cell r="BF174">
            <v>122.08</v>
          </cell>
          <cell r="BG174">
            <v>4.4594915851689118E-5</v>
          </cell>
          <cell r="BH174">
            <v>6.9973000000000001</v>
          </cell>
        </row>
        <row r="175">
          <cell r="A175" t="str">
            <v>EI</v>
          </cell>
          <cell r="B175" t="str">
            <v>GM</v>
          </cell>
          <cell r="C175" t="str">
            <v>H</v>
          </cell>
          <cell r="D175" t="str">
            <v>H</v>
          </cell>
          <cell r="E175">
            <v>1060</v>
          </cell>
          <cell r="F175">
            <v>558</v>
          </cell>
          <cell r="G175">
            <v>524</v>
          </cell>
          <cell r="H175">
            <v>306</v>
          </cell>
          <cell r="I175">
            <v>524</v>
          </cell>
          <cell r="J175">
            <v>14</v>
          </cell>
          <cell r="K175">
            <v>4.5</v>
          </cell>
          <cell r="L175">
            <v>7.36</v>
          </cell>
          <cell r="M175">
            <v>0.52</v>
          </cell>
          <cell r="N175">
            <v>306</v>
          </cell>
          <cell r="O175">
            <v>0.66</v>
          </cell>
          <cell r="P175">
            <v>0.47</v>
          </cell>
          <cell r="Q175">
            <v>20.8</v>
          </cell>
          <cell r="R175">
            <v>535</v>
          </cell>
          <cell r="S175">
            <v>14</v>
          </cell>
          <cell r="T175">
            <v>14</v>
          </cell>
          <cell r="U175">
            <v>4.5</v>
          </cell>
          <cell r="V175">
            <v>7.36</v>
          </cell>
          <cell r="W175">
            <v>0.52</v>
          </cell>
          <cell r="X175">
            <v>1.44</v>
          </cell>
          <cell r="Y175">
            <v>0.66</v>
          </cell>
          <cell r="Z175">
            <v>0.47</v>
          </cell>
          <cell r="AA175">
            <v>20.8</v>
          </cell>
          <cell r="AB175">
            <v>535</v>
          </cell>
          <cell r="AC175">
            <v>33.120000000000005</v>
          </cell>
          <cell r="AD175">
            <v>7.28</v>
          </cell>
          <cell r="AE175">
            <v>20.16</v>
          </cell>
          <cell r="AF175">
            <v>9.24</v>
          </cell>
          <cell r="AG175">
            <v>252</v>
          </cell>
          <cell r="AH175">
            <v>291.2</v>
          </cell>
          <cell r="AI175">
            <v>34.912500000000001</v>
          </cell>
          <cell r="AJ175">
            <v>31.080000000000002</v>
          </cell>
          <cell r="AK175">
            <v>35.56</v>
          </cell>
          <cell r="AL175">
            <v>7</v>
          </cell>
          <cell r="AM175">
            <v>7</v>
          </cell>
          <cell r="AN175">
            <v>4.75</v>
          </cell>
          <cell r="AO175">
            <v>7.35</v>
          </cell>
          <cell r="AP175">
            <v>4.4400000000000004</v>
          </cell>
          <cell r="AQ175">
            <v>5.08</v>
          </cell>
          <cell r="AR175">
            <v>1.7</v>
          </cell>
          <cell r="AS175">
            <v>0.6</v>
          </cell>
          <cell r="AT175">
            <v>27.57</v>
          </cell>
          <cell r="AU175">
            <v>33.120000000000005</v>
          </cell>
          <cell r="AV175">
            <v>7.28</v>
          </cell>
          <cell r="AW175">
            <v>20.16</v>
          </cell>
          <cell r="AX175">
            <v>9.24</v>
          </cell>
          <cell r="AY175">
            <v>2.1149999999999998</v>
          </cell>
          <cell r="AZ175">
            <v>291.2</v>
          </cell>
          <cell r="BA175">
            <v>34.912500000000001</v>
          </cell>
          <cell r="BB175">
            <v>31.080000000000002</v>
          </cell>
          <cell r="BC175">
            <v>35.56</v>
          </cell>
          <cell r="BD175">
            <v>11.9</v>
          </cell>
          <cell r="BE175">
            <v>2.85</v>
          </cell>
          <cell r="BF175">
            <v>192.99</v>
          </cell>
          <cell r="BG175">
            <v>4.3447252576094174E-5</v>
          </cell>
          <cell r="BH175">
            <v>12.2745</v>
          </cell>
        </row>
        <row r="176">
          <cell r="A176" t="str">
            <v>EJ</v>
          </cell>
          <cell r="B176" t="str">
            <v>AM</v>
          </cell>
          <cell r="C176" t="str">
            <v>H</v>
          </cell>
          <cell r="D176" t="str">
            <v>H</v>
          </cell>
          <cell r="E176">
            <v>1041</v>
          </cell>
          <cell r="F176">
            <v>436</v>
          </cell>
          <cell r="G176">
            <v>559</v>
          </cell>
          <cell r="H176">
            <v>286</v>
          </cell>
          <cell r="I176">
            <v>559</v>
          </cell>
          <cell r="J176">
            <v>20</v>
          </cell>
          <cell r="K176">
            <v>5</v>
          </cell>
          <cell r="L176">
            <v>6.84</v>
          </cell>
          <cell r="M176">
            <v>0.52</v>
          </cell>
          <cell r="N176">
            <v>286</v>
          </cell>
          <cell r="O176">
            <v>0.48</v>
          </cell>
          <cell r="P176">
            <v>0.14000000000000001</v>
          </cell>
          <cell r="Q176">
            <v>14.53</v>
          </cell>
          <cell r="R176">
            <v>482</v>
          </cell>
          <cell r="S176">
            <v>20</v>
          </cell>
          <cell r="T176">
            <v>20</v>
          </cell>
          <cell r="U176">
            <v>5</v>
          </cell>
          <cell r="V176">
            <v>6.84</v>
          </cell>
          <cell r="W176">
            <v>0.52</v>
          </cell>
          <cell r="X176">
            <v>1.35</v>
          </cell>
          <cell r="Y176">
            <v>0.48</v>
          </cell>
          <cell r="Z176">
            <v>0.14000000000000001</v>
          </cell>
          <cell r="AA176">
            <v>14.53</v>
          </cell>
          <cell r="AB176">
            <v>482</v>
          </cell>
          <cell r="AC176">
            <v>34.200000000000003</v>
          </cell>
          <cell r="AD176">
            <v>10.4</v>
          </cell>
          <cell r="AE176">
            <v>27</v>
          </cell>
          <cell r="AF176">
            <v>9.6</v>
          </cell>
          <cell r="AG176">
            <v>150</v>
          </cell>
          <cell r="AH176">
            <v>290.59999999999997</v>
          </cell>
          <cell r="AI176">
            <v>129.77000000000001</v>
          </cell>
          <cell r="AJ176">
            <v>17.760000000000002</v>
          </cell>
          <cell r="AK176">
            <v>34.56</v>
          </cell>
          <cell r="AL176">
            <v>4</v>
          </cell>
          <cell r="AM176">
            <v>4</v>
          </cell>
          <cell r="AN176">
            <v>19</v>
          </cell>
          <cell r="AO176">
            <v>6.83</v>
          </cell>
          <cell r="AP176">
            <v>4.4400000000000004</v>
          </cell>
          <cell r="AQ176">
            <v>8.64</v>
          </cell>
          <cell r="AR176">
            <v>1.05</v>
          </cell>
          <cell r="AS176">
            <v>0.15</v>
          </cell>
          <cell r="AT176">
            <v>78.010000000000005</v>
          </cell>
          <cell r="AU176">
            <v>34.200000000000003</v>
          </cell>
          <cell r="AV176">
            <v>10.4</v>
          </cell>
          <cell r="AW176">
            <v>27</v>
          </cell>
          <cell r="AX176">
            <v>9.6</v>
          </cell>
          <cell r="AY176">
            <v>0.70000000000000007</v>
          </cell>
          <cell r="AZ176">
            <v>290.59999999999997</v>
          </cell>
          <cell r="BA176">
            <v>129.77000000000001</v>
          </cell>
          <cell r="BB176">
            <v>17.760000000000002</v>
          </cell>
          <cell r="BC176">
            <v>34.56</v>
          </cell>
          <cell r="BD176">
            <v>4.2</v>
          </cell>
          <cell r="BE176">
            <v>2.85</v>
          </cell>
          <cell r="BF176">
            <v>312.04000000000002</v>
          </cell>
          <cell r="BG176">
            <v>4.2668481067654752E-5</v>
          </cell>
          <cell r="BH176">
            <v>11.4061</v>
          </cell>
        </row>
        <row r="177">
          <cell r="A177" t="str">
            <v>LA</v>
          </cell>
          <cell r="B177" t="str">
            <v>AW</v>
          </cell>
          <cell r="C177" t="str">
            <v>H</v>
          </cell>
          <cell r="D177" t="str">
            <v>H</v>
          </cell>
          <cell r="E177">
            <v>1006</v>
          </cell>
          <cell r="F177">
            <v>545</v>
          </cell>
          <cell r="G177">
            <v>923</v>
          </cell>
          <cell r="H177">
            <v>508</v>
          </cell>
          <cell r="I177">
            <v>923</v>
          </cell>
          <cell r="J177">
            <v>20</v>
          </cell>
          <cell r="K177">
            <v>6</v>
          </cell>
          <cell r="L177">
            <v>5.08</v>
          </cell>
          <cell r="M177">
            <v>0.98</v>
          </cell>
          <cell r="N177">
            <v>508</v>
          </cell>
          <cell r="O177">
            <v>0.66</v>
          </cell>
          <cell r="P177">
            <v>0.35</v>
          </cell>
          <cell r="Q177">
            <v>15.23</v>
          </cell>
          <cell r="R177">
            <v>83</v>
          </cell>
          <cell r="S177">
            <v>20</v>
          </cell>
          <cell r="T177">
            <v>20</v>
          </cell>
          <cell r="U177">
            <v>6</v>
          </cell>
          <cell r="V177">
            <v>5.08</v>
          </cell>
          <cell r="W177">
            <v>0.98</v>
          </cell>
          <cell r="X177">
            <v>1.87</v>
          </cell>
          <cell r="Y177">
            <v>0.66</v>
          </cell>
          <cell r="Z177">
            <v>0.35</v>
          </cell>
          <cell r="AA177">
            <v>15.23</v>
          </cell>
          <cell r="AB177">
            <v>83</v>
          </cell>
          <cell r="AC177">
            <v>30.48</v>
          </cell>
          <cell r="AD177">
            <v>19.600000000000001</v>
          </cell>
          <cell r="AE177">
            <v>37.400000000000006</v>
          </cell>
          <cell r="AF177">
            <v>13.200000000000001</v>
          </cell>
          <cell r="AG177">
            <v>37</v>
          </cell>
          <cell r="AH177">
            <v>304.60000000000002</v>
          </cell>
          <cell r="AI177">
            <v>1.27</v>
          </cell>
          <cell r="AJ177">
            <v>6.17</v>
          </cell>
          <cell r="AK177">
            <v>11.97</v>
          </cell>
          <cell r="AL177">
            <v>1</v>
          </cell>
          <cell r="AM177">
            <v>1</v>
          </cell>
          <cell r="AN177">
            <v>0.25</v>
          </cell>
          <cell r="AO177">
            <v>5.08</v>
          </cell>
          <cell r="AP177">
            <v>6.17</v>
          </cell>
          <cell r="AQ177">
            <v>11.97</v>
          </cell>
          <cell r="AR177">
            <v>0.78</v>
          </cell>
          <cell r="AS177">
            <v>0.56000000000000005</v>
          </cell>
          <cell r="AT177">
            <v>14.47</v>
          </cell>
          <cell r="AU177">
            <v>30.48</v>
          </cell>
          <cell r="AV177">
            <v>19.600000000000001</v>
          </cell>
          <cell r="AW177">
            <v>37.400000000000006</v>
          </cell>
          <cell r="AX177">
            <v>13.200000000000001</v>
          </cell>
          <cell r="AY177">
            <v>2.0999999999999996</v>
          </cell>
          <cell r="AZ177">
            <v>304.60000000000002</v>
          </cell>
          <cell r="BA177">
            <v>1.27</v>
          </cell>
          <cell r="BB177">
            <v>6.17</v>
          </cell>
          <cell r="BC177">
            <v>11.97</v>
          </cell>
          <cell r="BD177">
            <v>0.78</v>
          </cell>
          <cell r="BE177">
            <v>0.14000000000000001</v>
          </cell>
          <cell r="BF177">
            <v>14.47</v>
          </cell>
          <cell r="BG177">
            <v>4.1233901973161074E-5</v>
          </cell>
          <cell r="BH177">
            <v>8.4835999999999991</v>
          </cell>
        </row>
        <row r="178">
          <cell r="A178" t="str">
            <v>US</v>
          </cell>
          <cell r="B178" t="str">
            <v>MH</v>
          </cell>
          <cell r="C178" t="str">
            <v>H</v>
          </cell>
          <cell r="D178" t="str">
            <v>H</v>
          </cell>
          <cell r="E178">
            <v>986</v>
          </cell>
          <cell r="F178">
            <v>341</v>
          </cell>
          <cell r="G178">
            <v>177</v>
          </cell>
          <cell r="H178">
            <v>116</v>
          </cell>
          <cell r="I178">
            <v>177</v>
          </cell>
          <cell r="J178">
            <v>3</v>
          </cell>
          <cell r="K178">
            <v>2.25</v>
          </cell>
          <cell r="L178">
            <v>4.25</v>
          </cell>
          <cell r="M178">
            <v>0.57999999999999996</v>
          </cell>
          <cell r="N178">
            <v>116</v>
          </cell>
          <cell r="O178">
            <v>1.05</v>
          </cell>
          <cell r="P178">
            <v>0.15</v>
          </cell>
          <cell r="Q178">
            <v>10.28</v>
          </cell>
          <cell r="R178">
            <v>809</v>
          </cell>
          <cell r="S178">
            <v>3</v>
          </cell>
          <cell r="T178">
            <v>3</v>
          </cell>
          <cell r="U178">
            <v>2.25</v>
          </cell>
          <cell r="V178">
            <v>4.25</v>
          </cell>
          <cell r="W178">
            <v>0.57999999999999996</v>
          </cell>
          <cell r="X178">
            <v>4.1100000000000003</v>
          </cell>
          <cell r="Y178">
            <v>1.05</v>
          </cell>
          <cell r="Z178">
            <v>0.15</v>
          </cell>
          <cell r="AA178">
            <v>10.28</v>
          </cell>
          <cell r="AB178">
            <v>809</v>
          </cell>
          <cell r="AC178">
            <v>9.5625</v>
          </cell>
          <cell r="AD178">
            <v>1.7399999999999998</v>
          </cell>
          <cell r="AE178">
            <v>12.330000000000002</v>
          </cell>
          <cell r="AF178">
            <v>3.1500000000000004</v>
          </cell>
          <cell r="AG178">
            <v>226</v>
          </cell>
          <cell r="AH178">
            <v>30.839999999999996</v>
          </cell>
          <cell r="AI178">
            <v>318.75</v>
          </cell>
          <cell r="AJ178">
            <v>21.16</v>
          </cell>
          <cell r="AK178">
            <v>92</v>
          </cell>
          <cell r="AL178">
            <v>4</v>
          </cell>
          <cell r="AM178">
            <v>4</v>
          </cell>
          <cell r="AN178">
            <v>75</v>
          </cell>
          <cell r="AO178">
            <v>4.25</v>
          </cell>
          <cell r="AP178">
            <v>5.29</v>
          </cell>
          <cell r="AQ178">
            <v>23</v>
          </cell>
          <cell r="AR178">
            <v>2.4900000000000002</v>
          </cell>
          <cell r="AS178">
            <v>0.15</v>
          </cell>
          <cell r="AT178">
            <v>14.53</v>
          </cell>
          <cell r="AU178">
            <v>9.5625</v>
          </cell>
          <cell r="AV178">
            <v>1.7399999999999998</v>
          </cell>
          <cell r="AW178">
            <v>12.330000000000002</v>
          </cell>
          <cell r="AX178">
            <v>3.1500000000000004</v>
          </cell>
          <cell r="AY178">
            <v>0.33749999999999997</v>
          </cell>
          <cell r="AZ178">
            <v>30.839999999999996</v>
          </cell>
          <cell r="BA178">
            <v>318.75</v>
          </cell>
          <cell r="BB178">
            <v>21.16</v>
          </cell>
          <cell r="BC178">
            <v>92</v>
          </cell>
          <cell r="BD178">
            <v>9.9600000000000009</v>
          </cell>
          <cell r="BE178">
            <v>11.25</v>
          </cell>
          <cell r="BF178">
            <v>58.12</v>
          </cell>
          <cell r="BG178">
            <v>4.0414142490593262E-5</v>
          </cell>
          <cell r="BH178">
            <v>7.0975000000000001</v>
          </cell>
        </row>
        <row r="179">
          <cell r="A179" t="str">
            <v>LA</v>
          </cell>
          <cell r="B179" t="str">
            <v>NI</v>
          </cell>
          <cell r="C179" t="str">
            <v>H</v>
          </cell>
          <cell r="D179" t="str">
            <v>H</v>
          </cell>
          <cell r="E179">
            <v>918</v>
          </cell>
          <cell r="F179">
            <v>459</v>
          </cell>
          <cell r="G179">
            <v>770</v>
          </cell>
          <cell r="H179">
            <v>394</v>
          </cell>
          <cell r="I179">
            <v>770</v>
          </cell>
          <cell r="J179">
            <v>25</v>
          </cell>
          <cell r="K179">
            <v>8.25</v>
          </cell>
          <cell r="L179">
            <v>8</v>
          </cell>
          <cell r="M179">
            <v>0.77</v>
          </cell>
          <cell r="N179">
            <v>394</v>
          </cell>
          <cell r="O179">
            <v>0.48</v>
          </cell>
          <cell r="P179">
            <v>0.01</v>
          </cell>
          <cell r="Q179">
            <v>69.87</v>
          </cell>
          <cell r="R179">
            <v>148</v>
          </cell>
          <cell r="S179">
            <v>25</v>
          </cell>
          <cell r="T179">
            <v>25</v>
          </cell>
          <cell r="U179">
            <v>8.25</v>
          </cell>
          <cell r="V179">
            <v>8</v>
          </cell>
          <cell r="W179">
            <v>0.77</v>
          </cell>
          <cell r="X179">
            <v>1.58</v>
          </cell>
          <cell r="Y179">
            <v>0.48</v>
          </cell>
          <cell r="Z179">
            <v>0.01</v>
          </cell>
          <cell r="AA179">
            <v>69.87</v>
          </cell>
          <cell r="AB179">
            <v>148</v>
          </cell>
          <cell r="AC179">
            <v>66</v>
          </cell>
          <cell r="AD179">
            <v>19.25</v>
          </cell>
          <cell r="AE179">
            <v>39.5</v>
          </cell>
          <cell r="AF179">
            <v>12</v>
          </cell>
          <cell r="AG179">
            <v>65</v>
          </cell>
          <cell r="AH179">
            <v>1746.75</v>
          </cell>
          <cell r="AI179">
            <v>4</v>
          </cell>
          <cell r="AJ179">
            <v>12.66</v>
          </cell>
          <cell r="AK179">
            <v>10.02</v>
          </cell>
          <cell r="AL179">
            <v>2</v>
          </cell>
          <cell r="AM179">
            <v>2</v>
          </cell>
          <cell r="AN179">
            <v>0.5</v>
          </cell>
          <cell r="AO179">
            <v>8</v>
          </cell>
          <cell r="AP179">
            <v>6.33</v>
          </cell>
          <cell r="AQ179">
            <v>5.01</v>
          </cell>
          <cell r="AR179">
            <v>0.56000000000000005</v>
          </cell>
          <cell r="AS179">
            <v>0.15</v>
          </cell>
          <cell r="AT179">
            <v>15.504378445426299</v>
          </cell>
          <cell r="AU179">
            <v>66</v>
          </cell>
          <cell r="AV179">
            <v>19.25</v>
          </cell>
          <cell r="AW179">
            <v>39.5</v>
          </cell>
          <cell r="AX179">
            <v>12</v>
          </cell>
          <cell r="AY179">
            <v>8.2500000000000004E-2</v>
          </cell>
          <cell r="AZ179">
            <v>1746.75</v>
          </cell>
          <cell r="BA179">
            <v>4</v>
          </cell>
          <cell r="BB179">
            <v>12.66</v>
          </cell>
          <cell r="BC179">
            <v>10.02</v>
          </cell>
          <cell r="BD179">
            <v>1.1200000000000001</v>
          </cell>
          <cell r="BE179">
            <v>7.4999999999999997E-2</v>
          </cell>
          <cell r="BF179">
            <v>31.008756890852599</v>
          </cell>
          <cell r="BG179">
            <v>3.7626960249862693E-5</v>
          </cell>
          <cell r="BH179">
            <v>13.36</v>
          </cell>
        </row>
      </sheetData>
      <sheetData sheetId="5" refreshError="1">
        <row r="5">
          <cell r="B5">
            <v>0</v>
          </cell>
          <cell r="E5">
            <v>0</v>
          </cell>
          <cell r="I5">
            <v>-6.25E-2</v>
          </cell>
          <cell r="M5">
            <v>0.375</v>
          </cell>
        </row>
        <row r="6">
          <cell r="B6">
            <v>0</v>
          </cell>
          <cell r="E6">
            <v>0</v>
          </cell>
          <cell r="I6">
            <v>-0.14400000000000002</v>
          </cell>
          <cell r="M6">
            <v>0.34099999999999997</v>
          </cell>
        </row>
        <row r="7">
          <cell r="B7">
            <v>0</v>
          </cell>
          <cell r="E7">
            <v>0</v>
          </cell>
          <cell r="I7">
            <v>-0.19411764705882362</v>
          </cell>
          <cell r="M7">
            <v>0.32499999999999996</v>
          </cell>
        </row>
        <row r="8">
          <cell r="B8">
            <v>0</v>
          </cell>
          <cell r="E8">
            <v>0</v>
          </cell>
          <cell r="I8">
            <v>-0.21046511627906972</v>
          </cell>
          <cell r="M8">
            <v>0.31569767441860463</v>
          </cell>
        </row>
        <row r="9">
          <cell r="B9">
            <v>0</v>
          </cell>
          <cell r="E9">
            <v>0</v>
          </cell>
          <cell r="I9">
            <v>-0.24134615384615377</v>
          </cell>
          <cell r="M9">
            <v>0.3096153846153844</v>
          </cell>
        </row>
        <row r="10">
          <cell r="B10">
            <v>0</v>
          </cell>
          <cell r="E10">
            <v>0</v>
          </cell>
          <cell r="I10">
            <v>-0.24666666666666659</v>
          </cell>
          <cell r="M10">
            <v>0.30583333333333318</v>
          </cell>
        </row>
        <row r="12">
          <cell r="A12">
            <v>0.5</v>
          </cell>
          <cell r="B12">
            <v>0</v>
          </cell>
          <cell r="G12">
            <v>-8.7999999999999967E-2</v>
          </cell>
          <cell r="I12">
            <v>-9.9999999999999978E-2</v>
          </cell>
          <cell r="K12">
            <v>-2.0000000000000018E-2</v>
          </cell>
          <cell r="M12">
            <v>0.32000000000000006</v>
          </cell>
        </row>
        <row r="13">
          <cell r="A13">
            <v>3</v>
          </cell>
          <cell r="B13">
            <v>0</v>
          </cell>
          <cell r="G13">
            <v>-0.19130434782608696</v>
          </cell>
          <cell r="I13">
            <v>-0.16666666666666663</v>
          </cell>
          <cell r="K13">
            <v>0</v>
          </cell>
          <cell r="M13">
            <v>0.29492753623188395</v>
          </cell>
        </row>
        <row r="14">
          <cell r="A14">
            <v>5</v>
          </cell>
          <cell r="B14">
            <v>0</v>
          </cell>
          <cell r="G14">
            <v>-0.18613861386138608</v>
          </cell>
          <cell r="I14">
            <v>-0.20297029702970293</v>
          </cell>
          <cell r="K14">
            <v>0</v>
          </cell>
          <cell r="M14">
            <v>0.29059405940594063</v>
          </cell>
        </row>
        <row r="15">
          <cell r="A15">
            <v>10</v>
          </cell>
          <cell r="B15">
            <v>0</v>
          </cell>
          <cell r="G15">
            <v>-0.16423841059602651</v>
          </cell>
          <cell r="I15">
            <v>-0.12913907284768211</v>
          </cell>
          <cell r="K15">
            <v>9.9337748344370258E-3</v>
          </cell>
          <cell r="M15">
            <v>0.28708609271523167</v>
          </cell>
        </row>
        <row r="16">
          <cell r="A16">
            <v>15</v>
          </cell>
          <cell r="B16">
            <v>0</v>
          </cell>
          <cell r="G16">
            <v>-0.21361256544502627</v>
          </cell>
          <cell r="I16">
            <v>-6.2827225130890008E-2</v>
          </cell>
          <cell r="K16">
            <v>7.8534031413612926E-3</v>
          </cell>
          <cell r="M16">
            <v>0.28586387434554972</v>
          </cell>
        </row>
        <row r="17">
          <cell r="A17">
            <v>20</v>
          </cell>
          <cell r="B17">
            <v>0</v>
          </cell>
          <cell r="G17">
            <v>-0.24588744588744593</v>
          </cell>
          <cell r="I17">
            <v>-5.6277056277056259E-2</v>
          </cell>
          <cell r="K17">
            <v>6.4935064935065512E-3</v>
          </cell>
          <cell r="M17">
            <v>0.28506493506493524</v>
          </cell>
        </row>
        <row r="18">
          <cell r="A18">
            <v>25</v>
          </cell>
          <cell r="B18">
            <v>0</v>
          </cell>
          <cell r="G18">
            <v>-0.18873239436619715</v>
          </cell>
          <cell r="I18">
            <v>-0.12112676056338023</v>
          </cell>
          <cell r="K18">
            <v>-4.6009389671361478E-2</v>
          </cell>
          <cell r="M18">
            <v>0.28394366197183096</v>
          </cell>
        </row>
        <row r="19">
          <cell r="A19">
            <v>30</v>
          </cell>
          <cell r="B19">
            <v>0</v>
          </cell>
          <cell r="G19">
            <v>-0.18873239436619726</v>
          </cell>
          <cell r="I19">
            <v>-0.22065727699530513</v>
          </cell>
          <cell r="K19">
            <v>-0.13771517996870108</v>
          </cell>
          <cell r="M19">
            <v>0.21079812206572779</v>
          </cell>
        </row>
        <row r="20">
          <cell r="A20">
            <v>50</v>
          </cell>
          <cell r="B20">
            <v>0</v>
          </cell>
          <cell r="G20">
            <v>-5.8536585365853488E-2</v>
          </cell>
          <cell r="I20">
            <v>-0.21219512195121937</v>
          </cell>
          <cell r="K20">
            <v>-0.11829268292682915</v>
          </cell>
          <cell r="M20">
            <v>0.31914634146341481</v>
          </cell>
        </row>
        <row r="21">
          <cell r="A21">
            <v>75</v>
          </cell>
          <cell r="B21">
            <v>0</v>
          </cell>
          <cell r="G21">
            <v>-0.1658536585365854</v>
          </cell>
          <cell r="I21">
            <v>-0.27154471544715442</v>
          </cell>
          <cell r="K21">
            <v>-0.23739837398373986</v>
          </cell>
          <cell r="M21">
            <v>0.19243902439024385</v>
          </cell>
        </row>
        <row r="22">
          <cell r="A22">
            <v>100</v>
          </cell>
          <cell r="B22">
            <v>0</v>
          </cell>
          <cell r="G22">
            <v>-0.17202797202797204</v>
          </cell>
          <cell r="I22">
            <v>-0.19860139860139858</v>
          </cell>
          <cell r="K22">
            <v>-0.19370629370629366</v>
          </cell>
          <cell r="M22">
            <v>0.29489510489510939</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Set>
  </externalBook>
</externalLink>
</file>

<file path=xl/externalLinks/externalLink6.xml><?xml version="1.0" encoding="utf-8"?>
<externalLink xmlns="http://schemas.openxmlformats.org/spreadsheetml/2006/main">
  <externalBook xmlns:r="http://schemas.openxmlformats.org/officeDocument/2006/relationships" r:id="rId1">
    <sheetNames>
      <sheetName val="IB COB"/>
      <sheetName val="IB DDI"/>
      <sheetName val="Country Tables"/>
      <sheetName val="Rate Calculator"/>
      <sheetName val="Multi Piece Weight Calculator"/>
      <sheetName val="Country List"/>
      <sheetName val="IB COB (2)"/>
    </sheetNames>
    <sheetDataSet>
      <sheetData sheetId="0"/>
      <sheetData sheetId="1"/>
      <sheetData sheetId="2">
        <row r="6">
          <cell r="S6" t="str">
            <v>Click here for countries</v>
          </cell>
        </row>
        <row r="7">
          <cell r="S7" t="str">
            <v>Afghanistan</v>
          </cell>
        </row>
        <row r="8">
          <cell r="S8" t="str">
            <v>Albania</v>
          </cell>
        </row>
        <row r="9">
          <cell r="S9" t="str">
            <v>Algeria</v>
          </cell>
        </row>
        <row r="10">
          <cell r="S10" t="str">
            <v>American Samoa</v>
          </cell>
        </row>
        <row r="11">
          <cell r="S11" t="str">
            <v>Andorra</v>
          </cell>
        </row>
        <row r="12">
          <cell r="S12" t="str">
            <v>Angola</v>
          </cell>
        </row>
        <row r="13">
          <cell r="S13" t="str">
            <v>Anguilla</v>
          </cell>
        </row>
        <row r="14">
          <cell r="S14" t="str">
            <v>Antigua</v>
          </cell>
        </row>
        <row r="15">
          <cell r="S15" t="str">
            <v>Argentina</v>
          </cell>
        </row>
        <row r="16">
          <cell r="S16" t="str">
            <v>Armenia</v>
          </cell>
        </row>
        <row r="17">
          <cell r="S17" t="str">
            <v>Aruba</v>
          </cell>
        </row>
        <row r="18">
          <cell r="S18" t="str">
            <v>Australia</v>
          </cell>
        </row>
        <row r="19">
          <cell r="S19" t="str">
            <v>Austria</v>
          </cell>
        </row>
        <row r="20">
          <cell r="S20" t="str">
            <v>Azerbaijan</v>
          </cell>
        </row>
        <row r="21">
          <cell r="S21" t="str">
            <v>Bahamas</v>
          </cell>
        </row>
        <row r="22">
          <cell r="S22" t="str">
            <v>Bahrain</v>
          </cell>
        </row>
        <row r="23">
          <cell r="S23" t="str">
            <v>Bangladesh</v>
          </cell>
        </row>
        <row r="24">
          <cell r="S24" t="str">
            <v>Barbados</v>
          </cell>
        </row>
        <row r="25">
          <cell r="S25" t="str">
            <v>Belarus</v>
          </cell>
        </row>
        <row r="26">
          <cell r="S26" t="str">
            <v>Belgium</v>
          </cell>
        </row>
        <row r="27">
          <cell r="S27" t="str">
            <v>Belize</v>
          </cell>
        </row>
        <row r="28">
          <cell r="S28" t="str">
            <v>Benin</v>
          </cell>
        </row>
        <row r="29">
          <cell r="S29" t="str">
            <v>Bermuda</v>
          </cell>
        </row>
        <row r="30">
          <cell r="S30" t="str">
            <v>Bhutan</v>
          </cell>
        </row>
        <row r="31">
          <cell r="S31" t="str">
            <v>Bolivia</v>
          </cell>
        </row>
        <row r="32">
          <cell r="S32" t="str">
            <v>Bonaire</v>
          </cell>
        </row>
        <row r="33">
          <cell r="S33" t="str">
            <v>Bosnia Herzegovina</v>
          </cell>
        </row>
        <row r="34">
          <cell r="S34" t="str">
            <v>Botswana</v>
          </cell>
        </row>
        <row r="35">
          <cell r="S35" t="str">
            <v>Brazil</v>
          </cell>
        </row>
        <row r="36">
          <cell r="S36" t="str">
            <v>Brunei</v>
          </cell>
        </row>
        <row r="37">
          <cell r="S37" t="str">
            <v>Bulgaria</v>
          </cell>
        </row>
        <row r="38">
          <cell r="S38" t="str">
            <v>Burkina Faso</v>
          </cell>
        </row>
        <row r="39">
          <cell r="S39" t="str">
            <v>Burundi</v>
          </cell>
        </row>
        <row r="40">
          <cell r="S40" t="str">
            <v>Cambodia</v>
          </cell>
        </row>
        <row r="41">
          <cell r="S41" t="str">
            <v>Cameroon</v>
          </cell>
        </row>
        <row r="42">
          <cell r="S42" t="str">
            <v>Canada</v>
          </cell>
        </row>
        <row r="43">
          <cell r="S43" t="str">
            <v>Canary Islands</v>
          </cell>
        </row>
        <row r="44">
          <cell r="S44" t="str">
            <v>Cape Verde Islands</v>
          </cell>
        </row>
        <row r="45">
          <cell r="S45" t="str">
            <v>Cayman Islands</v>
          </cell>
        </row>
        <row r="46">
          <cell r="S46" t="str">
            <v>Central African Rep.</v>
          </cell>
        </row>
        <row r="47">
          <cell r="S47" t="str">
            <v>Chad</v>
          </cell>
        </row>
        <row r="48">
          <cell r="S48" t="str">
            <v>Channel Islands</v>
          </cell>
        </row>
        <row r="49">
          <cell r="S49" t="str">
            <v>Chile</v>
          </cell>
        </row>
        <row r="50">
          <cell r="S50" t="str">
            <v>China, Peoples Rep.</v>
          </cell>
        </row>
        <row r="51">
          <cell r="S51" t="str">
            <v>Colombia</v>
          </cell>
        </row>
        <row r="52">
          <cell r="S52" t="str">
            <v>Comoros Islands</v>
          </cell>
        </row>
        <row r="53">
          <cell r="S53" t="str">
            <v>Congo</v>
          </cell>
        </row>
        <row r="54">
          <cell r="S54" t="str">
            <v>Congo, Dem. Rep.</v>
          </cell>
        </row>
        <row r="55">
          <cell r="S55" t="str">
            <v>Cook Islands</v>
          </cell>
        </row>
        <row r="56">
          <cell r="S56" t="str">
            <v>Costa Rica</v>
          </cell>
        </row>
        <row r="57">
          <cell r="S57" t="str">
            <v>Croatia</v>
          </cell>
        </row>
        <row r="58">
          <cell r="S58" t="str">
            <v>Cuba</v>
          </cell>
        </row>
        <row r="59">
          <cell r="S59" t="str">
            <v>Curacao</v>
          </cell>
        </row>
        <row r="60">
          <cell r="S60" t="str">
            <v>Cyprus</v>
          </cell>
        </row>
        <row r="61">
          <cell r="S61" t="str">
            <v>Czech Republic</v>
          </cell>
        </row>
        <row r="62">
          <cell r="S62" t="str">
            <v>Denmark</v>
          </cell>
        </row>
        <row r="63">
          <cell r="S63" t="str">
            <v>Djibouti</v>
          </cell>
        </row>
        <row r="64">
          <cell r="S64" t="str">
            <v>Dominica</v>
          </cell>
        </row>
        <row r="65">
          <cell r="S65" t="str">
            <v>Dominican Rep.</v>
          </cell>
        </row>
        <row r="66">
          <cell r="S66" t="str">
            <v>East Timor</v>
          </cell>
        </row>
        <row r="67">
          <cell r="S67" t="str">
            <v>Ecuador</v>
          </cell>
        </row>
        <row r="68">
          <cell r="S68" t="str">
            <v>Egypt</v>
          </cell>
        </row>
        <row r="69">
          <cell r="S69" t="str">
            <v>El Salvador</v>
          </cell>
        </row>
        <row r="70">
          <cell r="S70" t="str">
            <v>Equatorial Guinea</v>
          </cell>
        </row>
        <row r="71">
          <cell r="S71" t="str">
            <v>Eritrea</v>
          </cell>
        </row>
        <row r="72">
          <cell r="S72" t="str">
            <v>Estonia</v>
          </cell>
        </row>
        <row r="73">
          <cell r="S73" t="str">
            <v>Ethiopia</v>
          </cell>
        </row>
        <row r="74">
          <cell r="S74" t="str">
            <v>Falkland Islands</v>
          </cell>
        </row>
        <row r="75">
          <cell r="S75" t="str">
            <v>Faroe Islands</v>
          </cell>
        </row>
        <row r="76">
          <cell r="S76" t="str">
            <v>Fiji</v>
          </cell>
        </row>
        <row r="77">
          <cell r="S77" t="str">
            <v>Finland</v>
          </cell>
        </row>
        <row r="78">
          <cell r="S78" t="str">
            <v>France - All Other Locations</v>
          </cell>
        </row>
        <row r="79">
          <cell r="S79" t="str">
            <v>France - Paris</v>
          </cell>
        </row>
        <row r="80">
          <cell r="S80" t="str">
            <v>French Guiana</v>
          </cell>
        </row>
        <row r="81">
          <cell r="S81" t="str">
            <v>Gabon</v>
          </cell>
        </row>
        <row r="82">
          <cell r="S82" t="str">
            <v>Gambia</v>
          </cell>
        </row>
        <row r="83">
          <cell r="S83" t="str">
            <v>Georgia</v>
          </cell>
        </row>
        <row r="84">
          <cell r="S84" t="str">
            <v>Germany - All Other Locations</v>
          </cell>
        </row>
        <row r="85">
          <cell r="S85" t="str">
            <v>Germany - Cologne</v>
          </cell>
        </row>
        <row r="86">
          <cell r="S86" t="str">
            <v>Germany - Frankfurt</v>
          </cell>
        </row>
        <row r="87">
          <cell r="S87" t="str">
            <v>Ghana</v>
          </cell>
        </row>
        <row r="88">
          <cell r="S88" t="str">
            <v>Gibraltar</v>
          </cell>
        </row>
        <row r="89">
          <cell r="S89" t="str">
            <v>Greece</v>
          </cell>
        </row>
        <row r="90">
          <cell r="S90" t="str">
            <v>Greenland</v>
          </cell>
        </row>
        <row r="91">
          <cell r="S91" t="str">
            <v>Grenada</v>
          </cell>
        </row>
        <row r="92">
          <cell r="S92" t="str">
            <v>Guadeloupe</v>
          </cell>
        </row>
        <row r="93">
          <cell r="S93" t="str">
            <v>Guam</v>
          </cell>
        </row>
        <row r="94">
          <cell r="S94" t="str">
            <v>Guatemala</v>
          </cell>
        </row>
        <row r="95">
          <cell r="S95" t="str">
            <v>Guinea Rep.</v>
          </cell>
        </row>
        <row r="96">
          <cell r="S96" t="str">
            <v>Guinea-Bissau</v>
          </cell>
        </row>
        <row r="97">
          <cell r="S97" t="str">
            <v>Guyana</v>
          </cell>
        </row>
        <row r="98">
          <cell r="S98" t="str">
            <v>Haiti</v>
          </cell>
        </row>
        <row r="99">
          <cell r="S99" t="str">
            <v>Honduras Rep.</v>
          </cell>
        </row>
        <row r="100">
          <cell r="S100" t="str">
            <v>Hong Kong</v>
          </cell>
        </row>
        <row r="101">
          <cell r="S101" t="str">
            <v>Hungary</v>
          </cell>
        </row>
        <row r="102">
          <cell r="S102" t="str">
            <v>Iceland</v>
          </cell>
        </row>
        <row r="103">
          <cell r="S103" t="str">
            <v>India</v>
          </cell>
        </row>
        <row r="104">
          <cell r="S104" t="str">
            <v>Indonesia</v>
          </cell>
        </row>
        <row r="105">
          <cell r="S105" t="str">
            <v>Iran</v>
          </cell>
        </row>
        <row r="106">
          <cell r="S106" t="str">
            <v>Iraq</v>
          </cell>
        </row>
        <row r="107">
          <cell r="S107" t="str">
            <v>Ireland Republic of</v>
          </cell>
        </row>
        <row r="108">
          <cell r="S108" t="str">
            <v>Israel</v>
          </cell>
        </row>
        <row r="109">
          <cell r="S109" t="str">
            <v>Italy</v>
          </cell>
        </row>
        <row r="110">
          <cell r="S110" t="str">
            <v>Ivory Coast</v>
          </cell>
        </row>
        <row r="111">
          <cell r="S111" t="str">
            <v>Jamaica</v>
          </cell>
        </row>
        <row r="112">
          <cell r="S112" t="str">
            <v>Japan</v>
          </cell>
        </row>
        <row r="113">
          <cell r="S113" t="str">
            <v>Jordan</v>
          </cell>
        </row>
        <row r="114">
          <cell r="S114" t="str">
            <v>Kazakhstan</v>
          </cell>
        </row>
        <row r="115">
          <cell r="S115" t="str">
            <v>Kenya</v>
          </cell>
        </row>
        <row r="116">
          <cell r="S116" t="str">
            <v>Kiribati</v>
          </cell>
        </row>
        <row r="117">
          <cell r="S117" t="str">
            <v>Korea, D.P.R of (North)</v>
          </cell>
        </row>
        <row r="118">
          <cell r="S118" t="str">
            <v>Korea, Rep of (South)</v>
          </cell>
        </row>
        <row r="119">
          <cell r="S119" t="str">
            <v>Kosovo</v>
          </cell>
        </row>
        <row r="120">
          <cell r="S120" t="str">
            <v>Kuwait</v>
          </cell>
        </row>
        <row r="121">
          <cell r="S121" t="str">
            <v>Kyrgyzstan</v>
          </cell>
        </row>
        <row r="122">
          <cell r="S122" t="str">
            <v>Laos Peoples Dem. Rep</v>
          </cell>
        </row>
        <row r="123">
          <cell r="S123" t="str">
            <v>Latvia</v>
          </cell>
        </row>
        <row r="124">
          <cell r="S124" t="str">
            <v>Lebanon</v>
          </cell>
        </row>
        <row r="125">
          <cell r="S125" t="str">
            <v>Lesotho</v>
          </cell>
        </row>
        <row r="126">
          <cell r="S126" t="str">
            <v>Liberia</v>
          </cell>
        </row>
        <row r="127">
          <cell r="S127" t="str">
            <v>Libya</v>
          </cell>
        </row>
        <row r="128">
          <cell r="S128" t="str">
            <v>Liechtenstein</v>
          </cell>
        </row>
        <row r="129">
          <cell r="S129" t="str">
            <v>Lithuania</v>
          </cell>
        </row>
        <row r="130">
          <cell r="S130" t="str">
            <v>Luxembourg</v>
          </cell>
        </row>
        <row r="131">
          <cell r="S131" t="str">
            <v>Macau</v>
          </cell>
        </row>
        <row r="132">
          <cell r="S132" t="str">
            <v>Macedonia</v>
          </cell>
        </row>
        <row r="133">
          <cell r="S133" t="str">
            <v>Madagascar</v>
          </cell>
        </row>
        <row r="134">
          <cell r="S134" t="str">
            <v>Malawi</v>
          </cell>
        </row>
        <row r="135">
          <cell r="S135" t="str">
            <v>Malaysia</v>
          </cell>
        </row>
        <row r="136">
          <cell r="S136" t="str">
            <v>Maldives</v>
          </cell>
        </row>
        <row r="137">
          <cell r="S137" t="str">
            <v>Mali</v>
          </cell>
        </row>
        <row r="138">
          <cell r="S138" t="str">
            <v>Malta</v>
          </cell>
        </row>
        <row r="139">
          <cell r="S139" t="str">
            <v>Marshall Islands</v>
          </cell>
        </row>
        <row r="140">
          <cell r="S140" t="str">
            <v>Martinique</v>
          </cell>
        </row>
        <row r="141">
          <cell r="S141" t="str">
            <v>Mauritania</v>
          </cell>
        </row>
        <row r="142">
          <cell r="S142" t="str">
            <v>Mauritius</v>
          </cell>
        </row>
        <row r="143">
          <cell r="S143" t="str">
            <v>Mayotte</v>
          </cell>
        </row>
        <row r="144">
          <cell r="S144" t="str">
            <v>Mexico</v>
          </cell>
        </row>
        <row r="145">
          <cell r="S145" t="str">
            <v>Micronesia, Fed States Of</v>
          </cell>
        </row>
        <row r="146">
          <cell r="S146" t="str">
            <v>Moldova, Rep of</v>
          </cell>
        </row>
        <row r="147">
          <cell r="S147" t="str">
            <v>Monaco</v>
          </cell>
        </row>
        <row r="148">
          <cell r="S148" t="str">
            <v>Mongolia</v>
          </cell>
        </row>
        <row r="149">
          <cell r="S149" t="str">
            <v>Montenegro</v>
          </cell>
        </row>
        <row r="150">
          <cell r="S150" t="str">
            <v>Montserrat</v>
          </cell>
        </row>
        <row r="151">
          <cell r="S151" t="str">
            <v>Morocco</v>
          </cell>
        </row>
        <row r="152">
          <cell r="S152" t="str">
            <v>Mozambique</v>
          </cell>
        </row>
        <row r="153">
          <cell r="S153" t="str">
            <v>Myanmar (Burma)</v>
          </cell>
        </row>
        <row r="154">
          <cell r="S154" t="str">
            <v>Namibia</v>
          </cell>
        </row>
        <row r="155">
          <cell r="S155" t="str">
            <v>Nauru, Rep of</v>
          </cell>
        </row>
        <row r="156">
          <cell r="S156" t="str">
            <v>Nepal</v>
          </cell>
        </row>
        <row r="157">
          <cell r="S157" t="str">
            <v>Netherlands</v>
          </cell>
        </row>
        <row r="158">
          <cell r="S158" t="str">
            <v>Netherlands Antilles</v>
          </cell>
        </row>
        <row r="159">
          <cell r="S159" t="str">
            <v>Nevis</v>
          </cell>
        </row>
        <row r="160">
          <cell r="S160" t="str">
            <v>New Caledonia</v>
          </cell>
        </row>
        <row r="161">
          <cell r="S161" t="str">
            <v>New Zealand</v>
          </cell>
        </row>
        <row r="162">
          <cell r="S162" t="str">
            <v>Nicaragua</v>
          </cell>
        </row>
        <row r="163">
          <cell r="S163" t="str">
            <v>Niger</v>
          </cell>
        </row>
        <row r="164">
          <cell r="S164" t="str">
            <v>Nigeria</v>
          </cell>
        </row>
        <row r="165">
          <cell r="S165" t="str">
            <v>Niue</v>
          </cell>
        </row>
        <row r="166">
          <cell r="S166" t="str">
            <v>Norway</v>
          </cell>
        </row>
        <row r="167">
          <cell r="S167" t="str">
            <v>Oman</v>
          </cell>
        </row>
        <row r="168">
          <cell r="S168" t="str">
            <v>Pakistan</v>
          </cell>
        </row>
        <row r="169">
          <cell r="S169" t="str">
            <v>Palau</v>
          </cell>
        </row>
        <row r="170">
          <cell r="S170" t="str">
            <v>Panama</v>
          </cell>
        </row>
        <row r="171">
          <cell r="S171" t="str">
            <v>Papua New Guinea</v>
          </cell>
        </row>
        <row r="172">
          <cell r="S172" t="str">
            <v>Paraguay</v>
          </cell>
        </row>
        <row r="173">
          <cell r="S173" t="str">
            <v>Peru</v>
          </cell>
        </row>
        <row r="174">
          <cell r="S174" t="str">
            <v>Philippines</v>
          </cell>
        </row>
        <row r="175">
          <cell r="S175" t="str">
            <v>Poland</v>
          </cell>
        </row>
        <row r="176">
          <cell r="S176" t="str">
            <v>Portugal</v>
          </cell>
        </row>
        <row r="177">
          <cell r="S177" t="str">
            <v>Puerto Rico</v>
          </cell>
        </row>
        <row r="178">
          <cell r="S178" t="str">
            <v>Qatar</v>
          </cell>
        </row>
        <row r="179">
          <cell r="S179" t="str">
            <v>Reunion, Island of</v>
          </cell>
        </row>
        <row r="180">
          <cell r="S180" t="str">
            <v>Romania</v>
          </cell>
        </row>
        <row r="181">
          <cell r="S181" t="str">
            <v>Russian Federation</v>
          </cell>
        </row>
        <row r="182">
          <cell r="S182" t="str">
            <v>Rwanda</v>
          </cell>
        </row>
        <row r="183">
          <cell r="S183" t="str">
            <v>Saipan</v>
          </cell>
        </row>
        <row r="184">
          <cell r="S184" t="str">
            <v>Samoa</v>
          </cell>
        </row>
        <row r="185">
          <cell r="S185" t="str">
            <v>San Marino</v>
          </cell>
        </row>
        <row r="186">
          <cell r="S186" t="str">
            <v>Sao Tome &amp; Principe</v>
          </cell>
        </row>
        <row r="187">
          <cell r="S187" t="str">
            <v>Saudi Arabia</v>
          </cell>
        </row>
        <row r="188">
          <cell r="S188" t="str">
            <v>Senegal</v>
          </cell>
        </row>
        <row r="189">
          <cell r="S189" t="str">
            <v>Serbia</v>
          </cell>
        </row>
        <row r="190">
          <cell r="S190" t="str">
            <v>Seychelles</v>
          </cell>
        </row>
        <row r="191">
          <cell r="S191" t="str">
            <v>Sierra Leone</v>
          </cell>
        </row>
        <row r="192">
          <cell r="S192" t="str">
            <v>Singapore</v>
          </cell>
        </row>
        <row r="193">
          <cell r="S193" t="str">
            <v>Slovakia</v>
          </cell>
        </row>
        <row r="194">
          <cell r="S194" t="str">
            <v>Slovenia</v>
          </cell>
        </row>
        <row r="195">
          <cell r="S195" t="str">
            <v>Solomon Islands</v>
          </cell>
        </row>
        <row r="196">
          <cell r="S196" t="str">
            <v>Somalia</v>
          </cell>
        </row>
        <row r="197">
          <cell r="S197" t="str">
            <v>Somaliland Rep. Of</v>
          </cell>
        </row>
        <row r="198">
          <cell r="S198" t="str">
            <v>South Africa</v>
          </cell>
        </row>
        <row r="199">
          <cell r="S199" t="str">
            <v>South Sudan</v>
          </cell>
        </row>
        <row r="200">
          <cell r="S200" t="str">
            <v>Spain</v>
          </cell>
        </row>
        <row r="201">
          <cell r="S201" t="str">
            <v>Sri Lanka</v>
          </cell>
        </row>
        <row r="202">
          <cell r="S202" t="str">
            <v>St Barthelemy</v>
          </cell>
        </row>
        <row r="203">
          <cell r="S203" t="str">
            <v>St Eustatius</v>
          </cell>
        </row>
        <row r="204">
          <cell r="S204" t="str">
            <v>St Helena</v>
          </cell>
        </row>
        <row r="205">
          <cell r="S205" t="str">
            <v>St Kitts</v>
          </cell>
        </row>
        <row r="206">
          <cell r="S206" t="str">
            <v>St Lucia</v>
          </cell>
        </row>
        <row r="207">
          <cell r="S207" t="str">
            <v>St Maarten</v>
          </cell>
        </row>
        <row r="208">
          <cell r="S208" t="str">
            <v>St Vincent</v>
          </cell>
        </row>
        <row r="209">
          <cell r="S209" t="str">
            <v>Sudan</v>
          </cell>
        </row>
        <row r="210">
          <cell r="S210" t="str">
            <v>Suriname</v>
          </cell>
        </row>
        <row r="211">
          <cell r="S211" t="str">
            <v>Swaziland</v>
          </cell>
        </row>
        <row r="212">
          <cell r="S212" t="str">
            <v>Sweden</v>
          </cell>
        </row>
        <row r="213">
          <cell r="S213" t="str">
            <v>Switzerland</v>
          </cell>
        </row>
        <row r="214">
          <cell r="S214" t="str">
            <v>Syria</v>
          </cell>
        </row>
        <row r="215">
          <cell r="S215" t="str">
            <v>Tahiti</v>
          </cell>
        </row>
        <row r="216">
          <cell r="S216" t="str">
            <v>Taiwan</v>
          </cell>
        </row>
        <row r="217">
          <cell r="S217" t="str">
            <v>Tajikistan</v>
          </cell>
        </row>
        <row r="218">
          <cell r="S218" t="str">
            <v>Tanzania</v>
          </cell>
        </row>
        <row r="219">
          <cell r="S219" t="str">
            <v>Thailand</v>
          </cell>
        </row>
        <row r="220">
          <cell r="S220" t="str">
            <v>Togo</v>
          </cell>
        </row>
        <row r="221">
          <cell r="S221" t="str">
            <v>Tonga</v>
          </cell>
        </row>
        <row r="222">
          <cell r="S222" t="str">
            <v>Trinidad &amp; Tobago</v>
          </cell>
        </row>
        <row r="223">
          <cell r="S223" t="str">
            <v>Tunisia</v>
          </cell>
        </row>
        <row r="224">
          <cell r="S224" t="str">
            <v>Turkey</v>
          </cell>
        </row>
        <row r="225">
          <cell r="S225" t="str">
            <v>Turks &amp; Caicos Islands</v>
          </cell>
        </row>
        <row r="226">
          <cell r="S226" t="str">
            <v>Tuvalu</v>
          </cell>
        </row>
        <row r="227">
          <cell r="S227" t="str">
            <v>Uganda</v>
          </cell>
        </row>
        <row r="228">
          <cell r="S228" t="str">
            <v>Ukraine</v>
          </cell>
        </row>
        <row r="229">
          <cell r="S229" t="str">
            <v>United Arab Emirates</v>
          </cell>
        </row>
        <row r="230">
          <cell r="S230" t="str">
            <v>Uruguay</v>
          </cell>
        </row>
        <row r="231">
          <cell r="S231" t="str">
            <v>USA</v>
          </cell>
        </row>
        <row r="232">
          <cell r="S232" t="str">
            <v>Uzbekistan</v>
          </cell>
        </row>
        <row r="233">
          <cell r="S233" t="str">
            <v>Vanuatu</v>
          </cell>
        </row>
        <row r="234">
          <cell r="S234" t="str">
            <v>Venezuela</v>
          </cell>
        </row>
        <row r="235">
          <cell r="S235" t="str">
            <v>Vietnam</v>
          </cell>
        </row>
        <row r="236">
          <cell r="S236" t="str">
            <v>Virgin Islands, British</v>
          </cell>
        </row>
        <row r="237">
          <cell r="S237" t="str">
            <v>Virgin Islands, US</v>
          </cell>
        </row>
        <row r="238">
          <cell r="S238" t="str">
            <v>Yemen</v>
          </cell>
        </row>
        <row r="239">
          <cell r="S239" t="str">
            <v>Zambia</v>
          </cell>
        </row>
        <row r="240">
          <cell r="S240" t="str">
            <v>Zimbabwe</v>
          </cell>
        </row>
      </sheetData>
      <sheetData sheetId="3">
        <row r="27">
          <cell r="U27">
            <v>0.15</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Grayscale">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hyperlink" Target="http://www.dhl.co.uk/en/express/shipping/shipping_advice/express_fuel_surcharge.html" TargetMode="External"/><Relationship Id="rId2"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4633C6"/>
  </sheetPr>
  <dimension ref="A1:L16"/>
  <sheetViews>
    <sheetView showGridLines="0" workbookViewId="0">
      <selection activeCell="C6" sqref="C6:E6"/>
    </sheetView>
  </sheetViews>
  <sheetFormatPr baseColWidth="10" defaultColWidth="9.1640625" defaultRowHeight="12" x14ac:dyDescent="0"/>
  <cols>
    <col min="1" max="1" width="1.33203125" style="406" customWidth="1"/>
    <col min="2" max="2" width="21.5" style="406" customWidth="1"/>
    <col min="3" max="3" width="30.33203125" style="406" customWidth="1"/>
    <col min="4" max="4" width="28.6640625" style="406" customWidth="1"/>
    <col min="5" max="5" width="22" style="406" customWidth="1"/>
    <col min="6" max="6" width="3.5" style="406" customWidth="1"/>
    <col min="7" max="256" width="9.1640625" style="406" customWidth="1"/>
    <col min="257" max="16384" width="9.1640625" style="406"/>
  </cols>
  <sheetData>
    <row r="1" spans="1:12" s="402" customFormat="1" ht="24" customHeight="1">
      <c r="A1" s="398"/>
      <c r="B1" s="399"/>
      <c r="C1" s="400"/>
      <c r="D1" s="401" t="s">
        <v>445</v>
      </c>
      <c r="E1" s="398"/>
      <c r="F1" s="398"/>
    </row>
    <row r="2" spans="1:12" ht="27" customHeight="1">
      <c r="A2" s="403"/>
      <c r="B2" s="403"/>
      <c r="C2" s="404" t="s">
        <v>565</v>
      </c>
      <c r="D2" s="405" t="s">
        <v>448</v>
      </c>
      <c r="E2" s="403"/>
      <c r="F2" s="403"/>
    </row>
    <row r="3" spans="1:12" ht="48.75" customHeight="1">
      <c r="A3" s="407"/>
      <c r="B3" s="408" t="s">
        <v>34</v>
      </c>
      <c r="C3" s="529" t="s">
        <v>4</v>
      </c>
      <c r="D3" s="529"/>
      <c r="E3" s="529"/>
      <c r="F3" s="409"/>
      <c r="G3" s="410"/>
      <c r="H3" s="410"/>
      <c r="I3" s="410"/>
      <c r="J3" s="410"/>
      <c r="K3" s="410"/>
      <c r="L3" s="410"/>
    </row>
    <row r="4" spans="1:12" ht="48.75" customHeight="1">
      <c r="A4" s="407"/>
      <c r="B4" s="408" t="s">
        <v>35</v>
      </c>
      <c r="C4" s="528">
        <v>0.12</v>
      </c>
      <c r="D4" s="528"/>
      <c r="E4" s="528"/>
      <c r="F4" s="411"/>
      <c r="G4" s="412"/>
      <c r="H4" s="410"/>
      <c r="I4" s="410"/>
      <c r="J4" s="410"/>
      <c r="K4" s="410"/>
      <c r="L4" s="410"/>
    </row>
    <row r="5" spans="1:12" ht="48.75" customHeight="1">
      <c r="A5" s="407"/>
      <c r="B5" s="408" t="s">
        <v>37</v>
      </c>
      <c r="C5" s="529" t="s">
        <v>555</v>
      </c>
      <c r="D5" s="529"/>
      <c r="E5" s="529"/>
      <c r="F5" s="409"/>
      <c r="G5" s="410"/>
      <c r="H5" s="410"/>
      <c r="I5" s="410"/>
      <c r="J5" s="410"/>
      <c r="K5" s="410"/>
      <c r="L5" s="410"/>
    </row>
    <row r="6" spans="1:12" ht="48.75" customHeight="1">
      <c r="A6" s="407"/>
      <c r="B6" s="408" t="s">
        <v>36</v>
      </c>
      <c r="C6" s="529">
        <v>1000</v>
      </c>
      <c r="D6" s="529"/>
      <c r="E6" s="529"/>
      <c r="F6" s="409"/>
      <c r="G6" s="410"/>
      <c r="H6" s="410"/>
      <c r="I6" s="410"/>
      <c r="J6" s="410"/>
      <c r="K6" s="410"/>
      <c r="L6" s="410"/>
    </row>
    <row r="7" spans="1:12" ht="19" customHeight="1">
      <c r="A7" s="413"/>
      <c r="B7" s="414"/>
      <c r="C7" s="414"/>
      <c r="D7" s="414"/>
      <c r="E7" s="414"/>
      <c r="F7" s="413"/>
      <c r="G7" s="410"/>
      <c r="H7" s="410"/>
      <c r="I7" s="410"/>
      <c r="J7" s="410"/>
      <c r="K7" s="410"/>
      <c r="L7" s="410"/>
    </row>
    <row r="8" spans="1:12" s="420" customFormat="1" ht="37.5" customHeight="1">
      <c r="A8" s="415"/>
      <c r="B8" s="416"/>
      <c r="C8" s="417"/>
      <c r="D8" s="417" t="s">
        <v>43</v>
      </c>
      <c r="E8" s="418">
        <v>2414.16</v>
      </c>
      <c r="F8" s="415"/>
      <c r="G8" s="419"/>
      <c r="H8" s="419"/>
      <c r="I8" s="419"/>
      <c r="J8" s="419"/>
      <c r="K8" s="419"/>
      <c r="L8" s="419"/>
    </row>
    <row r="9" spans="1:12" ht="9" customHeight="1">
      <c r="A9" s="413"/>
      <c r="B9" s="414"/>
      <c r="C9" s="421"/>
      <c r="D9" s="421"/>
      <c r="E9" s="414"/>
      <c r="F9" s="413"/>
      <c r="G9" s="410"/>
      <c r="H9" s="410"/>
      <c r="I9" s="410"/>
      <c r="J9" s="410"/>
      <c r="K9" s="410"/>
      <c r="L9" s="410"/>
    </row>
    <row r="10" spans="1:12" s="420" customFormat="1" ht="37.5" customHeight="1">
      <c r="A10" s="415"/>
      <c r="B10" s="417"/>
      <c r="C10" s="417"/>
      <c r="D10" s="417" t="s">
        <v>44</v>
      </c>
      <c r="E10" s="418">
        <v>482.83199999999999</v>
      </c>
      <c r="F10" s="415"/>
      <c r="G10" s="419"/>
      <c r="H10" s="419"/>
      <c r="I10" s="419"/>
      <c r="J10" s="419"/>
      <c r="K10" s="419"/>
      <c r="L10" s="419"/>
    </row>
    <row r="11" spans="1:12" ht="9.75" customHeight="1">
      <c r="A11" s="413"/>
      <c r="B11" s="414"/>
      <c r="C11" s="421"/>
      <c r="D11" s="421"/>
      <c r="E11" s="414"/>
      <c r="F11" s="413"/>
      <c r="G11" s="410"/>
      <c r="H11" s="410"/>
      <c r="I11" s="410"/>
      <c r="J11" s="410"/>
      <c r="K11" s="410"/>
      <c r="L11" s="410"/>
    </row>
    <row r="12" spans="1:12" s="420" customFormat="1" ht="37.5" customHeight="1">
      <c r="A12" s="415"/>
      <c r="B12" s="414"/>
      <c r="C12" s="417"/>
      <c r="D12" s="417" t="s">
        <v>45</v>
      </c>
      <c r="E12" s="418">
        <v>2896.9919999999997</v>
      </c>
      <c r="F12" s="415"/>
      <c r="G12" s="419"/>
      <c r="H12" s="419"/>
      <c r="I12" s="419"/>
      <c r="J12" s="419"/>
      <c r="K12" s="419"/>
      <c r="L12" s="419"/>
    </row>
    <row r="13" spans="1:12" ht="65" customHeight="1">
      <c r="A13" s="413"/>
      <c r="B13" s="422"/>
      <c r="C13" s="423"/>
      <c r="D13" s="422"/>
      <c r="E13" s="422"/>
      <c r="F13" s="413"/>
      <c r="G13" s="410"/>
      <c r="H13" s="410"/>
      <c r="I13" s="410"/>
      <c r="J13" s="410"/>
      <c r="K13" s="410"/>
      <c r="L13" s="410"/>
    </row>
    <row r="14" spans="1:12" ht="28">
      <c r="A14" s="413"/>
      <c r="B14" s="424" t="s">
        <v>46</v>
      </c>
      <c r="C14" s="423"/>
      <c r="D14" s="422"/>
      <c r="E14" s="422"/>
      <c r="F14" s="413"/>
    </row>
    <row r="15" spans="1:12" ht="15">
      <c r="A15" s="425"/>
      <c r="B15" s="425"/>
      <c r="C15" s="425"/>
      <c r="D15" s="425"/>
      <c r="E15" s="426" t="s">
        <v>568</v>
      </c>
      <c r="F15" s="425"/>
    </row>
    <row r="16" spans="1:12" ht="13">
      <c r="A16" s="425"/>
      <c r="B16" s="425"/>
      <c r="C16" s="425"/>
      <c r="D16" s="425"/>
      <c r="E16" s="425"/>
      <c r="F16" s="425"/>
    </row>
  </sheetData>
  <sheetProtection password="F2BC" sheet="1" objects="1" scenarios="1" selectLockedCells="1"/>
  <mergeCells count="4">
    <mergeCell ref="C4:E4"/>
    <mergeCell ref="C5:E5"/>
    <mergeCell ref="C6:E6"/>
    <mergeCell ref="C3:E3"/>
  </mergeCells>
  <dataValidations xWindow="409" yWindow="407" count="1">
    <dataValidation type="custom" allowBlank="1" showInputMessage="1" showErrorMessage="1" errorTitle="Invalid input" error="Please enter a valid amount/ number of bottles." sqref="C6:E6">
      <formula1>ISNUMBER(C6)</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xWindow="409" yWindow="407" count="3">
        <x14:dataValidation type="custom" allowBlank="1" showInputMessage="1" showErrorMessage="1" errorTitle="Alc% out of range" error="Please enter a % within the type range." prompt="Select Alcohol %">
          <x14:formula1>
            <xm:f>AND(IF(VLOOKUP(C3,Params!$A:$E,4,FALSE)=0,ISNUMBER(C4),AND(ISNUMBER(C4),C4&gt;=VLOOKUP(C3,Params!$A:$E,4,FALSE))),IF(VLOOKUP(C3,Params!$A:$E,5,FALSE)=0,ISNUMBER(C4),AND(ISNUMBER(C4),C4&lt;=VLOOKUP(C3,Params!$A:$E,5,FALSE))))</xm:f>
          </x14:formula1>
          <xm:sqref>C4:E4</xm:sqref>
        </x14:dataValidation>
        <x14:dataValidation type="list" allowBlank="1" showInputMessage="1" showErrorMessage="1" errorTitle="Invalid input" error="Please enter a valid size (in ml)." prompt="Select bottle size_x000a_">
          <x14:formula1>
            <xm:f>Params!$H$2:$H$22</xm:f>
          </x14:formula1>
          <xm:sqref>C5:E5</xm:sqref>
        </x14:dataValidation>
        <x14:dataValidation type="list" allowBlank="1" showInputMessage="1" showErrorMessage="1" prompt="Select Type">
          <x14:formula1>
            <xm:f>Params!$A$2:$A$18</xm:f>
          </x14:formula1>
          <xm:sqref>C3:E3</xm:sqref>
        </x14:dataValidation>
      </x14:dataValidation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59"/>
  <sheetViews>
    <sheetView topLeftCell="B3" zoomScale="55" zoomScaleNormal="55" zoomScalePageLayoutView="55" workbookViewId="0">
      <selection activeCell="H15" sqref="H15"/>
    </sheetView>
  </sheetViews>
  <sheetFormatPr baseColWidth="10" defaultColWidth="8.83203125" defaultRowHeight="12" x14ac:dyDescent="0"/>
  <cols>
    <col min="1" max="1" width="7.83203125" style="1" hidden="1" customWidth="1"/>
    <col min="2" max="2" width="29.83203125" style="1" customWidth="1"/>
    <col min="3" max="3" width="9.83203125" style="1" bestFit="1" customWidth="1"/>
    <col min="4" max="4" width="2.5" style="1" customWidth="1"/>
    <col min="5" max="5" width="24.1640625" style="1" bestFit="1" customWidth="1"/>
    <col min="6" max="6" width="8.83203125" style="1"/>
    <col min="7" max="7" width="4.1640625" style="1" customWidth="1"/>
    <col min="8" max="8" width="33.1640625" style="6" customWidth="1"/>
    <col min="9" max="9" width="8.83203125" style="6"/>
    <col min="10" max="10" width="2.6640625" style="6" customWidth="1"/>
    <col min="11" max="11" width="21" style="6" customWidth="1"/>
    <col min="12" max="12" width="8.83203125" style="6"/>
    <col min="13" max="13" width="2.83203125" style="6" customWidth="1"/>
    <col min="14" max="14" width="9.1640625" style="6" customWidth="1"/>
    <col min="15" max="15" width="9.1640625" style="1" customWidth="1"/>
    <col min="16" max="16384" width="8.83203125" style="1"/>
  </cols>
  <sheetData>
    <row r="1" spans="1:15" ht="26.25" hidden="1" customHeight="1">
      <c r="A1" s="25"/>
      <c r="B1" s="26" t="s">
        <v>15</v>
      </c>
    </row>
    <row r="2" spans="1:15" ht="27.75" hidden="1" customHeight="1" thickBot="1"/>
    <row r="3" spans="1:15" ht="19" thickTop="1" thickBot="1">
      <c r="B3" s="20" t="s">
        <v>2</v>
      </c>
      <c r="C3" s="21"/>
      <c r="D3" s="21"/>
      <c r="E3" s="21"/>
      <c r="F3" s="21"/>
      <c r="G3" s="22"/>
      <c r="N3" s="6" t="s">
        <v>9</v>
      </c>
      <c r="O3" s="1" t="s">
        <v>10</v>
      </c>
    </row>
    <row r="4" spans="1:15" ht="3.75" customHeight="1" thickTop="1" thickBot="1">
      <c r="B4" s="3"/>
      <c r="C4" s="4"/>
      <c r="D4" s="4"/>
      <c r="E4" s="4"/>
      <c r="F4" s="4"/>
      <c r="G4" s="5"/>
      <c r="N4" s="6">
        <v>0</v>
      </c>
      <c r="O4" s="1">
        <v>0</v>
      </c>
    </row>
    <row r="5" spans="1:15" ht="20" thickTop="1" thickBot="1">
      <c r="B5" s="7" t="s">
        <v>0</v>
      </c>
      <c r="C5" s="8">
        <v>500</v>
      </c>
      <c r="D5" s="9"/>
      <c r="E5" s="10" t="s">
        <v>1</v>
      </c>
      <c r="F5" s="8">
        <v>4</v>
      </c>
      <c r="G5" s="5"/>
      <c r="N5" s="6">
        <v>1.2</v>
      </c>
      <c r="O5" s="1">
        <v>0.88929999999999998</v>
      </c>
    </row>
    <row r="6" spans="1:15" s="33" customFormat="1" ht="16" thickTop="1">
      <c r="B6" s="34" t="s">
        <v>3</v>
      </c>
      <c r="C6" s="35"/>
      <c r="D6" s="35"/>
      <c r="E6" s="35" t="s">
        <v>18</v>
      </c>
      <c r="F6" s="35"/>
      <c r="G6" s="36"/>
      <c r="H6" s="38"/>
      <c r="I6" s="38"/>
      <c r="J6" s="38"/>
      <c r="K6" s="38"/>
      <c r="L6" s="38"/>
      <c r="M6" s="38"/>
      <c r="N6" s="38">
        <v>4.0999999999999996</v>
      </c>
      <c r="O6" s="33">
        <v>1.2230000000000001</v>
      </c>
    </row>
    <row r="7" spans="1:15" ht="12" customHeight="1" thickBot="1">
      <c r="B7" s="3"/>
      <c r="C7" s="29">
        <f>(C5/1000)*F5*0.1908*1.2</f>
        <v>0.45791999999999999</v>
      </c>
      <c r="D7" s="4"/>
      <c r="E7" s="4"/>
      <c r="F7" s="4"/>
      <c r="G7" s="5"/>
      <c r="N7" s="6">
        <v>5.6</v>
      </c>
      <c r="O7" s="1">
        <v>2.8864999999999998</v>
      </c>
    </row>
    <row r="8" spans="1:15" ht="19" thickTop="1" thickBot="1">
      <c r="B8" s="19" t="s">
        <v>13</v>
      </c>
      <c r="C8" s="18">
        <f>ROUNDUP(C7, 2)</f>
        <v>0.46</v>
      </c>
      <c r="D8" s="35" t="s">
        <v>12</v>
      </c>
      <c r="E8" s="4"/>
      <c r="F8" s="4"/>
      <c r="G8" s="5"/>
      <c r="N8" s="6">
        <v>15.1</v>
      </c>
      <c r="O8" s="1">
        <v>3.8481999999999998</v>
      </c>
    </row>
    <row r="9" spans="1:15" ht="14" thickTop="1" thickBot="1">
      <c r="B9" s="3"/>
      <c r="C9" s="4"/>
      <c r="D9" s="4"/>
      <c r="E9" s="4"/>
      <c r="F9" s="4"/>
      <c r="G9" s="5"/>
      <c r="N9" s="6">
        <v>22.1</v>
      </c>
      <c r="O9" s="2">
        <f>F40/100*27.66</f>
        <v>0</v>
      </c>
    </row>
    <row r="10" spans="1:15" ht="19" thickTop="1" thickBot="1">
      <c r="B10" s="28" t="s">
        <v>17</v>
      </c>
      <c r="C10" s="21"/>
      <c r="D10" s="21"/>
      <c r="E10" s="21"/>
      <c r="F10" s="21"/>
      <c r="G10" s="22"/>
      <c r="N10" s="6">
        <v>2000</v>
      </c>
      <c r="O10" s="2">
        <f>O9</f>
        <v>0</v>
      </c>
    </row>
    <row r="11" spans="1:15" ht="6" customHeight="1" thickTop="1" thickBot="1">
      <c r="B11" s="3"/>
      <c r="C11" s="4"/>
      <c r="D11" s="4"/>
      <c r="E11" s="4"/>
      <c r="F11" s="4"/>
      <c r="G11" s="5"/>
    </row>
    <row r="12" spans="1:15" ht="20" thickTop="1" thickBot="1">
      <c r="B12" s="7" t="s">
        <v>0</v>
      </c>
      <c r="C12" s="8"/>
      <c r="D12" s="9"/>
      <c r="E12" s="10" t="s">
        <v>1</v>
      </c>
      <c r="F12" s="8"/>
      <c r="G12" s="5"/>
    </row>
    <row r="13" spans="1:15" s="33" customFormat="1" ht="16" thickTop="1">
      <c r="B13" s="34" t="s">
        <v>3</v>
      </c>
      <c r="C13" s="35"/>
      <c r="D13" s="35"/>
      <c r="E13" s="35" t="s">
        <v>18</v>
      </c>
      <c r="F13" s="35"/>
      <c r="G13" s="36"/>
      <c r="H13" s="38"/>
      <c r="I13" s="38"/>
      <c r="J13" s="38"/>
      <c r="K13" s="38"/>
      <c r="L13" s="38"/>
      <c r="M13" s="38"/>
      <c r="N13" s="38" t="s">
        <v>9</v>
      </c>
      <c r="O13" s="33" t="s">
        <v>10</v>
      </c>
    </row>
    <row r="14" spans="1:15" ht="12.75" customHeight="1" thickBot="1">
      <c r="B14" s="3"/>
      <c r="C14" s="29">
        <f>(C12/1000)*F12*0.2477*1.2</f>
        <v>0</v>
      </c>
      <c r="D14" s="4"/>
      <c r="E14" s="4"/>
      <c r="F14" s="4"/>
      <c r="G14" s="5"/>
      <c r="N14" s="6">
        <v>0</v>
      </c>
      <c r="O14" s="1">
        <v>0</v>
      </c>
    </row>
    <row r="15" spans="1:15" ht="19" thickTop="1" thickBot="1">
      <c r="B15" s="27" t="s">
        <v>13</v>
      </c>
      <c r="C15" s="18">
        <f>ROUNDUP(C14, 2)</f>
        <v>0</v>
      </c>
      <c r="D15" s="35" t="s">
        <v>12</v>
      </c>
      <c r="E15" s="4"/>
      <c r="F15" s="4"/>
      <c r="G15" s="5"/>
      <c r="N15" s="6">
        <v>1.2</v>
      </c>
      <c r="O15" s="1">
        <v>0.88929999999999998</v>
      </c>
    </row>
    <row r="16" spans="1:15" ht="14" thickTop="1" thickBot="1">
      <c r="B16" s="15"/>
      <c r="C16" s="16"/>
      <c r="D16" s="17"/>
      <c r="E16" s="16"/>
      <c r="F16" s="16"/>
      <c r="G16" s="11"/>
      <c r="N16" s="6">
        <v>4.0999999999999996</v>
      </c>
      <c r="O16" s="1">
        <v>1.1223000000000001</v>
      </c>
    </row>
    <row r="17" spans="2:15" ht="24" customHeight="1" thickTop="1" thickBot="1">
      <c r="B17" s="28" t="s">
        <v>14</v>
      </c>
      <c r="C17" s="21"/>
      <c r="D17" s="21"/>
      <c r="E17" s="21"/>
      <c r="F17" s="21"/>
      <c r="G17" s="22"/>
      <c r="N17" s="6">
        <v>5.6</v>
      </c>
      <c r="O17" s="1">
        <v>2.7946</v>
      </c>
    </row>
    <row r="18" spans="2:15" ht="27.75" customHeight="1" thickTop="1" thickBot="1">
      <c r="B18" s="3"/>
      <c r="C18" s="4"/>
      <c r="D18" s="4"/>
      <c r="E18" s="4"/>
      <c r="F18" s="4"/>
      <c r="G18" s="5"/>
      <c r="N18" s="6">
        <v>8.6</v>
      </c>
      <c r="O18" s="1">
        <v>3.6972</v>
      </c>
    </row>
    <row r="19" spans="2:15" ht="20" thickTop="1" thickBot="1">
      <c r="B19" s="7" t="s">
        <v>0</v>
      </c>
      <c r="C19" s="8"/>
      <c r="D19" s="9"/>
      <c r="E19" s="10" t="s">
        <v>1</v>
      </c>
      <c r="F19" s="8"/>
      <c r="G19" s="5"/>
      <c r="N19" s="6">
        <v>15.1</v>
      </c>
      <c r="O19" s="1">
        <v>3.8481999999999998</v>
      </c>
    </row>
    <row r="20" spans="2:15" s="33" customFormat="1" ht="16" thickTop="1">
      <c r="B20" s="34" t="s">
        <v>3</v>
      </c>
      <c r="C20" s="35"/>
      <c r="D20" s="35"/>
      <c r="E20" s="35" t="s">
        <v>18</v>
      </c>
      <c r="F20" s="35"/>
      <c r="G20" s="36"/>
      <c r="H20" s="38"/>
      <c r="I20" s="38"/>
      <c r="J20" s="38"/>
      <c r="K20" s="38"/>
      <c r="L20" s="38"/>
      <c r="M20" s="38"/>
      <c r="N20" s="38">
        <v>22.1</v>
      </c>
      <c r="O20" s="37">
        <f>F51/100*27.66</f>
        <v>0</v>
      </c>
    </row>
    <row r="21" spans="2:15" ht="10.5" customHeight="1" thickBot="1">
      <c r="B21" s="3"/>
      <c r="C21" s="29">
        <f>(C19/1000)*F19*0.0842*1.2</f>
        <v>0</v>
      </c>
      <c r="D21" s="4"/>
      <c r="E21" s="4"/>
      <c r="F21" s="4"/>
      <c r="G21" s="5"/>
    </row>
    <row r="22" spans="2:15" ht="19" thickTop="1" thickBot="1">
      <c r="B22" s="27" t="s">
        <v>13</v>
      </c>
      <c r="C22" s="18">
        <f>ROUNDUP(C21, 2)</f>
        <v>0</v>
      </c>
      <c r="D22" s="35" t="s">
        <v>12</v>
      </c>
      <c r="E22" s="4"/>
      <c r="F22" s="4"/>
      <c r="G22" s="5"/>
    </row>
    <row r="23" spans="2:15" ht="14" thickTop="1" thickBot="1">
      <c r="B23" s="15"/>
      <c r="C23" s="16"/>
      <c r="D23" s="16"/>
      <c r="E23" s="16"/>
      <c r="F23" s="16"/>
      <c r="G23" s="11"/>
    </row>
    <row r="24" spans="2:15" ht="19" thickTop="1" thickBot="1">
      <c r="B24" s="20" t="s">
        <v>6</v>
      </c>
      <c r="C24" s="24"/>
      <c r="D24" s="24"/>
      <c r="E24" s="24"/>
      <c r="F24" s="24"/>
      <c r="G24" s="22"/>
    </row>
    <row r="25" spans="2:15" ht="6" customHeight="1" thickTop="1" thickBot="1">
      <c r="B25" s="13"/>
      <c r="C25" s="10"/>
      <c r="D25" s="10"/>
      <c r="E25" s="10"/>
      <c r="F25" s="10"/>
      <c r="G25" s="5"/>
    </row>
    <row r="26" spans="2:15" ht="19" thickTop="1" thickBot="1">
      <c r="B26" s="7" t="s">
        <v>0</v>
      </c>
      <c r="C26" s="8"/>
      <c r="D26" s="10"/>
      <c r="E26" s="10" t="s">
        <v>1</v>
      </c>
      <c r="F26" s="8"/>
      <c r="G26" s="5"/>
    </row>
    <row r="27" spans="2:15" s="33" customFormat="1" ht="16" thickTop="1">
      <c r="B27" s="34" t="s">
        <v>11</v>
      </c>
      <c r="C27" s="35"/>
      <c r="D27" s="35"/>
      <c r="E27" s="35" t="s">
        <v>19</v>
      </c>
      <c r="F27" s="35"/>
      <c r="G27" s="36"/>
      <c r="H27" s="38"/>
      <c r="I27" s="38"/>
      <c r="J27" s="38"/>
      <c r="K27" s="38"/>
      <c r="L27" s="38"/>
      <c r="M27" s="38"/>
      <c r="N27" s="38"/>
    </row>
    <row r="28" spans="2:15" ht="18" thickBot="1">
      <c r="B28" s="7"/>
      <c r="C28" s="32">
        <f>(IF(F26&gt;7.5,(61.04/100*(C26/1000)),(IF(F26&lt;1.2,0,(40.38/100*(C26/1000))))))*1.2</f>
        <v>0</v>
      </c>
      <c r="D28" s="10"/>
      <c r="E28" s="4"/>
      <c r="F28" s="10"/>
      <c r="G28" s="5"/>
    </row>
    <row r="29" spans="2:15" ht="19" thickTop="1" thickBot="1">
      <c r="B29" s="19" t="s">
        <v>13</v>
      </c>
      <c r="C29" s="18">
        <f>ROUNDUP(C28, 2)</f>
        <v>0</v>
      </c>
      <c r="D29" s="35" t="s">
        <v>12</v>
      </c>
      <c r="E29" s="10"/>
      <c r="F29" s="10"/>
      <c r="G29" s="5"/>
    </row>
    <row r="30" spans="2:15" ht="14" thickTop="1" thickBot="1">
      <c r="B30" s="15"/>
      <c r="C30" s="17"/>
      <c r="D30" s="16"/>
      <c r="E30" s="16"/>
      <c r="F30" s="16"/>
      <c r="G30" s="11"/>
    </row>
    <row r="31" spans="2:15" ht="19" thickTop="1" thickBot="1">
      <c r="B31" s="20" t="s">
        <v>7</v>
      </c>
      <c r="C31" s="24"/>
      <c r="D31" s="24"/>
      <c r="E31" s="24"/>
      <c r="F31" s="24"/>
      <c r="G31" s="22"/>
    </row>
    <row r="32" spans="2:15" ht="5.25" customHeight="1" thickTop="1" thickBot="1">
      <c r="B32" s="13"/>
      <c r="C32" s="10"/>
      <c r="D32" s="10"/>
      <c r="E32" s="10"/>
      <c r="F32" s="10"/>
      <c r="G32" s="5"/>
    </row>
    <row r="33" spans="2:14" ht="19" thickTop="1" thickBot="1">
      <c r="B33" s="7" t="s">
        <v>0</v>
      </c>
      <c r="C33" s="8"/>
      <c r="D33" s="10"/>
      <c r="E33" s="10" t="s">
        <v>1</v>
      </c>
      <c r="F33" s="8"/>
      <c r="G33" s="5"/>
    </row>
    <row r="34" spans="2:14" s="33" customFormat="1" ht="16" thickTop="1">
      <c r="B34" s="34" t="s">
        <v>11</v>
      </c>
      <c r="C34" s="35"/>
      <c r="D34" s="35"/>
      <c r="E34" s="35" t="s">
        <v>19</v>
      </c>
      <c r="F34" s="35"/>
      <c r="G34" s="36"/>
      <c r="H34" s="38"/>
      <c r="I34" s="38"/>
      <c r="J34" s="38"/>
      <c r="K34" s="38"/>
      <c r="L34" s="38"/>
      <c r="M34" s="38"/>
      <c r="N34" s="38"/>
    </row>
    <row r="35" spans="2:14" ht="18" thickBot="1">
      <c r="B35" s="7"/>
      <c r="C35" s="32">
        <f>(IF(F33&gt;5.5,(279.469/100*(C33/1000)),(IF(F33&lt;1.2,0,(40.38/100*(C33/1000))))))*1.2</f>
        <v>0</v>
      </c>
      <c r="D35" s="10"/>
      <c r="E35" s="4"/>
      <c r="F35" s="10"/>
      <c r="G35" s="5"/>
    </row>
    <row r="36" spans="2:14" ht="19" thickTop="1" thickBot="1">
      <c r="B36" s="19" t="s">
        <v>13</v>
      </c>
      <c r="C36" s="18">
        <f>ROUNDUP(C35, 2)</f>
        <v>0</v>
      </c>
      <c r="D36" s="35" t="s">
        <v>12</v>
      </c>
      <c r="E36" s="10"/>
      <c r="F36" s="10"/>
      <c r="G36" s="5"/>
    </row>
    <row r="37" spans="2:14" ht="14" thickTop="1" thickBot="1">
      <c r="B37" s="15"/>
      <c r="C37" s="16"/>
      <c r="D37" s="16"/>
      <c r="E37" s="16"/>
      <c r="F37" s="16"/>
      <c r="G37" s="11"/>
    </row>
    <row r="38" spans="2:14" ht="19" thickTop="1" thickBot="1">
      <c r="B38" s="20" t="s">
        <v>8</v>
      </c>
      <c r="C38" s="21"/>
      <c r="D38" s="21"/>
      <c r="E38" s="21"/>
      <c r="F38" s="21"/>
      <c r="G38" s="22"/>
    </row>
    <row r="39" spans="2:14" ht="5.25" customHeight="1" thickTop="1" thickBot="1">
      <c r="B39" s="6"/>
      <c r="C39" s="6"/>
      <c r="D39" s="6"/>
      <c r="E39" s="6"/>
      <c r="F39" s="6"/>
      <c r="G39" s="5"/>
    </row>
    <row r="40" spans="2:14" ht="19" thickTop="1" thickBot="1">
      <c r="B40" s="7" t="s">
        <v>0</v>
      </c>
      <c r="C40" s="8"/>
      <c r="D40" s="6"/>
      <c r="E40" s="10" t="s">
        <v>1</v>
      </c>
      <c r="F40" s="8"/>
      <c r="G40" s="5"/>
    </row>
    <row r="41" spans="2:14" s="33" customFormat="1" ht="16" thickTop="1">
      <c r="B41" s="34" t="s">
        <v>5</v>
      </c>
      <c r="C41" s="38"/>
      <c r="D41" s="38"/>
      <c r="E41" s="35" t="s">
        <v>20</v>
      </c>
      <c r="F41" s="38"/>
      <c r="G41" s="36"/>
      <c r="H41" s="38"/>
      <c r="I41" s="38"/>
      <c r="J41" s="38"/>
      <c r="K41" s="38"/>
      <c r="L41" s="38"/>
      <c r="M41" s="38"/>
      <c r="N41" s="38"/>
    </row>
    <row r="42" spans="2:14" ht="13" thickBot="1">
      <c r="B42" s="6"/>
      <c r="C42" s="30">
        <f>(VLOOKUP(F40,N3:O10,2,1)*(C40/1000))*1.2</f>
        <v>0</v>
      </c>
      <c r="D42" s="6"/>
      <c r="E42" s="6"/>
      <c r="F42" s="6"/>
      <c r="G42" s="5"/>
    </row>
    <row r="43" spans="2:14" ht="19" thickTop="1" thickBot="1">
      <c r="B43" s="19" t="s">
        <v>13</v>
      </c>
      <c r="C43" s="18">
        <f>ROUNDUP(C42, 2)</f>
        <v>0</v>
      </c>
      <c r="D43" s="35" t="s">
        <v>12</v>
      </c>
      <c r="E43" s="6"/>
      <c r="F43" s="6"/>
      <c r="G43" s="5"/>
    </row>
    <row r="44" spans="2:14" ht="14" thickTop="1" thickBot="1">
      <c r="B44" s="6"/>
      <c r="C44" s="6"/>
      <c r="D44" s="6"/>
      <c r="E44" s="6"/>
      <c r="F44" s="6"/>
      <c r="G44" s="11"/>
    </row>
    <row r="45" spans="2:14" ht="19" thickTop="1" thickBot="1">
      <c r="B45" s="20" t="s">
        <v>16</v>
      </c>
      <c r="C45" s="24"/>
      <c r="D45" s="24"/>
      <c r="E45" s="24"/>
      <c r="F45" s="24"/>
      <c r="G45" s="22"/>
    </row>
    <row r="46" spans="2:14" ht="7.5" customHeight="1" thickTop="1" thickBot="1">
      <c r="B46" s="13"/>
      <c r="C46" s="10"/>
      <c r="D46" s="10"/>
      <c r="E46" s="10"/>
      <c r="F46" s="10"/>
      <c r="G46" s="5"/>
    </row>
    <row r="47" spans="2:14" ht="19" thickTop="1" thickBot="1">
      <c r="B47" s="7" t="s">
        <v>0</v>
      </c>
      <c r="C47" s="8"/>
      <c r="D47" s="10"/>
      <c r="E47" s="10" t="s">
        <v>1</v>
      </c>
      <c r="F47" s="8"/>
      <c r="G47" s="5"/>
    </row>
    <row r="48" spans="2:14" s="33" customFormat="1" ht="16" thickTop="1">
      <c r="B48" s="34" t="s">
        <v>5</v>
      </c>
      <c r="C48" s="35"/>
      <c r="D48" s="35"/>
      <c r="E48" s="35" t="s">
        <v>20</v>
      </c>
      <c r="F48" s="35"/>
      <c r="G48" s="36"/>
      <c r="H48" s="38"/>
      <c r="I48" s="38"/>
      <c r="J48" s="38"/>
      <c r="K48" s="38"/>
      <c r="L48" s="38"/>
      <c r="M48" s="38"/>
      <c r="N48" s="38"/>
    </row>
    <row r="49" spans="2:14" ht="18" thickBot="1">
      <c r="B49" s="6"/>
      <c r="C49" s="30">
        <f>(VLOOKUP(F47,N13:O20,2,1)*(C47/1000))*1.2</f>
        <v>0</v>
      </c>
      <c r="D49" s="10"/>
      <c r="E49" s="10"/>
      <c r="F49" s="10"/>
      <c r="G49" s="5"/>
    </row>
    <row r="50" spans="2:14" ht="19" thickTop="1" thickBot="1">
      <c r="B50" s="19" t="s">
        <v>13</v>
      </c>
      <c r="C50" s="18">
        <f>ROUNDUP(C49, 2)</f>
        <v>0</v>
      </c>
      <c r="D50" s="35" t="s">
        <v>12</v>
      </c>
      <c r="E50" s="6"/>
      <c r="F50" s="6"/>
      <c r="G50" s="5"/>
    </row>
    <row r="51" spans="2:14" ht="14" thickTop="1" thickBot="1">
      <c r="B51" s="15"/>
      <c r="C51" s="16"/>
      <c r="D51" s="16"/>
      <c r="E51" s="16"/>
      <c r="F51" s="16"/>
      <c r="G51" s="11"/>
    </row>
    <row r="52" spans="2:14" ht="20" thickTop="1" thickBot="1">
      <c r="B52" s="20" t="s">
        <v>4</v>
      </c>
      <c r="C52" s="23"/>
      <c r="D52" s="23"/>
      <c r="E52" s="23"/>
      <c r="F52" s="23"/>
      <c r="G52" s="22"/>
    </row>
    <row r="53" spans="2:14" ht="2.25" customHeight="1" thickTop="1" thickBot="1">
      <c r="B53" s="12"/>
      <c r="C53" s="9"/>
      <c r="D53" s="9"/>
      <c r="E53" s="9"/>
      <c r="F53" s="9"/>
      <c r="G53" s="5"/>
    </row>
    <row r="54" spans="2:14" ht="20" thickTop="1" thickBot="1">
      <c r="B54" s="7" t="s">
        <v>0</v>
      </c>
      <c r="C54" s="8"/>
      <c r="D54" s="9"/>
      <c r="E54" s="10" t="s">
        <v>1</v>
      </c>
      <c r="F54" s="14"/>
      <c r="G54" s="5"/>
    </row>
    <row r="55" spans="2:14" s="33" customFormat="1" ht="16" thickTop="1">
      <c r="B55" s="34" t="s">
        <v>5</v>
      </c>
      <c r="C55" s="35"/>
      <c r="D55" s="35"/>
      <c r="E55" s="35" t="s">
        <v>21</v>
      </c>
      <c r="F55" s="35"/>
      <c r="G55" s="36"/>
      <c r="H55" s="38"/>
      <c r="I55" s="38"/>
      <c r="J55" s="38"/>
      <c r="K55" s="38"/>
      <c r="L55" s="38"/>
      <c r="M55" s="38"/>
      <c r="N55" s="38"/>
    </row>
    <row r="56" spans="2:14" ht="19" thickBot="1">
      <c r="B56" s="12"/>
      <c r="C56" s="31">
        <f>((C54/1000)*(F54/100)*28.74)*1.2</f>
        <v>0</v>
      </c>
      <c r="D56" s="9"/>
      <c r="E56" s="9"/>
      <c r="F56" s="9"/>
      <c r="G56" s="5"/>
    </row>
    <row r="57" spans="2:14" ht="20" thickTop="1" thickBot="1">
      <c r="B57" s="19" t="s">
        <v>13</v>
      </c>
      <c r="C57" s="18">
        <f>ROUNDUP(C56, 2)</f>
        <v>0</v>
      </c>
      <c r="D57" s="35" t="s">
        <v>12</v>
      </c>
      <c r="E57" s="9"/>
      <c r="F57" s="9"/>
      <c r="G57" s="5"/>
    </row>
    <row r="58" spans="2:14" ht="14" thickTop="1" thickBot="1">
      <c r="B58" s="15"/>
      <c r="C58" s="16"/>
      <c r="D58" s="16"/>
      <c r="E58" s="16"/>
      <c r="F58" s="16"/>
      <c r="G58" s="11"/>
    </row>
    <row r="59" spans="2:14" ht="13" thickTop="1"/>
  </sheetData>
  <phoneticPr fontId="3"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rgb="FF6335B5"/>
  </sheetPr>
  <dimension ref="A1:I25"/>
  <sheetViews>
    <sheetView topLeftCell="B1" workbookViewId="0">
      <selection activeCell="J18" sqref="J18"/>
    </sheetView>
  </sheetViews>
  <sheetFormatPr baseColWidth="10" defaultColWidth="8.83203125" defaultRowHeight="12" x14ac:dyDescent="0"/>
  <cols>
    <col min="1" max="1" width="44.33203125" customWidth="1"/>
    <col min="2" max="2" width="16.33203125" bestFit="1" customWidth="1"/>
    <col min="3" max="3" width="13.5" customWidth="1"/>
    <col min="4" max="4" width="28.6640625" customWidth="1"/>
    <col min="5" max="5" width="12.33203125" bestFit="1" customWidth="1"/>
  </cols>
  <sheetData>
    <row r="1" spans="1:9">
      <c r="B1" s="39" t="s">
        <v>41</v>
      </c>
      <c r="C1" s="39" t="s">
        <v>40</v>
      </c>
      <c r="D1" s="39" t="s">
        <v>38</v>
      </c>
      <c r="E1" s="39" t="s">
        <v>39</v>
      </c>
      <c r="H1" s="39" t="s">
        <v>561</v>
      </c>
      <c r="I1" s="39" t="s">
        <v>562</v>
      </c>
    </row>
    <row r="2" spans="1:9">
      <c r="A2" t="s">
        <v>490</v>
      </c>
      <c r="B2" s="39"/>
      <c r="C2" s="39"/>
      <c r="D2" s="39"/>
      <c r="E2" s="39"/>
      <c r="H2" s="39" t="s">
        <v>540</v>
      </c>
      <c r="I2">
        <v>25</v>
      </c>
    </row>
    <row r="3" spans="1:9">
      <c r="A3" t="s">
        <v>4</v>
      </c>
      <c r="B3">
        <f>+C3*100</f>
        <v>2874</v>
      </c>
      <c r="C3">
        <v>28.74</v>
      </c>
      <c r="D3" s="291">
        <v>0</v>
      </c>
      <c r="E3">
        <v>0</v>
      </c>
      <c r="H3" s="39" t="s">
        <v>541</v>
      </c>
      <c r="I3">
        <v>35</v>
      </c>
    </row>
    <row r="4" spans="1:9">
      <c r="A4" t="s">
        <v>22</v>
      </c>
      <c r="B4">
        <f>+C4*100</f>
        <v>2874</v>
      </c>
      <c r="C4">
        <v>28.74</v>
      </c>
      <c r="D4" s="291">
        <v>0</v>
      </c>
      <c r="E4">
        <v>0</v>
      </c>
      <c r="H4" s="39" t="s">
        <v>542</v>
      </c>
      <c r="I4">
        <v>50</v>
      </c>
    </row>
    <row r="5" spans="1:9">
      <c r="A5" t="s">
        <v>29</v>
      </c>
      <c r="B5">
        <v>19.079999999999998</v>
      </c>
      <c r="C5">
        <f t="shared" ref="C5:C11" si="0">+B5/100</f>
        <v>0.19079999999999997</v>
      </c>
      <c r="D5" s="291">
        <v>2.8000000000000001E-2</v>
      </c>
      <c r="E5" s="40">
        <v>7.4999999999999997E-2</v>
      </c>
      <c r="H5" s="39" t="s">
        <v>543</v>
      </c>
      <c r="I5">
        <v>150</v>
      </c>
    </row>
    <row r="6" spans="1:9">
      <c r="A6" t="s">
        <v>23</v>
      </c>
      <c r="B6">
        <v>5.69</v>
      </c>
      <c r="C6">
        <f t="shared" si="0"/>
        <v>5.6900000000000006E-2</v>
      </c>
      <c r="D6" s="291">
        <v>7.5000000100000005E-2</v>
      </c>
      <c r="E6" s="40">
        <v>10000</v>
      </c>
      <c r="H6" s="39" t="s">
        <v>544</v>
      </c>
      <c r="I6">
        <v>175</v>
      </c>
    </row>
    <row r="7" spans="1:9">
      <c r="A7" t="s">
        <v>24</v>
      </c>
      <c r="B7">
        <v>8.42</v>
      </c>
      <c r="C7">
        <f t="shared" si="0"/>
        <v>8.4199999999999997E-2</v>
      </c>
      <c r="D7" s="291">
        <v>1.2E-2</v>
      </c>
      <c r="E7" s="40">
        <v>2.8000000000000001E-2</v>
      </c>
      <c r="H7" s="39" t="s">
        <v>545</v>
      </c>
      <c r="I7">
        <v>250</v>
      </c>
    </row>
    <row r="8" spans="1:9">
      <c r="A8" s="39" t="s">
        <v>42</v>
      </c>
      <c r="B8">
        <v>40.380000000000003</v>
      </c>
      <c r="C8">
        <f t="shared" si="0"/>
        <v>0.40380000000000005</v>
      </c>
      <c r="D8" s="291">
        <v>1.2E-2</v>
      </c>
      <c r="E8" s="40">
        <v>7.4999999999999997E-2</v>
      </c>
      <c r="H8" s="39" t="s">
        <v>546</v>
      </c>
      <c r="I8">
        <v>275</v>
      </c>
    </row>
    <row r="9" spans="1:9">
      <c r="A9" t="s">
        <v>25</v>
      </c>
      <c r="B9">
        <v>61.04</v>
      </c>
      <c r="C9">
        <f t="shared" si="0"/>
        <v>0.61039999999999994</v>
      </c>
      <c r="D9" s="291">
        <v>7.4999999999999997E-2</v>
      </c>
      <c r="E9" s="290">
        <v>8.5000000000000006E-2</v>
      </c>
      <c r="H9" s="39" t="s">
        <v>547</v>
      </c>
      <c r="I9">
        <v>284</v>
      </c>
    </row>
    <row r="10" spans="1:9">
      <c r="A10" t="s">
        <v>47</v>
      </c>
      <c r="B10">
        <v>40.380000000000003</v>
      </c>
      <c r="C10">
        <f t="shared" si="0"/>
        <v>0.40380000000000005</v>
      </c>
      <c r="D10" s="291">
        <v>1.2E-2</v>
      </c>
      <c r="E10" s="40">
        <v>5.5E-2</v>
      </c>
      <c r="H10" s="39" t="s">
        <v>548</v>
      </c>
      <c r="I10">
        <v>300</v>
      </c>
    </row>
    <row r="11" spans="1:9">
      <c r="A11" t="s">
        <v>48</v>
      </c>
      <c r="B11">
        <v>279.45999999999998</v>
      </c>
      <c r="C11">
        <f t="shared" si="0"/>
        <v>2.7946</v>
      </c>
      <c r="D11" s="291">
        <v>5.5E-2</v>
      </c>
      <c r="E11" s="290">
        <v>8.5000000000000006E-2</v>
      </c>
      <c r="H11" s="39" t="s">
        <v>549</v>
      </c>
      <c r="I11">
        <v>350</v>
      </c>
    </row>
    <row r="12" spans="1:9">
      <c r="A12" t="s">
        <v>26</v>
      </c>
      <c r="B12">
        <v>88.93</v>
      </c>
      <c r="C12">
        <f>+B12/100</f>
        <v>0.88930000000000009</v>
      </c>
      <c r="D12" s="291">
        <v>1.2E-2</v>
      </c>
      <c r="E12" s="40">
        <v>0.04</v>
      </c>
      <c r="H12" s="39" t="s">
        <v>550</v>
      </c>
      <c r="I12">
        <v>375</v>
      </c>
    </row>
    <row r="13" spans="1:9">
      <c r="A13" t="s">
        <v>27</v>
      </c>
      <c r="B13">
        <v>122.3</v>
      </c>
      <c r="C13">
        <f>+B13/100</f>
        <v>1.2229999999999999</v>
      </c>
      <c r="D13" s="291">
        <v>0.04</v>
      </c>
      <c r="E13" s="290">
        <v>5.5E-2</v>
      </c>
      <c r="H13" s="39" t="s">
        <v>551</v>
      </c>
      <c r="I13">
        <v>440</v>
      </c>
    </row>
    <row r="14" spans="1:9">
      <c r="A14" t="s">
        <v>28</v>
      </c>
      <c r="B14">
        <v>288.64999999999998</v>
      </c>
      <c r="C14">
        <f>+B14/100</f>
        <v>2.8864999999999998</v>
      </c>
      <c r="D14" s="291">
        <v>5.5E-2</v>
      </c>
      <c r="E14" s="40">
        <v>0.15</v>
      </c>
      <c r="H14" s="39" t="s">
        <v>552</v>
      </c>
      <c r="I14">
        <v>500</v>
      </c>
    </row>
    <row r="15" spans="1:9">
      <c r="A15" t="s">
        <v>30</v>
      </c>
      <c r="B15">
        <v>384.82</v>
      </c>
      <c r="C15">
        <f>+B15/100</f>
        <v>3.8481999999999998</v>
      </c>
      <c r="D15" s="291">
        <v>0.15</v>
      </c>
      <c r="E15" s="40">
        <v>0.22</v>
      </c>
      <c r="H15" s="39" t="s">
        <v>553</v>
      </c>
      <c r="I15">
        <v>568</v>
      </c>
    </row>
    <row r="16" spans="1:9">
      <c r="A16" t="s">
        <v>31</v>
      </c>
      <c r="B16">
        <f>+C16*100</f>
        <v>2874</v>
      </c>
      <c r="C16">
        <v>28.74</v>
      </c>
      <c r="D16" s="291">
        <v>0.22000000000000999</v>
      </c>
      <c r="E16" s="40">
        <v>10000</v>
      </c>
      <c r="H16" s="39" t="s">
        <v>554</v>
      </c>
      <c r="I16">
        <v>660</v>
      </c>
    </row>
    <row r="17" spans="1:9">
      <c r="A17" t="s">
        <v>32</v>
      </c>
      <c r="B17">
        <v>279.45999999999998</v>
      </c>
      <c r="C17">
        <f>+B17/100</f>
        <v>2.7946</v>
      </c>
      <c r="D17" s="291">
        <v>5.5E-2</v>
      </c>
      <c r="E17" s="40">
        <v>8.5000000000000006E-2</v>
      </c>
      <c r="H17" s="39" t="s">
        <v>555</v>
      </c>
      <c r="I17">
        <v>700</v>
      </c>
    </row>
    <row r="18" spans="1:9">
      <c r="A18" t="s">
        <v>33</v>
      </c>
      <c r="B18">
        <v>369.72</v>
      </c>
      <c r="C18">
        <f>+B18/100</f>
        <v>3.6972000000000005</v>
      </c>
      <c r="D18" s="291">
        <v>8.5000000000000006E-2</v>
      </c>
      <c r="E18" s="40">
        <v>0.15</v>
      </c>
      <c r="H18" s="39" t="s">
        <v>556</v>
      </c>
      <c r="I18">
        <v>750</v>
      </c>
    </row>
    <row r="19" spans="1:9">
      <c r="H19" s="39" t="s">
        <v>557</v>
      </c>
      <c r="I19">
        <v>1000</v>
      </c>
    </row>
    <row r="20" spans="1:9">
      <c r="H20" s="39" t="s">
        <v>558</v>
      </c>
      <c r="I20">
        <v>1500</v>
      </c>
    </row>
    <row r="21" spans="1:9">
      <c r="H21" s="39" t="s">
        <v>559</v>
      </c>
      <c r="I21">
        <v>2000</v>
      </c>
    </row>
    <row r="22" spans="1:9">
      <c r="E22" s="39"/>
      <c r="H22" s="39" t="s">
        <v>560</v>
      </c>
      <c r="I22">
        <v>3000</v>
      </c>
    </row>
    <row r="24" spans="1:9">
      <c r="C24" s="39"/>
    </row>
    <row r="25" spans="1:9">
      <c r="B25" s="41"/>
      <c r="C25" s="39"/>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rgb="FFFEC309"/>
  </sheetPr>
  <dimension ref="A1:V153"/>
  <sheetViews>
    <sheetView showGridLines="0" tabSelected="1" zoomScale="61" zoomScaleNormal="82" zoomScalePageLayoutView="82" workbookViewId="0">
      <selection activeCell="C13" sqref="C13:E13"/>
    </sheetView>
  </sheetViews>
  <sheetFormatPr baseColWidth="10" defaultColWidth="9.1640625" defaultRowHeight="15" x14ac:dyDescent="0"/>
  <cols>
    <col min="1" max="1" width="3.1640625" style="327" customWidth="1"/>
    <col min="2" max="2" width="87.6640625" style="327" customWidth="1"/>
    <col min="3" max="3" width="21.1640625" style="327" customWidth="1"/>
    <col min="4" max="4" width="26.1640625" style="327" customWidth="1"/>
    <col min="5" max="5" width="20.5" style="327" customWidth="1"/>
    <col min="6" max="6" width="14" style="327" customWidth="1"/>
    <col min="7" max="7" width="0.1640625" style="327" customWidth="1"/>
    <col min="8" max="9" width="9.1640625" style="326" customWidth="1"/>
    <col min="10" max="18" width="9.1640625" style="326" hidden="1" customWidth="1"/>
    <col min="19" max="19" width="15.5" style="326" hidden="1" customWidth="1"/>
    <col min="20" max="20" width="7.33203125" style="326" hidden="1" customWidth="1"/>
    <col min="21" max="22" width="9.1640625" style="326" hidden="1" customWidth="1"/>
    <col min="23" max="30" width="0" style="327" hidden="1" customWidth="1"/>
    <col min="31" max="16384" width="9.1640625" style="327"/>
  </cols>
  <sheetData>
    <row r="1" spans="1:7" ht="45" customHeight="1">
      <c r="A1" s="302"/>
      <c r="B1" s="303"/>
      <c r="C1" s="376" t="s">
        <v>567</v>
      </c>
      <c r="D1" s="302"/>
      <c r="E1" s="302"/>
      <c r="F1" s="302"/>
      <c r="G1" s="294"/>
    </row>
    <row r="2" spans="1:7" ht="44" customHeight="1">
      <c r="A2" s="292"/>
      <c r="B2" s="292"/>
      <c r="C2" s="368" t="s">
        <v>539</v>
      </c>
      <c r="D2" s="292"/>
      <c r="E2" s="292"/>
      <c r="F2" s="292"/>
      <c r="G2" s="294"/>
    </row>
    <row r="3" spans="1:7" ht="35.25" customHeight="1">
      <c r="A3" s="295"/>
      <c r="B3" s="395" t="s">
        <v>103</v>
      </c>
      <c r="C3" s="534" t="s">
        <v>155</v>
      </c>
      <c r="D3" s="534"/>
      <c r="E3" s="534"/>
      <c r="F3" s="308"/>
      <c r="G3" s="294"/>
    </row>
    <row r="4" spans="1:7" ht="35.25" customHeight="1">
      <c r="A4" s="295"/>
      <c r="B4" s="378" t="str">
        <f>(IF('Country Tables'!C242="n/a","",("That country is in Country Zone: "&amp;'Country Tables'!C242)))&amp;(IF('Country Tables'!K242=0,"",IF('Country Tables'!K243=0,"",(" and for DHL ECONOMY SELECT the Country Zone is: "&amp;'Country Tables'!K242))))</f>
        <v>That country is in Country Zone: 10</v>
      </c>
      <c r="C4" s="395"/>
      <c r="D4" s="395"/>
      <c r="E4" s="395"/>
      <c r="F4" s="308"/>
      <c r="G4" s="294"/>
    </row>
    <row r="5" spans="1:7" ht="35" customHeight="1">
      <c r="A5" s="295"/>
      <c r="B5" s="395" t="s">
        <v>34</v>
      </c>
      <c r="C5" s="534" t="s">
        <v>635</v>
      </c>
      <c r="D5" s="534"/>
      <c r="E5" s="534"/>
      <c r="F5" s="308"/>
      <c r="G5" s="294"/>
    </row>
    <row r="6" spans="1:7" ht="35.25" customHeight="1">
      <c r="A6" s="295"/>
      <c r="B6" s="395" t="s">
        <v>381</v>
      </c>
      <c r="C6" s="534" t="s">
        <v>60</v>
      </c>
      <c r="D6" s="534"/>
      <c r="E6" s="534"/>
      <c r="F6" s="308"/>
      <c r="G6" s="294"/>
    </row>
    <row r="7" spans="1:7" ht="35.25" customHeight="1">
      <c r="A7" s="295"/>
      <c r="B7" s="395" t="s">
        <v>447</v>
      </c>
      <c r="C7" s="537">
        <v>10</v>
      </c>
      <c r="D7" s="537"/>
      <c r="E7" s="537"/>
      <c r="F7" s="300"/>
      <c r="G7" s="294"/>
    </row>
    <row r="8" spans="1:7" ht="35.25" customHeight="1">
      <c r="A8" s="295"/>
      <c r="B8" s="395" t="s">
        <v>49</v>
      </c>
      <c r="C8" s="537">
        <v>20</v>
      </c>
      <c r="D8" s="537"/>
      <c r="E8" s="537"/>
      <c r="F8" s="308"/>
      <c r="G8" s="294"/>
    </row>
    <row r="9" spans="1:7" ht="35.25" customHeight="1">
      <c r="A9" s="295"/>
      <c r="B9" s="395" t="s">
        <v>50</v>
      </c>
      <c r="C9" s="537">
        <v>40</v>
      </c>
      <c r="D9" s="537"/>
      <c r="E9" s="537"/>
      <c r="F9" s="308"/>
      <c r="G9" s="294"/>
    </row>
    <row r="10" spans="1:7" ht="35.25" customHeight="1">
      <c r="A10" s="295"/>
      <c r="B10" s="395" t="s">
        <v>51</v>
      </c>
      <c r="C10" s="537">
        <v>40</v>
      </c>
      <c r="D10" s="537"/>
      <c r="E10" s="537"/>
      <c r="F10" s="308"/>
      <c r="G10" s="294"/>
    </row>
    <row r="11" spans="1:7" ht="35.25" customHeight="1">
      <c r="A11" s="296"/>
      <c r="B11" s="369" t="s">
        <v>52</v>
      </c>
      <c r="C11" s="535">
        <f>IF(C8="","",(ROUND(((C8*C9*C10)/5000),2)))</f>
        <v>6.4</v>
      </c>
      <c r="D11" s="535"/>
      <c r="E11" s="535"/>
      <c r="F11" s="301"/>
      <c r="G11" s="294"/>
    </row>
    <row r="12" spans="1:7" ht="18" customHeight="1">
      <c r="A12" s="292"/>
      <c r="B12" s="370"/>
      <c r="C12" s="293"/>
      <c r="D12" s="293"/>
      <c r="E12" s="293"/>
      <c r="F12" s="293"/>
      <c r="G12" s="325"/>
    </row>
    <row r="13" spans="1:7" ht="35.25" customHeight="1">
      <c r="A13" s="295"/>
      <c r="B13" s="395" t="s">
        <v>53</v>
      </c>
      <c r="C13" s="530">
        <v>0</v>
      </c>
      <c r="D13" s="530"/>
      <c r="E13" s="530"/>
      <c r="F13" s="300"/>
      <c r="G13" s="294"/>
    </row>
    <row r="14" spans="1:7" ht="35.25" customHeight="1">
      <c r="A14" s="295"/>
      <c r="B14" s="395" t="s">
        <v>57</v>
      </c>
      <c r="C14" s="530">
        <v>0</v>
      </c>
      <c r="D14" s="530"/>
      <c r="E14" s="530"/>
      <c r="F14" s="300"/>
      <c r="G14" s="294"/>
    </row>
    <row r="15" spans="1:7" ht="35.25" customHeight="1">
      <c r="A15" s="365"/>
      <c r="B15" s="393" t="s">
        <v>569</v>
      </c>
      <c r="C15" s="396"/>
      <c r="D15" s="394"/>
      <c r="E15" s="427" t="s">
        <v>570</v>
      </c>
      <c r="F15" s="300"/>
      <c r="G15" s="294"/>
    </row>
    <row r="16" spans="1:7" ht="60" customHeight="1">
      <c r="A16" s="365"/>
      <c r="B16" s="375" t="str">
        <f>IF(K87=1,"Do any of the pieces within the shipment have any dimension longer than 120cm, or an actual weight of over 70kg?","Are any of the dimensions within the shipment longer than 120cm, or does it have an actual weight of over 70kg?")</f>
        <v>Are any of the dimensions within the shipment longer than 120cm, or does it have an actual weight of over 70kg?</v>
      </c>
      <c r="C16" s="530" t="s">
        <v>571</v>
      </c>
      <c r="D16" s="530"/>
      <c r="E16" s="530"/>
      <c r="F16" s="300"/>
      <c r="G16" s="294"/>
    </row>
    <row r="17" spans="1:7" ht="94" customHeight="1">
      <c r="A17" s="365"/>
      <c r="B17" s="536" t="str">
        <f>IF(C16="Yes",N129,"")</f>
        <v/>
      </c>
      <c r="C17" s="536"/>
      <c r="D17" s="536"/>
      <c r="E17" s="371"/>
      <c r="F17" s="300"/>
      <c r="G17" s="294"/>
    </row>
    <row r="18" spans="1:7" ht="35.25" customHeight="1">
      <c r="A18" s="297"/>
      <c r="B18" s="372" t="s">
        <v>54</v>
      </c>
      <c r="C18" s="531">
        <f>S111</f>
        <v>80.38</v>
      </c>
      <c r="D18" s="531"/>
      <c r="E18" s="531"/>
      <c r="F18" s="308"/>
      <c r="G18" s="294"/>
    </row>
    <row r="19" spans="1:7" ht="35.25" customHeight="1">
      <c r="A19" s="298"/>
      <c r="B19" s="373" t="s">
        <v>55</v>
      </c>
      <c r="C19" s="532">
        <f>S112</f>
        <v>70.38</v>
      </c>
      <c r="D19" s="532"/>
      <c r="E19" s="532"/>
      <c r="F19" s="308"/>
      <c r="G19" s="294"/>
    </row>
    <row r="20" spans="1:7" ht="35.25" customHeight="1">
      <c r="A20" s="299"/>
      <c r="B20" s="374" t="s">
        <v>56</v>
      </c>
      <c r="C20" s="533">
        <f>S113</f>
        <v>65.38</v>
      </c>
      <c r="D20" s="533"/>
      <c r="E20" s="533"/>
      <c r="F20" s="308"/>
      <c r="G20" s="294"/>
    </row>
    <row r="21" spans="1:7">
      <c r="A21" s="325"/>
      <c r="B21" s="325"/>
      <c r="C21" s="325"/>
      <c r="D21" s="325"/>
      <c r="E21" s="325"/>
      <c r="F21" s="325"/>
    </row>
    <row r="22" spans="1:7" ht="23">
      <c r="E22" s="379" t="s">
        <v>568</v>
      </c>
    </row>
    <row r="83" spans="10:18">
      <c r="J83" s="326" t="s">
        <v>58</v>
      </c>
    </row>
    <row r="84" spans="10:18">
      <c r="J84" s="328" t="s">
        <v>59</v>
      </c>
      <c r="K84" s="328">
        <v>0</v>
      </c>
    </row>
    <row r="85" spans="10:18">
      <c r="J85" s="328" t="s">
        <v>60</v>
      </c>
      <c r="K85" s="328">
        <v>0</v>
      </c>
    </row>
    <row r="86" spans="10:18" ht="16" thickBot="1">
      <c r="J86" s="328" t="s">
        <v>61</v>
      </c>
      <c r="K86" s="329">
        <v>1</v>
      </c>
      <c r="R86" s="326" t="s">
        <v>62</v>
      </c>
    </row>
    <row r="87" spans="10:18" ht="16" thickBot="1">
      <c r="K87" s="330">
        <f>VLOOKUP(C6,J84:K86,2,0)</f>
        <v>0</v>
      </c>
      <c r="M87" s="331" t="s">
        <v>63</v>
      </c>
      <c r="N87" s="330">
        <f>'Country Tables'!C242</f>
        <v>10</v>
      </c>
      <c r="O87" s="326" t="s">
        <v>64</v>
      </c>
      <c r="R87" s="330">
        <f>'Country Tables'!K242</f>
        <v>0</v>
      </c>
    </row>
    <row r="89" spans="10:18">
      <c r="J89" s="332" t="s">
        <v>65</v>
      </c>
      <c r="K89" s="328">
        <v>1</v>
      </c>
      <c r="M89" s="332" t="s">
        <v>66</v>
      </c>
      <c r="N89" s="328">
        <v>2</v>
      </c>
      <c r="P89" s="332" t="str">
        <f>IF(K91=2,"DHL IMPORT ECONOMY SELECT","DHL ECONOMY SELECT")</f>
        <v>DHL ECONOMY SELECT</v>
      </c>
    </row>
    <row r="90" spans="10:18" ht="16" thickBot="1">
      <c r="J90" s="332" t="s">
        <v>67</v>
      </c>
      <c r="K90" s="329">
        <v>3</v>
      </c>
      <c r="M90" s="332" t="s">
        <v>68</v>
      </c>
      <c r="N90" s="329">
        <v>8</v>
      </c>
      <c r="R90" s="326" t="s">
        <v>69</v>
      </c>
    </row>
    <row r="91" spans="10:18" ht="16" thickBot="1">
      <c r="K91" s="330">
        <v>1</v>
      </c>
      <c r="N91" s="330">
        <f>IF(N87&lt;5,2,VLOOKUP(C5,M89:N90,2,0))</f>
        <v>8</v>
      </c>
      <c r="O91" s="326" t="s">
        <v>70</v>
      </c>
      <c r="R91" s="333">
        <f>N91+'Country Tables'!C242</f>
        <v>18</v>
      </c>
    </row>
    <row r="93" spans="10:18">
      <c r="J93" s="334">
        <v>0</v>
      </c>
      <c r="M93" s="332" t="s">
        <v>71</v>
      </c>
      <c r="N93" s="335">
        <f>CEILING($C$7,0.5)</f>
        <v>10</v>
      </c>
    </row>
    <row r="94" spans="10:18">
      <c r="J94" s="334">
        <v>5.0000000000000001E-3</v>
      </c>
      <c r="M94" s="332" t="s">
        <v>72</v>
      </c>
      <c r="N94" s="335">
        <f>CEILING($C$7,1)</f>
        <v>10</v>
      </c>
      <c r="P94" s="332" t="s">
        <v>73</v>
      </c>
      <c r="Q94" s="328">
        <f>$C$8</f>
        <v>20</v>
      </c>
    </row>
    <row r="95" spans="10:18">
      <c r="J95" s="334">
        <v>0.01</v>
      </c>
      <c r="M95" s="332" t="s">
        <v>74</v>
      </c>
      <c r="N95" s="335">
        <f>CEILING((($C$8*$C$9*$C$10)/5000),0.5)</f>
        <v>6.5</v>
      </c>
      <c r="P95" s="332" t="s">
        <v>75</v>
      </c>
      <c r="Q95" s="328">
        <f>$C$9</f>
        <v>40</v>
      </c>
    </row>
    <row r="96" spans="10:18" ht="16" thickBot="1">
      <c r="J96" s="334">
        <v>1.4999999999999999E-2</v>
      </c>
      <c r="L96" s="336" t="s">
        <v>76</v>
      </c>
      <c r="M96" s="332" t="s">
        <v>77</v>
      </c>
      <c r="N96" s="335">
        <f>CEILING((($C$8*$C$9*$C$10)/5000),1)</f>
        <v>7</v>
      </c>
      <c r="P96" s="332" t="s">
        <v>78</v>
      </c>
      <c r="Q96" s="329">
        <f>$C$10</f>
        <v>40</v>
      </c>
    </row>
    <row r="97" spans="10:19" ht="16" thickBot="1">
      <c r="J97" s="334">
        <v>0.02</v>
      </c>
      <c r="M97" s="332" t="s">
        <v>79</v>
      </c>
      <c r="N97" s="335">
        <f>MAX(N93,N95)</f>
        <v>10</v>
      </c>
      <c r="Q97" s="330">
        <f>IF(K87=1,3,SUM(Q94:Q96))</f>
        <v>100</v>
      </c>
    </row>
    <row r="98" spans="10:19">
      <c r="J98" s="334">
        <v>2.5000000000000001E-2</v>
      </c>
      <c r="M98" s="332" t="s">
        <v>80</v>
      </c>
      <c r="N98" s="335">
        <f>MAX(N94,N96)</f>
        <v>10</v>
      </c>
    </row>
    <row r="99" spans="10:19">
      <c r="J99" s="334">
        <v>0.03</v>
      </c>
    </row>
    <row r="100" spans="10:19">
      <c r="J100" s="334">
        <v>3.5000000000000003E-2</v>
      </c>
      <c r="M100" s="332" t="s">
        <v>81</v>
      </c>
      <c r="N100" s="332" t="str">
        <f>"The price will be based on a weight of "&amp;(TEXT(N98,"0.0"))&amp;"kg for DHL ECONOMY SELECT, and based on the weight of "&amp;(TEXT(N97,"0.0"))&amp;"kg for all other products."</f>
        <v>The price will be based on a weight of 10.0kg for DHL ECONOMY SELECT, and based on the weight of 10.0kg for all other products.</v>
      </c>
    </row>
    <row r="101" spans="10:19">
      <c r="J101" s="334">
        <v>0.04</v>
      </c>
      <c r="M101" s="332" t="s">
        <v>82</v>
      </c>
      <c r="N101" s="332" t="str">
        <f>"The price will be based on a weight of "&amp;(TEXT(N97,"0.0"))&amp;"kg."</f>
        <v>The price will be based on a weight of 10.0kg.</v>
      </c>
    </row>
    <row r="102" spans="10:19">
      <c r="J102" s="334">
        <v>4.4999999999999998E-2</v>
      </c>
      <c r="M102" s="332" t="s">
        <v>58</v>
      </c>
      <c r="N102" s="332" t="str">
        <f>"The price will be based on the Multi Piece Chargeable Weight of "&amp;(TEXT(N98,"0.0"))&amp;"kg."</f>
        <v>The price will be based on the Multi Piece Chargeable Weight of 10.0kg.</v>
      </c>
    </row>
    <row r="103" spans="10:19">
      <c r="J103" s="334">
        <v>0.05</v>
      </c>
    </row>
    <row r="104" spans="10:19">
      <c r="J104" s="334">
        <v>5.5E-2</v>
      </c>
      <c r="N104" s="326" t="s">
        <v>83</v>
      </c>
      <c r="O104" s="326" t="s">
        <v>65</v>
      </c>
      <c r="P104" s="326" t="s">
        <v>67</v>
      </c>
    </row>
    <row r="105" spans="10:19" ht="16" thickBot="1">
      <c r="J105" s="334">
        <v>0.06</v>
      </c>
      <c r="M105" s="326" t="s">
        <v>84</v>
      </c>
      <c r="N105" s="328">
        <v>1</v>
      </c>
      <c r="O105" s="328">
        <v>2</v>
      </c>
      <c r="P105" s="328">
        <v>3</v>
      </c>
    </row>
    <row r="106" spans="10:19" ht="16" thickBot="1">
      <c r="J106" s="334">
        <v>6.5000000000000002E-2</v>
      </c>
      <c r="M106" s="328" t="s">
        <v>85</v>
      </c>
      <c r="N106" s="337" t="str">
        <f>'Country Tables'!E242</f>
        <v>2-3</v>
      </c>
      <c r="O106" s="338"/>
      <c r="P106" s="339">
        <v>1</v>
      </c>
      <c r="Q106" s="340" t="str">
        <f>HLOOKUP(K91,N105:P107,2,0)</f>
        <v>2-3</v>
      </c>
      <c r="R106" s="341" t="str">
        <f>IF(Q106=1," Day"," Days")</f>
        <v xml:space="preserve"> Days</v>
      </c>
    </row>
    <row r="107" spans="10:19" ht="16" thickBot="1">
      <c r="J107" s="334">
        <v>7.0000000000000007E-2</v>
      </c>
      <c r="M107" s="328" t="s">
        <v>86</v>
      </c>
      <c r="N107" s="337">
        <f>'Country Tables'!L242</f>
        <v>0</v>
      </c>
      <c r="O107" s="338"/>
      <c r="P107" s="339">
        <v>1</v>
      </c>
      <c r="Q107" s="333">
        <f>HLOOKUP(K91,N105:P107,3,0)</f>
        <v>0</v>
      </c>
      <c r="R107" s="341" t="str">
        <f>IF(Q107=1," Day"," Days")</f>
        <v xml:space="preserve"> Days</v>
      </c>
    </row>
    <row r="108" spans="10:19">
      <c r="J108" s="334">
        <v>7.4999999999999997E-2</v>
      </c>
      <c r="M108" s="342"/>
      <c r="N108" s="343"/>
      <c r="O108" s="343"/>
      <c r="P108" s="343"/>
    </row>
    <row r="109" spans="10:19" ht="16" thickBot="1">
      <c r="J109" s="334">
        <v>0.08</v>
      </c>
      <c r="N109" s="326" t="s">
        <v>83</v>
      </c>
      <c r="O109" s="326" t="s">
        <v>65</v>
      </c>
      <c r="P109" s="326" t="s">
        <v>67</v>
      </c>
    </row>
    <row r="110" spans="10:19" ht="16" thickBot="1">
      <c r="J110" s="334">
        <v>8.5000000000000006E-2</v>
      </c>
      <c r="M110" s="326" t="s">
        <v>87</v>
      </c>
      <c r="N110" s="328">
        <v>1</v>
      </c>
      <c r="O110" s="328">
        <v>2</v>
      </c>
      <c r="P110" s="328">
        <v>3</v>
      </c>
      <c r="R110" s="344" t="s">
        <v>88</v>
      </c>
      <c r="S110" s="330" t="s">
        <v>89</v>
      </c>
    </row>
    <row r="111" spans="10:19" ht="16" thickBot="1">
      <c r="J111" s="334">
        <v>0.09</v>
      </c>
      <c r="M111" s="332" t="s">
        <v>90</v>
      </c>
      <c r="N111" s="345">
        <f>'IB COB'!BK25+Q119</f>
        <v>80.38</v>
      </c>
      <c r="O111" s="346"/>
      <c r="P111" s="347">
        <f>P113+Q119</f>
        <v>15</v>
      </c>
      <c r="Q111" s="348">
        <f>HLOOKUP(K91,N110:P111,2,0)</f>
        <v>80.38</v>
      </c>
      <c r="R111" s="349">
        <f>FSCA</f>
        <v>0</v>
      </c>
      <c r="S111" s="350">
        <f>IF(ISERROR(Q111)=TRUE,"",ROUNDUP((Q111+(Q111*R111)),2))</f>
        <v>80.38</v>
      </c>
    </row>
    <row r="112" spans="10:19" ht="16" thickBot="1">
      <c r="J112" s="334">
        <v>9.5000000000000001E-2</v>
      </c>
      <c r="M112" s="332" t="s">
        <v>91</v>
      </c>
      <c r="N112" s="345">
        <f>'IB COB'!BK25+Q120</f>
        <v>70.38</v>
      </c>
      <c r="O112" s="346"/>
      <c r="P112" s="347">
        <f>P113+Q120</f>
        <v>5</v>
      </c>
      <c r="Q112" s="333">
        <f>HLOOKUP(K91,N110:P112,3,0)</f>
        <v>70.38</v>
      </c>
      <c r="R112" s="349">
        <f>FSCA</f>
        <v>0</v>
      </c>
      <c r="S112" s="350">
        <f>IF(ISERROR(Q112)=TRUE,"",ROUNDUP((Q112+(Q112*R112)),2))</f>
        <v>70.38</v>
      </c>
    </row>
    <row r="113" spans="10:19" ht="16" thickBot="1">
      <c r="J113" s="334">
        <v>0.1</v>
      </c>
      <c r="M113" s="332" t="s">
        <v>92</v>
      </c>
      <c r="N113" s="338">
        <f>'IB COB'!BK25</f>
        <v>65.38</v>
      </c>
      <c r="O113" s="346"/>
      <c r="P113" s="347">
        <f>'IB COB'!BK26</f>
        <v>0</v>
      </c>
      <c r="Q113" s="333">
        <f>HLOOKUP(K91,N110:P113,4,0)</f>
        <v>65.38</v>
      </c>
      <c r="R113" s="349">
        <f>IF($K$91=3,FSCR,FSCA)</f>
        <v>0</v>
      </c>
      <c r="S113" s="350">
        <f>IF(ISERROR(Q113)=TRUE,"",ROUNDUP((Q113+(Q113*R113)),2))</f>
        <v>65.38</v>
      </c>
    </row>
    <row r="114" spans="10:19" ht="16" thickBot="1">
      <c r="J114" s="334">
        <v>0.105</v>
      </c>
      <c r="M114" s="332" t="s">
        <v>86</v>
      </c>
      <c r="N114" s="351" t="e">
        <f>'IB DDI'!BK19</f>
        <v>#VALUE!</v>
      </c>
      <c r="O114" s="346"/>
      <c r="P114" s="352"/>
      <c r="Q114" s="348" t="e">
        <f>HLOOKUP(K91,N110:P114,5,0)</f>
        <v>#VALUE!</v>
      </c>
      <c r="R114" s="349">
        <f>FSCR</f>
        <v>0</v>
      </c>
      <c r="S114" s="350" t="str">
        <f>IF(ISERROR(Q114)=TRUE,"",ROUNDUP((Q114+(Q114*R114)),2))</f>
        <v/>
      </c>
    </row>
    <row r="115" spans="10:19">
      <c r="J115" s="334">
        <v>0.11</v>
      </c>
    </row>
    <row r="116" spans="10:19">
      <c r="J116" s="334">
        <v>0.115</v>
      </c>
    </row>
    <row r="117" spans="10:19">
      <c r="J117" s="334">
        <v>0.12</v>
      </c>
      <c r="M117" s="326" t="s">
        <v>446</v>
      </c>
    </row>
    <row r="118" spans="10:19">
      <c r="J118" s="334">
        <v>0.125</v>
      </c>
      <c r="N118" s="353" t="s">
        <v>83</v>
      </c>
      <c r="O118" s="354"/>
      <c r="P118" s="353" t="s">
        <v>67</v>
      </c>
      <c r="Q118" s="332" t="s">
        <v>93</v>
      </c>
    </row>
    <row r="119" spans="10:19">
      <c r="J119" s="334">
        <v>0.13</v>
      </c>
      <c r="M119" s="332" t="s">
        <v>90</v>
      </c>
      <c r="N119" s="355">
        <v>15</v>
      </c>
      <c r="O119" s="356"/>
      <c r="P119" s="355">
        <v>15</v>
      </c>
      <c r="Q119" s="355">
        <f>IF(K91=3,P119,N119)</f>
        <v>15</v>
      </c>
    </row>
    <row r="120" spans="10:19">
      <c r="J120" s="334">
        <v>0.13500000000000001</v>
      </c>
      <c r="M120" s="332" t="s">
        <v>91</v>
      </c>
      <c r="N120" s="355">
        <v>5</v>
      </c>
      <c r="O120" s="356"/>
      <c r="P120" s="355">
        <v>5</v>
      </c>
      <c r="Q120" s="355">
        <f>IF(K91=3,P120,N120)</f>
        <v>5</v>
      </c>
    </row>
    <row r="121" spans="10:19">
      <c r="J121" s="334">
        <v>0.14000000000000001</v>
      </c>
    </row>
    <row r="122" spans="10:19">
      <c r="J122" s="334">
        <v>0.14499999999999999</v>
      </c>
    </row>
    <row r="123" spans="10:19">
      <c r="J123" s="334">
        <v>0.15</v>
      </c>
      <c r="M123" s="326" t="s">
        <v>94</v>
      </c>
    </row>
    <row r="124" spans="10:19">
      <c r="J124" s="334">
        <v>0.155</v>
      </c>
      <c r="L124" s="357"/>
      <c r="M124" s="358">
        <f ca="1">TODAY()</f>
        <v>43403</v>
      </c>
      <c r="N124" s="326" t="s">
        <v>95</v>
      </c>
    </row>
    <row r="125" spans="10:19">
      <c r="J125" s="334">
        <v>0.16</v>
      </c>
      <c r="M125" s="358">
        <v>42736</v>
      </c>
      <c r="N125" s="326" t="s">
        <v>96</v>
      </c>
    </row>
    <row r="126" spans="10:19">
      <c r="J126" s="334">
        <v>0.16500000000000001</v>
      </c>
    </row>
    <row r="127" spans="10:19">
      <c r="J127" s="334">
        <v>0.17</v>
      </c>
      <c r="M127" s="353">
        <v>2017</v>
      </c>
      <c r="N127" s="332" t="s">
        <v>97</v>
      </c>
    </row>
    <row r="128" spans="10:19">
      <c r="J128" s="334">
        <v>0.17499999999999999</v>
      </c>
      <c r="M128" s="353" t="s">
        <v>98</v>
      </c>
      <c r="N128" s="332" t="s">
        <v>99</v>
      </c>
    </row>
    <row r="129" spans="10:14">
      <c r="J129" s="334">
        <v>0.18</v>
      </c>
      <c r="M129" s="353" t="s">
        <v>93</v>
      </c>
      <c r="N129" s="332" t="str">
        <f ca="1">IF(M124&lt;M125,N128,N127)</f>
        <v>Your shipment will incur either an Over Weight Piece surcharge of £35 or an Over Sized Piece surcharge of £35 as applicable. Neither of these surcharges are included in the prices displayed below.</v>
      </c>
    </row>
    <row r="130" spans="10:14">
      <c r="J130" s="334">
        <v>0.185</v>
      </c>
    </row>
    <row r="131" spans="10:14">
      <c r="J131" s="334">
        <v>0.19</v>
      </c>
    </row>
    <row r="132" spans="10:14">
      <c r="J132" s="334">
        <v>0.19500000000000001</v>
      </c>
    </row>
    <row r="133" spans="10:14">
      <c r="J133" s="334">
        <v>0.2</v>
      </c>
    </row>
    <row r="134" spans="10:14">
      <c r="J134" s="334">
        <v>0.20499999999999999</v>
      </c>
    </row>
    <row r="135" spans="10:14">
      <c r="J135" s="334">
        <v>0.21</v>
      </c>
    </row>
    <row r="136" spans="10:14">
      <c r="J136" s="334">
        <v>0.215</v>
      </c>
    </row>
    <row r="137" spans="10:14">
      <c r="J137" s="334">
        <v>0.22</v>
      </c>
    </row>
    <row r="138" spans="10:14">
      <c r="J138" s="334">
        <v>0.22500000000000001</v>
      </c>
    </row>
    <row r="139" spans="10:14">
      <c r="J139" s="334">
        <v>0.23</v>
      </c>
    </row>
    <row r="140" spans="10:14">
      <c r="J140" s="334">
        <v>0.23499999999999999</v>
      </c>
    </row>
    <row r="141" spans="10:14">
      <c r="J141" s="334">
        <v>0.24</v>
      </c>
    </row>
    <row r="142" spans="10:14">
      <c r="J142" s="334">
        <v>0.245</v>
      </c>
    </row>
    <row r="143" spans="10:14">
      <c r="J143" s="334">
        <v>0.25</v>
      </c>
    </row>
    <row r="144" spans="10:14">
      <c r="J144" s="334">
        <v>0.255</v>
      </c>
    </row>
    <row r="145" spans="10:10">
      <c r="J145" s="334">
        <v>0.26</v>
      </c>
    </row>
    <row r="146" spans="10:10">
      <c r="J146" s="334">
        <v>0.26500000000000001</v>
      </c>
    </row>
    <row r="147" spans="10:10">
      <c r="J147" s="334">
        <v>0.27</v>
      </c>
    </row>
    <row r="148" spans="10:10">
      <c r="J148" s="334">
        <v>0.27500000000000002</v>
      </c>
    </row>
    <row r="149" spans="10:10">
      <c r="J149" s="334">
        <v>0.28000000000000003</v>
      </c>
    </row>
    <row r="150" spans="10:10">
      <c r="J150" s="334">
        <v>0.28499999999999998</v>
      </c>
    </row>
    <row r="151" spans="10:10">
      <c r="J151" s="334">
        <v>0.28999999999999998</v>
      </c>
    </row>
    <row r="152" spans="10:10">
      <c r="J152" s="334">
        <v>0.29499999999999998</v>
      </c>
    </row>
    <row r="153" spans="10:10">
      <c r="J153" s="334">
        <v>0.3</v>
      </c>
    </row>
  </sheetData>
  <sheetProtection password="F2BC" sheet="1" objects="1" scenarios="1" selectLockedCells="1"/>
  <dataConsolidate/>
  <mergeCells count="15">
    <mergeCell ref="C3:E3"/>
    <mergeCell ref="C5:E5"/>
    <mergeCell ref="C7:E7"/>
    <mergeCell ref="C8:E8"/>
    <mergeCell ref="C10:E10"/>
    <mergeCell ref="C9:E9"/>
    <mergeCell ref="C13:E13"/>
    <mergeCell ref="C18:E18"/>
    <mergeCell ref="C19:E19"/>
    <mergeCell ref="C20:E20"/>
    <mergeCell ref="C6:E6"/>
    <mergeCell ref="C11:E11"/>
    <mergeCell ref="C14:E14"/>
    <mergeCell ref="B17:D17"/>
    <mergeCell ref="C16:E16"/>
  </mergeCells>
  <dataValidations count="13">
    <dataValidation type="list" allowBlank="1" showInputMessage="1" showErrorMessage="1" prompt="Select Type of Shipment" sqref="C5:E5">
      <formula1>"Document, Non-document"</formula1>
    </dataValidation>
    <dataValidation type="custom" allowBlank="1" showInputMessage="1" showErrorMessage="1" error="Please enter a valid length._x000a_" sqref="C19:E19">
      <formula1>ISNUMBER(C19)</formula1>
    </dataValidation>
    <dataValidation type="custom" allowBlank="1" showInputMessage="1" showErrorMessage="1" error="Please enter a valid width._x000a_" sqref="C20:E20">
      <formula1>ISNUMBER(C20)</formula1>
    </dataValidation>
    <dataValidation type="custom" allowBlank="1" showInputMessage="1" showErrorMessage="1" error="Please enter a valid height._x000a_" sqref="C18:E18">
      <formula1>ISNUMBER(C18)</formula1>
    </dataValidation>
    <dataValidation type="list" allowBlank="1" showInputMessage="1" showErrorMessage="1" prompt="Select Piece" sqref="C6:E6">
      <formula1>"Yes, No"</formula1>
    </dataValidation>
    <dataValidation type="list" allowBlank="1" showInputMessage="1" showErrorMessage="1" sqref="C4:E4">
      <formula1>countries</formula1>
    </dataValidation>
    <dataValidation type="list" allowBlank="1" showInputMessage="1" showErrorMessage="1" prompt="Select Country" sqref="C3:E3">
      <formula1>countries</formula1>
    </dataValidation>
    <dataValidation type="custom" allowBlank="1" showInputMessage="1" showErrorMessage="1" error="Please enter a valid weight._x000a_" prompt="Enter Weight in (kg) " sqref="C7:E7">
      <formula1>ISNUMBER(C7)</formula1>
    </dataValidation>
    <dataValidation type="custom" allowBlank="1" showInputMessage="1" showErrorMessage="1" error="Please enter a valid height._x000a_" prompt="Enter Height in (cm)" sqref="C8:E8">
      <formula1>ISNUMBER(C8)</formula1>
    </dataValidation>
    <dataValidation type="custom" allowBlank="1" showInputMessage="1" showErrorMessage="1" error="Please enter a valid length._x000a_" prompt="Enter Length in (cm)" sqref="C9:E9">
      <formula1>ISNUMBER(C9)</formula1>
    </dataValidation>
    <dataValidation type="custom" allowBlank="1" showInputMessage="1" showErrorMessage="1" error="Please enter a valid width._x000a_" prompt="Enter Width in (cm)" sqref="C10:E10">
      <formula1>ISNUMBER(C10)</formula1>
    </dataValidation>
    <dataValidation type="custom" allowBlank="1" showInputMessage="1" showErrorMessage="1" error="Please enter a valid weight._x000a_" prompt="Enter % from DHL Site" sqref="C13:E14">
      <formula1>ISNUMBER(C13)</formula1>
    </dataValidation>
    <dataValidation type="list" showInputMessage="1" showErrorMessage="1" error="Please enter a valid weight._x000a_" prompt="Select Option" sqref="C16:E16">
      <formula1>"Select Option,No,Yes"</formula1>
    </dataValidation>
  </dataValidations>
  <hyperlinks>
    <hyperlink ref="E15" r:id="rId1"/>
  </hyperlinks>
  <pageMargins left="0.7" right="0.7" top="0.75" bottom="0.75" header="0.3" footer="0.3"/>
  <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3AAF4"/>
  </sheetPr>
  <dimension ref="A1:F47"/>
  <sheetViews>
    <sheetView showGridLines="0" workbookViewId="0">
      <selection activeCell="D2" sqref="D2:E2"/>
    </sheetView>
  </sheetViews>
  <sheetFormatPr baseColWidth="10" defaultColWidth="9.1640625" defaultRowHeight="12" x14ac:dyDescent="0"/>
  <cols>
    <col min="1" max="1" width="3.5" style="442" customWidth="1"/>
    <col min="2" max="2" width="18" style="442" customWidth="1"/>
    <col min="3" max="3" width="53.6640625" style="442" customWidth="1"/>
    <col min="4" max="4" width="7.5" style="442" customWidth="1"/>
    <col min="5" max="5" width="13.6640625" style="442" customWidth="1"/>
    <col min="6" max="6" width="11" style="442" customWidth="1"/>
    <col min="7" max="16384" width="9.1640625" style="442"/>
  </cols>
  <sheetData>
    <row r="1" spans="1:6" s="431" customFormat="1" ht="24" customHeight="1">
      <c r="A1" s="428"/>
      <c r="B1" s="428"/>
      <c r="C1" s="429" t="s">
        <v>564</v>
      </c>
      <c r="D1" s="428"/>
      <c r="E1" s="430"/>
      <c r="F1" s="428"/>
    </row>
    <row r="2" spans="1:6" s="431" customFormat="1" ht="17">
      <c r="A2" s="432"/>
      <c r="B2" s="432" t="s">
        <v>526</v>
      </c>
      <c r="C2" s="432"/>
      <c r="D2" s="538" t="s">
        <v>634</v>
      </c>
      <c r="E2" s="538"/>
      <c r="F2" s="432"/>
    </row>
    <row r="3" spans="1:6" s="431" customFormat="1" ht="17" hidden="1">
      <c r="A3" s="432"/>
      <c r="B3" s="432"/>
      <c r="C3" s="432"/>
      <c r="D3" s="432"/>
      <c r="E3" s="432"/>
      <c r="F3" s="432"/>
    </row>
    <row r="4" spans="1:6" s="431" customFormat="1" ht="17" hidden="1">
      <c r="A4" s="432"/>
      <c r="B4" s="433" t="s">
        <v>525</v>
      </c>
      <c r="C4" s="432"/>
      <c r="D4" s="432"/>
      <c r="E4" s="443">
        <v>0</v>
      </c>
      <c r="F4" s="432"/>
    </row>
    <row r="5" spans="1:6" s="431" customFormat="1" ht="17" hidden="1">
      <c r="A5" s="432"/>
      <c r="B5" s="432"/>
      <c r="C5" s="432"/>
      <c r="D5" s="432"/>
      <c r="E5" s="432"/>
      <c r="F5" s="432"/>
    </row>
    <row r="6" spans="1:6" s="431" customFormat="1" ht="17" hidden="1">
      <c r="A6" s="432"/>
      <c r="B6" s="432" t="s">
        <v>529</v>
      </c>
      <c r="C6" s="432"/>
      <c r="D6" s="432"/>
      <c r="E6" s="432"/>
      <c r="F6" s="432"/>
    </row>
    <row r="7" spans="1:6" s="431" customFormat="1" ht="17" hidden="1">
      <c r="A7" s="432"/>
      <c r="B7" s="433" t="s">
        <v>506</v>
      </c>
      <c r="C7" s="432"/>
      <c r="D7" s="432"/>
      <c r="E7" s="434">
        <f>VLOOKUP(B7,'UK IMPORT SERVICES 2'!$C$3:$D$6,2,FALSE)</f>
        <v>30</v>
      </c>
      <c r="F7" s="432"/>
    </row>
    <row r="8" spans="1:6" s="431" customFormat="1" ht="17" hidden="1">
      <c r="A8" s="432"/>
      <c r="B8" s="433" t="s">
        <v>509</v>
      </c>
      <c r="C8" s="432"/>
      <c r="D8" s="432"/>
      <c r="E8" s="434">
        <f>VLOOKUP(B8,'UK IMPORT SERVICES 2'!$C$3:$D$6,2,FALSE)</f>
        <v>78</v>
      </c>
      <c r="F8" s="432"/>
    </row>
    <row r="9" spans="1:6" s="431" customFormat="1" ht="17" hidden="1">
      <c r="A9" s="432"/>
      <c r="B9" s="433" t="s">
        <v>512</v>
      </c>
      <c r="C9" s="432"/>
      <c r="D9" s="432"/>
      <c r="E9" s="434">
        <f>VLOOKUP(B9,'UK IMPORT SERVICES 2'!$C$3:$D$6,2,FALSE)</f>
        <v>42</v>
      </c>
      <c r="F9" s="432"/>
    </row>
    <row r="10" spans="1:6" s="431" customFormat="1" ht="17" hidden="1">
      <c r="A10" s="432"/>
      <c r="B10" s="433" t="s">
        <v>515</v>
      </c>
      <c r="C10" s="432"/>
      <c r="D10" s="432"/>
      <c r="E10" s="434">
        <f>VLOOKUP(B10,'UK IMPORT SERVICES 2'!$C$3:$D$6,2,FALSE)</f>
        <v>68</v>
      </c>
      <c r="F10" s="432"/>
    </row>
    <row r="11" spans="1:6" s="431" customFormat="1" ht="17" hidden="1">
      <c r="A11" s="432"/>
      <c r="B11" s="433"/>
      <c r="C11" s="432"/>
      <c r="D11" s="432"/>
      <c r="E11" s="432"/>
      <c r="F11" s="432"/>
    </row>
    <row r="12" spans="1:6" s="431" customFormat="1" ht="17" hidden="1">
      <c r="A12" s="432"/>
      <c r="B12" s="433" t="s">
        <v>531</v>
      </c>
      <c r="C12" s="432"/>
      <c r="D12" s="432"/>
      <c r="E12" s="432"/>
      <c r="F12" s="432"/>
    </row>
    <row r="13" spans="1:6" s="431" customFormat="1" ht="17" hidden="1">
      <c r="A13" s="432"/>
      <c r="B13" s="433" t="s">
        <v>532</v>
      </c>
      <c r="C13" s="432"/>
      <c r="D13" s="432"/>
      <c r="E13" s="432"/>
      <c r="F13" s="432"/>
    </row>
    <row r="14" spans="1:6" s="431" customFormat="1" ht="17" hidden="1">
      <c r="A14" s="432"/>
      <c r="B14" s="433" t="s">
        <v>533</v>
      </c>
      <c r="C14" s="432"/>
      <c r="D14" s="432"/>
      <c r="E14" s="432"/>
      <c r="F14" s="432"/>
    </row>
    <row r="15" spans="1:6" s="431" customFormat="1" ht="17" hidden="1">
      <c r="A15" s="432"/>
      <c r="B15" s="433" t="s">
        <v>534</v>
      </c>
      <c r="C15" s="432"/>
      <c r="D15" s="432"/>
      <c r="E15" s="432"/>
      <c r="F15" s="432"/>
    </row>
    <row r="16" spans="1:6" s="431" customFormat="1" ht="17" hidden="1">
      <c r="A16" s="432"/>
      <c r="B16" s="433"/>
      <c r="C16" s="432"/>
      <c r="D16" s="432"/>
      <c r="E16" s="432"/>
      <c r="F16" s="432"/>
    </row>
    <row r="17" spans="1:6" s="431" customFormat="1" ht="17" hidden="1">
      <c r="A17" s="432"/>
      <c r="B17" s="433" t="s">
        <v>535</v>
      </c>
      <c r="C17" s="432"/>
      <c r="D17" s="444" t="s">
        <v>60</v>
      </c>
      <c r="E17" s="435">
        <f>IF(D17="Yes",15,0)</f>
        <v>0</v>
      </c>
      <c r="F17" s="432"/>
    </row>
    <row r="18" spans="1:6" s="431" customFormat="1" ht="17" hidden="1">
      <c r="A18" s="432"/>
      <c r="B18" s="432"/>
      <c r="C18" s="432"/>
      <c r="D18" s="432"/>
      <c r="E18" s="432"/>
      <c r="F18" s="432"/>
    </row>
    <row r="19" spans="1:6" s="431" customFormat="1" ht="17" hidden="1">
      <c r="A19" s="432"/>
      <c r="B19" s="432"/>
      <c r="C19" s="432"/>
      <c r="D19" s="432"/>
      <c r="E19" s="432"/>
      <c r="F19" s="432"/>
    </row>
    <row r="20" spans="1:6" s="439" customFormat="1" ht="24" hidden="1" customHeight="1">
      <c r="A20" s="436"/>
      <c r="B20" s="437" t="s">
        <v>537</v>
      </c>
      <c r="C20" s="436"/>
      <c r="D20" s="436"/>
      <c r="E20" s="438">
        <f>SUM(E7:E10)+E17</f>
        <v>218</v>
      </c>
      <c r="F20" s="436"/>
    </row>
    <row r="21" spans="1:6" s="431" customFormat="1" ht="17" hidden="1">
      <c r="A21" s="432"/>
      <c r="B21" s="432"/>
      <c r="C21" s="432"/>
      <c r="D21" s="432"/>
      <c r="E21" s="432"/>
      <c r="F21" s="432"/>
    </row>
    <row r="22" spans="1:6" s="431" customFormat="1" ht="17" hidden="1">
      <c r="A22" s="432"/>
      <c r="B22" s="432" t="s">
        <v>530</v>
      </c>
      <c r="C22" s="432"/>
      <c r="D22" s="432"/>
      <c r="E22" s="432"/>
      <c r="F22" s="432"/>
    </row>
    <row r="23" spans="1:6" s="431" customFormat="1" ht="17" hidden="1">
      <c r="A23" s="432"/>
      <c r="B23" s="432"/>
      <c r="C23" s="432"/>
      <c r="D23" s="432"/>
      <c r="E23" s="432"/>
      <c r="F23" s="432"/>
    </row>
    <row r="24" spans="1:6" s="431" customFormat="1" ht="17" hidden="1">
      <c r="A24" s="432"/>
      <c r="B24" s="433" t="s">
        <v>458</v>
      </c>
      <c r="C24" s="432"/>
      <c r="D24" s="432"/>
      <c r="E24" s="434">
        <f>VLOOKUP(B24,'UK IMPORT SERVICES 1'!$C$3:$D$4,2,FALSE)</f>
        <v>35</v>
      </c>
      <c r="F24" s="432"/>
    </row>
    <row r="25" spans="1:6" s="431" customFormat="1" ht="17" hidden="1">
      <c r="A25" s="432"/>
      <c r="B25" s="433" t="s">
        <v>459</v>
      </c>
      <c r="C25" s="432"/>
      <c r="D25" s="432"/>
      <c r="E25" s="434">
        <f>VLOOKUP(B25,'UK IMPORT SERVICES 1'!$C$3:$D$4,2,FALSE)</f>
        <v>3.5</v>
      </c>
      <c r="F25" s="432"/>
    </row>
    <row r="26" spans="1:6" s="431" customFormat="1" ht="17" hidden="1">
      <c r="A26" s="432"/>
      <c r="B26" s="433" t="s">
        <v>461</v>
      </c>
      <c r="C26" s="432"/>
      <c r="D26" s="432"/>
      <c r="E26" s="434">
        <f>MAX(IF(E27&gt;20000,1.5%,IF(E27&gt;10000,2%,2.5%))*'Duty Calculator v2'!E12,30)</f>
        <v>72.424799999999991</v>
      </c>
      <c r="F26" s="432"/>
    </row>
    <row r="27" spans="1:6" s="431" customFormat="1" ht="17" hidden="1">
      <c r="A27" s="432"/>
      <c r="B27" s="433" t="s">
        <v>527</v>
      </c>
      <c r="C27" s="432"/>
      <c r="D27" s="432"/>
      <c r="E27" s="434">
        <f>E4*0.2</f>
        <v>0</v>
      </c>
      <c r="F27" s="432"/>
    </row>
    <row r="28" spans="1:6" s="431" customFormat="1" ht="17" hidden="1">
      <c r="A28" s="432"/>
      <c r="B28" s="432"/>
      <c r="C28" s="432"/>
      <c r="D28" s="432"/>
      <c r="E28" s="434"/>
      <c r="F28" s="432"/>
    </row>
    <row r="29" spans="1:6" s="431" customFormat="1" ht="17" hidden="1">
      <c r="A29" s="432"/>
      <c r="B29" s="433" t="s">
        <v>464</v>
      </c>
      <c r="C29" s="432"/>
      <c r="D29" s="444" t="s">
        <v>61</v>
      </c>
      <c r="E29" s="434" t="str">
        <f>IF(D29="Yes",VLOOKUP(B29,'UK IMPORT SERVICES 1'!$C$11:$D$21,2,FALSE),0)</f>
        <v xml:space="preserve"> (10.0% of total freight)</v>
      </c>
      <c r="F29" s="432"/>
    </row>
    <row r="30" spans="1:6" s="431" customFormat="1" ht="17" hidden="1">
      <c r="A30" s="432"/>
      <c r="B30" s="433" t="s">
        <v>467</v>
      </c>
      <c r="C30" s="432"/>
      <c r="D30" s="444" t="s">
        <v>61</v>
      </c>
      <c r="E30" s="434">
        <f>IF(D30="Yes",VLOOKUP(B30,'UK IMPORT SERVICES 1'!$C$11:$D$21,2,FALSE),0)</f>
        <v>1.5</v>
      </c>
      <c r="F30" s="432"/>
    </row>
    <row r="31" spans="1:6" s="431" customFormat="1" ht="17" hidden="1">
      <c r="A31" s="432"/>
      <c r="B31" s="433" t="s">
        <v>471</v>
      </c>
      <c r="C31" s="432"/>
      <c r="D31" s="444" t="s">
        <v>61</v>
      </c>
      <c r="E31" s="434">
        <f>IF(D31="Yes",VLOOKUP(B31,'UK IMPORT SERVICES 1'!$C$11:$D$21,2,FALSE),0)</f>
        <v>2</v>
      </c>
      <c r="F31" s="432"/>
    </row>
    <row r="32" spans="1:6" s="431" customFormat="1" ht="17" hidden="1">
      <c r="A32" s="432"/>
      <c r="B32" s="433" t="s">
        <v>475</v>
      </c>
      <c r="C32" s="432"/>
      <c r="D32" s="444" t="s">
        <v>61</v>
      </c>
      <c r="E32" s="434">
        <f>IF(D32="Yes",VLOOKUP(B32,'UK IMPORT SERVICES 1'!$C$11:$D$21,2,FALSE),0)</f>
        <v>35</v>
      </c>
      <c r="F32" s="432"/>
    </row>
    <row r="33" spans="1:6" s="431" customFormat="1" ht="17" hidden="1">
      <c r="A33" s="432"/>
      <c r="B33" s="433" t="s">
        <v>482</v>
      </c>
      <c r="C33" s="432"/>
      <c r="D33" s="444" t="s">
        <v>60</v>
      </c>
      <c r="E33" s="434">
        <f>IF(D33="Yes",VLOOKUP(B33,'UK IMPORT SERVICES 1'!$C$11:$D$21,2,FALSE),0)</f>
        <v>0</v>
      </c>
      <c r="F33" s="432"/>
    </row>
    <row r="34" spans="1:6" s="431" customFormat="1" ht="17" hidden="1">
      <c r="A34" s="432"/>
      <c r="B34" s="433" t="s">
        <v>479</v>
      </c>
      <c r="C34" s="432"/>
      <c r="D34" s="444" t="s">
        <v>60</v>
      </c>
      <c r="E34" s="434"/>
      <c r="F34" s="432"/>
    </row>
    <row r="35" spans="1:6" s="431" customFormat="1" ht="17" hidden="1">
      <c r="A35" s="432"/>
      <c r="B35" s="432"/>
      <c r="C35" s="432"/>
      <c r="D35" s="432"/>
      <c r="E35" s="434"/>
      <c r="F35" s="432"/>
    </row>
    <row r="36" spans="1:6" s="431" customFormat="1" ht="17" hidden="1">
      <c r="A36" s="432"/>
      <c r="B36" s="433" t="s">
        <v>523</v>
      </c>
      <c r="C36" s="432"/>
      <c r="D36" s="432"/>
      <c r="E36" s="434"/>
      <c r="F36" s="432"/>
    </row>
    <row r="37" spans="1:6" s="431" customFormat="1" ht="17" hidden="1">
      <c r="A37" s="432"/>
      <c r="B37" s="433" t="s">
        <v>524</v>
      </c>
      <c r="C37" s="432"/>
      <c r="D37" s="432"/>
      <c r="E37" s="434"/>
      <c r="F37" s="432"/>
    </row>
    <row r="38" spans="1:6" s="431" customFormat="1" ht="17" hidden="1">
      <c r="A38" s="432"/>
      <c r="B38" s="433" t="s">
        <v>484</v>
      </c>
      <c r="C38" s="432"/>
      <c r="D38" s="444" t="s">
        <v>60</v>
      </c>
      <c r="E38" s="434">
        <f>IF(D38="Yes",VLOOKUP(B38,'UK IMPORT SERVICES 1'!$C$11:$D$21,2,FALSE),0)</f>
        <v>0</v>
      </c>
      <c r="F38" s="432"/>
    </row>
    <row r="39" spans="1:6" s="431" customFormat="1" ht="17" hidden="1">
      <c r="A39" s="432"/>
      <c r="B39" s="433" t="s">
        <v>488</v>
      </c>
      <c r="C39" s="432"/>
      <c r="D39" s="444" t="s">
        <v>60</v>
      </c>
      <c r="E39" s="434">
        <f>IF(D39="Yes",VLOOKUP(B39,'UK IMPORT SERVICES 1'!$C$11:$D$21,2,FALSE),0)</f>
        <v>0</v>
      </c>
      <c r="F39" s="432"/>
    </row>
    <row r="40" spans="1:6" s="431" customFormat="1" ht="17" hidden="1">
      <c r="A40" s="432"/>
      <c r="B40" s="432"/>
      <c r="C40" s="432"/>
      <c r="D40" s="432"/>
      <c r="E40" s="440"/>
      <c r="F40" s="432"/>
    </row>
    <row r="41" spans="1:6" s="431" customFormat="1" ht="17" hidden="1">
      <c r="A41" s="432"/>
      <c r="B41" s="433" t="s">
        <v>535</v>
      </c>
      <c r="C41" s="432"/>
      <c r="D41" s="444" t="s">
        <v>60</v>
      </c>
      <c r="E41" s="435">
        <f>IF(D41="Yes",15,0)</f>
        <v>0</v>
      </c>
      <c r="F41" s="432"/>
    </row>
    <row r="42" spans="1:6" s="431" customFormat="1" ht="17" hidden="1">
      <c r="A42" s="432"/>
      <c r="B42" s="432"/>
      <c r="C42" s="432"/>
      <c r="D42" s="432"/>
      <c r="E42" s="440"/>
      <c r="F42" s="432"/>
    </row>
    <row r="43" spans="1:6" s="431" customFormat="1" ht="17" hidden="1">
      <c r="A43" s="432"/>
      <c r="B43" s="432"/>
      <c r="C43" s="432"/>
      <c r="D43" s="432"/>
      <c r="E43" s="432"/>
      <c r="F43" s="432"/>
    </row>
    <row r="44" spans="1:6" s="439" customFormat="1" ht="24" hidden="1" customHeight="1">
      <c r="A44" s="436"/>
      <c r="B44" s="437" t="s">
        <v>528</v>
      </c>
      <c r="C44" s="436"/>
      <c r="D44" s="436"/>
      <c r="E44" s="441">
        <f>+E39+E38+E33+E32+E31+E30+E27+E26+E25+E24+E41</f>
        <v>149.4248</v>
      </c>
      <c r="F44" s="436"/>
    </row>
    <row r="45" spans="1:6" s="431" customFormat="1" ht="17">
      <c r="A45" s="432"/>
      <c r="B45" s="432"/>
      <c r="C45" s="432"/>
      <c r="D45" s="432"/>
      <c r="E45" s="432"/>
      <c r="F45" s="432"/>
    </row>
    <row r="46" spans="1:6" s="431" customFormat="1" ht="17">
      <c r="A46" s="432"/>
      <c r="B46" s="432"/>
      <c r="C46" s="432"/>
      <c r="D46" s="432"/>
      <c r="E46" s="432"/>
      <c r="F46" s="432"/>
    </row>
    <row r="47" spans="1:6" ht="15">
      <c r="E47" s="426" t="s">
        <v>568</v>
      </c>
    </row>
  </sheetData>
  <sheetProtection password="F2BC" sheet="1" objects="1" scenarios="1" selectLockedCells="1"/>
  <mergeCells count="1">
    <mergeCell ref="D2:E2"/>
  </mergeCells>
  <dataValidations xWindow="543" yWindow="230" count="3">
    <dataValidation type="list" allowBlank="1" showInputMessage="1" showErrorMessage="1" sqref="D29:D34 D38:D39 D17 D41">
      <formula1>"No, Yes"</formula1>
    </dataValidation>
    <dataValidation type="list" allowBlank="1" showInputMessage="1" showErrorMessage="1" prompt="Select Option" sqref="D2:E2">
      <formula1>"Select an option, Outside, Inside"</formula1>
    </dataValidation>
    <dataValidation type="custom" allowBlank="1" showInputMessage="1" showErrorMessage="1" prompt="Enter total value of drinks" sqref="E4">
      <formula1>ISNUMBER(E4)</formula1>
    </dataValidation>
  </dataValidations>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tabColor rgb="FFFFFF00"/>
  </sheetPr>
  <dimension ref="A1:S247"/>
  <sheetViews>
    <sheetView workbookViewId="0">
      <selection activeCell="C242" sqref="C242"/>
    </sheetView>
  </sheetViews>
  <sheetFormatPr baseColWidth="10" defaultColWidth="11.5" defaultRowHeight="13" x14ac:dyDescent="0"/>
  <cols>
    <col min="1" max="1" width="1.1640625" style="42" customWidth="1"/>
    <col min="2" max="2" width="27.6640625" style="42" customWidth="1"/>
    <col min="3" max="3" width="8" style="42" customWidth="1"/>
    <col min="4" max="4" width="8.83203125" style="42" customWidth="1"/>
    <col min="5" max="5" width="6.6640625" style="42" customWidth="1"/>
    <col min="6" max="6" width="8.6640625" style="42" customWidth="1"/>
    <col min="7" max="7" width="7.6640625" style="42" customWidth="1"/>
    <col min="8" max="8" width="5.6640625" style="43" customWidth="1"/>
    <col min="9" max="9" width="8.6640625" style="43" customWidth="1"/>
    <col min="10" max="10" width="7.33203125" style="43" customWidth="1"/>
    <col min="11" max="11" width="9" style="44" bestFit="1" customWidth="1"/>
    <col min="12" max="13" width="11.5" style="44" customWidth="1"/>
    <col min="14" max="14" width="8.83203125" style="45" customWidth="1"/>
    <col min="15" max="17" width="26.1640625" style="44" bestFit="1" customWidth="1"/>
    <col min="18" max="18" width="2.6640625" style="44" customWidth="1"/>
    <col min="19" max="19" width="19.5" style="42" customWidth="1"/>
    <col min="20" max="256" width="11.5" style="42"/>
    <col min="257" max="257" width="1.1640625" style="42" customWidth="1"/>
    <col min="258" max="258" width="27.6640625" style="42" customWidth="1"/>
    <col min="259" max="259" width="8" style="42" customWidth="1"/>
    <col min="260" max="260" width="8.83203125" style="42" customWidth="1"/>
    <col min="261" max="261" width="6.6640625" style="42" customWidth="1"/>
    <col min="262" max="262" width="8.6640625" style="42" customWidth="1"/>
    <col min="263" max="263" width="7.6640625" style="42" customWidth="1"/>
    <col min="264" max="264" width="5.6640625" style="42" customWidth="1"/>
    <col min="265" max="265" width="8.6640625" style="42" customWidth="1"/>
    <col min="266" max="266" width="7.33203125" style="42" customWidth="1"/>
    <col min="267" max="267" width="9" style="42" bestFit="1" customWidth="1"/>
    <col min="268" max="269" width="11.5" style="42"/>
    <col min="270" max="270" width="8.83203125" style="42" customWidth="1"/>
    <col min="271" max="273" width="26.1640625" style="42" bestFit="1" customWidth="1"/>
    <col min="274" max="274" width="2.6640625" style="42" customWidth="1"/>
    <col min="275" max="275" width="19.5" style="42" customWidth="1"/>
    <col min="276" max="512" width="11.5" style="42"/>
    <col min="513" max="513" width="1.1640625" style="42" customWidth="1"/>
    <col min="514" max="514" width="27.6640625" style="42" customWidth="1"/>
    <col min="515" max="515" width="8" style="42" customWidth="1"/>
    <col min="516" max="516" width="8.83203125" style="42" customWidth="1"/>
    <col min="517" max="517" width="6.6640625" style="42" customWidth="1"/>
    <col min="518" max="518" width="8.6640625" style="42" customWidth="1"/>
    <col min="519" max="519" width="7.6640625" style="42" customWidth="1"/>
    <col min="520" max="520" width="5.6640625" style="42" customWidth="1"/>
    <col min="521" max="521" width="8.6640625" style="42" customWidth="1"/>
    <col min="522" max="522" width="7.33203125" style="42" customWidth="1"/>
    <col min="523" max="523" width="9" style="42" bestFit="1" customWidth="1"/>
    <col min="524" max="525" width="11.5" style="42"/>
    <col min="526" max="526" width="8.83203125" style="42" customWidth="1"/>
    <col min="527" max="529" width="26.1640625" style="42" bestFit="1" customWidth="1"/>
    <col min="530" max="530" width="2.6640625" style="42" customWidth="1"/>
    <col min="531" max="531" width="19.5" style="42" customWidth="1"/>
    <col min="532" max="768" width="11.5" style="42"/>
    <col min="769" max="769" width="1.1640625" style="42" customWidth="1"/>
    <col min="770" max="770" width="27.6640625" style="42" customWidth="1"/>
    <col min="771" max="771" width="8" style="42" customWidth="1"/>
    <col min="772" max="772" width="8.83203125" style="42" customWidth="1"/>
    <col min="773" max="773" width="6.6640625" style="42" customWidth="1"/>
    <col min="774" max="774" width="8.6640625" style="42" customWidth="1"/>
    <col min="775" max="775" width="7.6640625" style="42" customWidth="1"/>
    <col min="776" max="776" width="5.6640625" style="42" customWidth="1"/>
    <col min="777" max="777" width="8.6640625" style="42" customWidth="1"/>
    <col min="778" max="778" width="7.33203125" style="42" customWidth="1"/>
    <col min="779" max="779" width="9" style="42" bestFit="1" customWidth="1"/>
    <col min="780" max="781" width="11.5" style="42"/>
    <col min="782" max="782" width="8.83203125" style="42" customWidth="1"/>
    <col min="783" max="785" width="26.1640625" style="42" bestFit="1" customWidth="1"/>
    <col min="786" max="786" width="2.6640625" style="42" customWidth="1"/>
    <col min="787" max="787" width="19.5" style="42" customWidth="1"/>
    <col min="788" max="1024" width="11.5" style="42"/>
    <col min="1025" max="1025" width="1.1640625" style="42" customWidth="1"/>
    <col min="1026" max="1026" width="27.6640625" style="42" customWidth="1"/>
    <col min="1027" max="1027" width="8" style="42" customWidth="1"/>
    <col min="1028" max="1028" width="8.83203125" style="42" customWidth="1"/>
    <col min="1029" max="1029" width="6.6640625" style="42" customWidth="1"/>
    <col min="1030" max="1030" width="8.6640625" style="42" customWidth="1"/>
    <col min="1031" max="1031" width="7.6640625" style="42" customWidth="1"/>
    <col min="1032" max="1032" width="5.6640625" style="42" customWidth="1"/>
    <col min="1033" max="1033" width="8.6640625" style="42" customWidth="1"/>
    <col min="1034" max="1034" width="7.33203125" style="42" customWidth="1"/>
    <col min="1035" max="1035" width="9" style="42" bestFit="1" customWidth="1"/>
    <col min="1036" max="1037" width="11.5" style="42"/>
    <col min="1038" max="1038" width="8.83203125" style="42" customWidth="1"/>
    <col min="1039" max="1041" width="26.1640625" style="42" bestFit="1" customWidth="1"/>
    <col min="1042" max="1042" width="2.6640625" style="42" customWidth="1"/>
    <col min="1043" max="1043" width="19.5" style="42" customWidth="1"/>
    <col min="1044" max="1280" width="11.5" style="42"/>
    <col min="1281" max="1281" width="1.1640625" style="42" customWidth="1"/>
    <col min="1282" max="1282" width="27.6640625" style="42" customWidth="1"/>
    <col min="1283" max="1283" width="8" style="42" customWidth="1"/>
    <col min="1284" max="1284" width="8.83203125" style="42" customWidth="1"/>
    <col min="1285" max="1285" width="6.6640625" style="42" customWidth="1"/>
    <col min="1286" max="1286" width="8.6640625" style="42" customWidth="1"/>
    <col min="1287" max="1287" width="7.6640625" style="42" customWidth="1"/>
    <col min="1288" max="1288" width="5.6640625" style="42" customWidth="1"/>
    <col min="1289" max="1289" width="8.6640625" style="42" customWidth="1"/>
    <col min="1290" max="1290" width="7.33203125" style="42" customWidth="1"/>
    <col min="1291" max="1291" width="9" style="42" bestFit="1" customWidth="1"/>
    <col min="1292" max="1293" width="11.5" style="42"/>
    <col min="1294" max="1294" width="8.83203125" style="42" customWidth="1"/>
    <col min="1295" max="1297" width="26.1640625" style="42" bestFit="1" customWidth="1"/>
    <col min="1298" max="1298" width="2.6640625" style="42" customWidth="1"/>
    <col min="1299" max="1299" width="19.5" style="42" customWidth="1"/>
    <col min="1300" max="1536" width="11.5" style="42"/>
    <col min="1537" max="1537" width="1.1640625" style="42" customWidth="1"/>
    <col min="1538" max="1538" width="27.6640625" style="42" customWidth="1"/>
    <col min="1539" max="1539" width="8" style="42" customWidth="1"/>
    <col min="1540" max="1540" width="8.83203125" style="42" customWidth="1"/>
    <col min="1541" max="1541" width="6.6640625" style="42" customWidth="1"/>
    <col min="1542" max="1542" width="8.6640625" style="42" customWidth="1"/>
    <col min="1543" max="1543" width="7.6640625" style="42" customWidth="1"/>
    <col min="1544" max="1544" width="5.6640625" style="42" customWidth="1"/>
    <col min="1545" max="1545" width="8.6640625" style="42" customWidth="1"/>
    <col min="1546" max="1546" width="7.33203125" style="42" customWidth="1"/>
    <col min="1547" max="1547" width="9" style="42" bestFit="1" customWidth="1"/>
    <col min="1548" max="1549" width="11.5" style="42"/>
    <col min="1550" max="1550" width="8.83203125" style="42" customWidth="1"/>
    <col min="1551" max="1553" width="26.1640625" style="42" bestFit="1" customWidth="1"/>
    <col min="1554" max="1554" width="2.6640625" style="42" customWidth="1"/>
    <col min="1555" max="1555" width="19.5" style="42" customWidth="1"/>
    <col min="1556" max="1792" width="11.5" style="42"/>
    <col min="1793" max="1793" width="1.1640625" style="42" customWidth="1"/>
    <col min="1794" max="1794" width="27.6640625" style="42" customWidth="1"/>
    <col min="1795" max="1795" width="8" style="42" customWidth="1"/>
    <col min="1796" max="1796" width="8.83203125" style="42" customWidth="1"/>
    <col min="1797" max="1797" width="6.6640625" style="42" customWidth="1"/>
    <col min="1798" max="1798" width="8.6640625" style="42" customWidth="1"/>
    <col min="1799" max="1799" width="7.6640625" style="42" customWidth="1"/>
    <col min="1800" max="1800" width="5.6640625" style="42" customWidth="1"/>
    <col min="1801" max="1801" width="8.6640625" style="42" customWidth="1"/>
    <col min="1802" max="1802" width="7.33203125" style="42" customWidth="1"/>
    <col min="1803" max="1803" width="9" style="42" bestFit="1" customWidth="1"/>
    <col min="1804" max="1805" width="11.5" style="42"/>
    <col min="1806" max="1806" width="8.83203125" style="42" customWidth="1"/>
    <col min="1807" max="1809" width="26.1640625" style="42" bestFit="1" customWidth="1"/>
    <col min="1810" max="1810" width="2.6640625" style="42" customWidth="1"/>
    <col min="1811" max="1811" width="19.5" style="42" customWidth="1"/>
    <col min="1812" max="2048" width="11.5" style="42"/>
    <col min="2049" max="2049" width="1.1640625" style="42" customWidth="1"/>
    <col min="2050" max="2050" width="27.6640625" style="42" customWidth="1"/>
    <col min="2051" max="2051" width="8" style="42" customWidth="1"/>
    <col min="2052" max="2052" width="8.83203125" style="42" customWidth="1"/>
    <col min="2053" max="2053" width="6.6640625" style="42" customWidth="1"/>
    <col min="2054" max="2054" width="8.6640625" style="42" customWidth="1"/>
    <col min="2055" max="2055" width="7.6640625" style="42" customWidth="1"/>
    <col min="2056" max="2056" width="5.6640625" style="42" customWidth="1"/>
    <col min="2057" max="2057" width="8.6640625" style="42" customWidth="1"/>
    <col min="2058" max="2058" width="7.33203125" style="42" customWidth="1"/>
    <col min="2059" max="2059" width="9" style="42" bestFit="1" customWidth="1"/>
    <col min="2060" max="2061" width="11.5" style="42"/>
    <col min="2062" max="2062" width="8.83203125" style="42" customWidth="1"/>
    <col min="2063" max="2065" width="26.1640625" style="42" bestFit="1" customWidth="1"/>
    <col min="2066" max="2066" width="2.6640625" style="42" customWidth="1"/>
    <col min="2067" max="2067" width="19.5" style="42" customWidth="1"/>
    <col min="2068" max="2304" width="11.5" style="42"/>
    <col min="2305" max="2305" width="1.1640625" style="42" customWidth="1"/>
    <col min="2306" max="2306" width="27.6640625" style="42" customWidth="1"/>
    <col min="2307" max="2307" width="8" style="42" customWidth="1"/>
    <col min="2308" max="2308" width="8.83203125" style="42" customWidth="1"/>
    <col min="2309" max="2309" width="6.6640625" style="42" customWidth="1"/>
    <col min="2310" max="2310" width="8.6640625" style="42" customWidth="1"/>
    <col min="2311" max="2311" width="7.6640625" style="42" customWidth="1"/>
    <col min="2312" max="2312" width="5.6640625" style="42" customWidth="1"/>
    <col min="2313" max="2313" width="8.6640625" style="42" customWidth="1"/>
    <col min="2314" max="2314" width="7.33203125" style="42" customWidth="1"/>
    <col min="2315" max="2315" width="9" style="42" bestFit="1" customWidth="1"/>
    <col min="2316" max="2317" width="11.5" style="42"/>
    <col min="2318" max="2318" width="8.83203125" style="42" customWidth="1"/>
    <col min="2319" max="2321" width="26.1640625" style="42" bestFit="1" customWidth="1"/>
    <col min="2322" max="2322" width="2.6640625" style="42" customWidth="1"/>
    <col min="2323" max="2323" width="19.5" style="42" customWidth="1"/>
    <col min="2324" max="2560" width="11.5" style="42"/>
    <col min="2561" max="2561" width="1.1640625" style="42" customWidth="1"/>
    <col min="2562" max="2562" width="27.6640625" style="42" customWidth="1"/>
    <col min="2563" max="2563" width="8" style="42" customWidth="1"/>
    <col min="2564" max="2564" width="8.83203125" style="42" customWidth="1"/>
    <col min="2565" max="2565" width="6.6640625" style="42" customWidth="1"/>
    <col min="2566" max="2566" width="8.6640625" style="42" customWidth="1"/>
    <col min="2567" max="2567" width="7.6640625" style="42" customWidth="1"/>
    <col min="2568" max="2568" width="5.6640625" style="42" customWidth="1"/>
    <col min="2569" max="2569" width="8.6640625" style="42" customWidth="1"/>
    <col min="2570" max="2570" width="7.33203125" style="42" customWidth="1"/>
    <col min="2571" max="2571" width="9" style="42" bestFit="1" customWidth="1"/>
    <col min="2572" max="2573" width="11.5" style="42"/>
    <col min="2574" max="2574" width="8.83203125" style="42" customWidth="1"/>
    <col min="2575" max="2577" width="26.1640625" style="42" bestFit="1" customWidth="1"/>
    <col min="2578" max="2578" width="2.6640625" style="42" customWidth="1"/>
    <col min="2579" max="2579" width="19.5" style="42" customWidth="1"/>
    <col min="2580" max="2816" width="11.5" style="42"/>
    <col min="2817" max="2817" width="1.1640625" style="42" customWidth="1"/>
    <col min="2818" max="2818" width="27.6640625" style="42" customWidth="1"/>
    <col min="2819" max="2819" width="8" style="42" customWidth="1"/>
    <col min="2820" max="2820" width="8.83203125" style="42" customWidth="1"/>
    <col min="2821" max="2821" width="6.6640625" style="42" customWidth="1"/>
    <col min="2822" max="2822" width="8.6640625" style="42" customWidth="1"/>
    <col min="2823" max="2823" width="7.6640625" style="42" customWidth="1"/>
    <col min="2824" max="2824" width="5.6640625" style="42" customWidth="1"/>
    <col min="2825" max="2825" width="8.6640625" style="42" customWidth="1"/>
    <col min="2826" max="2826" width="7.33203125" style="42" customWidth="1"/>
    <col min="2827" max="2827" width="9" style="42" bestFit="1" customWidth="1"/>
    <col min="2828" max="2829" width="11.5" style="42"/>
    <col min="2830" max="2830" width="8.83203125" style="42" customWidth="1"/>
    <col min="2831" max="2833" width="26.1640625" style="42" bestFit="1" customWidth="1"/>
    <col min="2834" max="2834" width="2.6640625" style="42" customWidth="1"/>
    <col min="2835" max="2835" width="19.5" style="42" customWidth="1"/>
    <col min="2836" max="3072" width="11.5" style="42"/>
    <col min="3073" max="3073" width="1.1640625" style="42" customWidth="1"/>
    <col min="3074" max="3074" width="27.6640625" style="42" customWidth="1"/>
    <col min="3075" max="3075" width="8" style="42" customWidth="1"/>
    <col min="3076" max="3076" width="8.83203125" style="42" customWidth="1"/>
    <col min="3077" max="3077" width="6.6640625" style="42" customWidth="1"/>
    <col min="3078" max="3078" width="8.6640625" style="42" customWidth="1"/>
    <col min="3079" max="3079" width="7.6640625" style="42" customWidth="1"/>
    <col min="3080" max="3080" width="5.6640625" style="42" customWidth="1"/>
    <col min="3081" max="3081" width="8.6640625" style="42" customWidth="1"/>
    <col min="3082" max="3082" width="7.33203125" style="42" customWidth="1"/>
    <col min="3083" max="3083" width="9" style="42" bestFit="1" customWidth="1"/>
    <col min="3084" max="3085" width="11.5" style="42"/>
    <col min="3086" max="3086" width="8.83203125" style="42" customWidth="1"/>
    <col min="3087" max="3089" width="26.1640625" style="42" bestFit="1" customWidth="1"/>
    <col min="3090" max="3090" width="2.6640625" style="42" customWidth="1"/>
    <col min="3091" max="3091" width="19.5" style="42" customWidth="1"/>
    <col min="3092" max="3328" width="11.5" style="42"/>
    <col min="3329" max="3329" width="1.1640625" style="42" customWidth="1"/>
    <col min="3330" max="3330" width="27.6640625" style="42" customWidth="1"/>
    <col min="3331" max="3331" width="8" style="42" customWidth="1"/>
    <col min="3332" max="3332" width="8.83203125" style="42" customWidth="1"/>
    <col min="3333" max="3333" width="6.6640625" style="42" customWidth="1"/>
    <col min="3334" max="3334" width="8.6640625" style="42" customWidth="1"/>
    <col min="3335" max="3335" width="7.6640625" style="42" customWidth="1"/>
    <col min="3336" max="3336" width="5.6640625" style="42" customWidth="1"/>
    <col min="3337" max="3337" width="8.6640625" style="42" customWidth="1"/>
    <col min="3338" max="3338" width="7.33203125" style="42" customWidth="1"/>
    <col min="3339" max="3339" width="9" style="42" bestFit="1" customWidth="1"/>
    <col min="3340" max="3341" width="11.5" style="42"/>
    <col min="3342" max="3342" width="8.83203125" style="42" customWidth="1"/>
    <col min="3343" max="3345" width="26.1640625" style="42" bestFit="1" customWidth="1"/>
    <col min="3346" max="3346" width="2.6640625" style="42" customWidth="1"/>
    <col min="3347" max="3347" width="19.5" style="42" customWidth="1"/>
    <col min="3348" max="3584" width="11.5" style="42"/>
    <col min="3585" max="3585" width="1.1640625" style="42" customWidth="1"/>
    <col min="3586" max="3586" width="27.6640625" style="42" customWidth="1"/>
    <col min="3587" max="3587" width="8" style="42" customWidth="1"/>
    <col min="3588" max="3588" width="8.83203125" style="42" customWidth="1"/>
    <col min="3589" max="3589" width="6.6640625" style="42" customWidth="1"/>
    <col min="3590" max="3590" width="8.6640625" style="42" customWidth="1"/>
    <col min="3591" max="3591" width="7.6640625" style="42" customWidth="1"/>
    <col min="3592" max="3592" width="5.6640625" style="42" customWidth="1"/>
    <col min="3593" max="3593" width="8.6640625" style="42" customWidth="1"/>
    <col min="3594" max="3594" width="7.33203125" style="42" customWidth="1"/>
    <col min="3595" max="3595" width="9" style="42" bestFit="1" customWidth="1"/>
    <col min="3596" max="3597" width="11.5" style="42"/>
    <col min="3598" max="3598" width="8.83203125" style="42" customWidth="1"/>
    <col min="3599" max="3601" width="26.1640625" style="42" bestFit="1" customWidth="1"/>
    <col min="3602" max="3602" width="2.6640625" style="42" customWidth="1"/>
    <col min="3603" max="3603" width="19.5" style="42" customWidth="1"/>
    <col min="3604" max="3840" width="11.5" style="42"/>
    <col min="3841" max="3841" width="1.1640625" style="42" customWidth="1"/>
    <col min="3842" max="3842" width="27.6640625" style="42" customWidth="1"/>
    <col min="3843" max="3843" width="8" style="42" customWidth="1"/>
    <col min="3844" max="3844" width="8.83203125" style="42" customWidth="1"/>
    <col min="3845" max="3845" width="6.6640625" style="42" customWidth="1"/>
    <col min="3846" max="3846" width="8.6640625" style="42" customWidth="1"/>
    <col min="3847" max="3847" width="7.6640625" style="42" customWidth="1"/>
    <col min="3848" max="3848" width="5.6640625" style="42" customWidth="1"/>
    <col min="3849" max="3849" width="8.6640625" style="42" customWidth="1"/>
    <col min="3850" max="3850" width="7.33203125" style="42" customWidth="1"/>
    <col min="3851" max="3851" width="9" style="42" bestFit="1" customWidth="1"/>
    <col min="3852" max="3853" width="11.5" style="42"/>
    <col min="3854" max="3854" width="8.83203125" style="42" customWidth="1"/>
    <col min="3855" max="3857" width="26.1640625" style="42" bestFit="1" customWidth="1"/>
    <col min="3858" max="3858" width="2.6640625" style="42" customWidth="1"/>
    <col min="3859" max="3859" width="19.5" style="42" customWidth="1"/>
    <col min="3860" max="4096" width="11.5" style="42"/>
    <col min="4097" max="4097" width="1.1640625" style="42" customWidth="1"/>
    <col min="4098" max="4098" width="27.6640625" style="42" customWidth="1"/>
    <col min="4099" max="4099" width="8" style="42" customWidth="1"/>
    <col min="4100" max="4100" width="8.83203125" style="42" customWidth="1"/>
    <col min="4101" max="4101" width="6.6640625" style="42" customWidth="1"/>
    <col min="4102" max="4102" width="8.6640625" style="42" customWidth="1"/>
    <col min="4103" max="4103" width="7.6640625" style="42" customWidth="1"/>
    <col min="4104" max="4104" width="5.6640625" style="42" customWidth="1"/>
    <col min="4105" max="4105" width="8.6640625" style="42" customWidth="1"/>
    <col min="4106" max="4106" width="7.33203125" style="42" customWidth="1"/>
    <col min="4107" max="4107" width="9" style="42" bestFit="1" customWidth="1"/>
    <col min="4108" max="4109" width="11.5" style="42"/>
    <col min="4110" max="4110" width="8.83203125" style="42" customWidth="1"/>
    <col min="4111" max="4113" width="26.1640625" style="42" bestFit="1" customWidth="1"/>
    <col min="4114" max="4114" width="2.6640625" style="42" customWidth="1"/>
    <col min="4115" max="4115" width="19.5" style="42" customWidth="1"/>
    <col min="4116" max="4352" width="11.5" style="42"/>
    <col min="4353" max="4353" width="1.1640625" style="42" customWidth="1"/>
    <col min="4354" max="4354" width="27.6640625" style="42" customWidth="1"/>
    <col min="4355" max="4355" width="8" style="42" customWidth="1"/>
    <col min="4356" max="4356" width="8.83203125" style="42" customWidth="1"/>
    <col min="4357" max="4357" width="6.6640625" style="42" customWidth="1"/>
    <col min="4358" max="4358" width="8.6640625" style="42" customWidth="1"/>
    <col min="4359" max="4359" width="7.6640625" style="42" customWidth="1"/>
    <col min="4360" max="4360" width="5.6640625" style="42" customWidth="1"/>
    <col min="4361" max="4361" width="8.6640625" style="42" customWidth="1"/>
    <col min="4362" max="4362" width="7.33203125" style="42" customWidth="1"/>
    <col min="4363" max="4363" width="9" style="42" bestFit="1" customWidth="1"/>
    <col min="4364" max="4365" width="11.5" style="42"/>
    <col min="4366" max="4366" width="8.83203125" style="42" customWidth="1"/>
    <col min="4367" max="4369" width="26.1640625" style="42" bestFit="1" customWidth="1"/>
    <col min="4370" max="4370" width="2.6640625" style="42" customWidth="1"/>
    <col min="4371" max="4371" width="19.5" style="42" customWidth="1"/>
    <col min="4372" max="4608" width="11.5" style="42"/>
    <col min="4609" max="4609" width="1.1640625" style="42" customWidth="1"/>
    <col min="4610" max="4610" width="27.6640625" style="42" customWidth="1"/>
    <col min="4611" max="4611" width="8" style="42" customWidth="1"/>
    <col min="4612" max="4612" width="8.83203125" style="42" customWidth="1"/>
    <col min="4613" max="4613" width="6.6640625" style="42" customWidth="1"/>
    <col min="4614" max="4614" width="8.6640625" style="42" customWidth="1"/>
    <col min="4615" max="4615" width="7.6640625" style="42" customWidth="1"/>
    <col min="4616" max="4616" width="5.6640625" style="42" customWidth="1"/>
    <col min="4617" max="4617" width="8.6640625" style="42" customWidth="1"/>
    <col min="4618" max="4618" width="7.33203125" style="42" customWidth="1"/>
    <col min="4619" max="4619" width="9" style="42" bestFit="1" customWidth="1"/>
    <col min="4620" max="4621" width="11.5" style="42"/>
    <col min="4622" max="4622" width="8.83203125" style="42" customWidth="1"/>
    <col min="4623" max="4625" width="26.1640625" style="42" bestFit="1" customWidth="1"/>
    <col min="4626" max="4626" width="2.6640625" style="42" customWidth="1"/>
    <col min="4627" max="4627" width="19.5" style="42" customWidth="1"/>
    <col min="4628" max="4864" width="11.5" style="42"/>
    <col min="4865" max="4865" width="1.1640625" style="42" customWidth="1"/>
    <col min="4866" max="4866" width="27.6640625" style="42" customWidth="1"/>
    <col min="4867" max="4867" width="8" style="42" customWidth="1"/>
    <col min="4868" max="4868" width="8.83203125" style="42" customWidth="1"/>
    <col min="4869" max="4869" width="6.6640625" style="42" customWidth="1"/>
    <col min="4870" max="4870" width="8.6640625" style="42" customWidth="1"/>
    <col min="4871" max="4871" width="7.6640625" style="42" customWidth="1"/>
    <col min="4872" max="4872" width="5.6640625" style="42" customWidth="1"/>
    <col min="4873" max="4873" width="8.6640625" style="42" customWidth="1"/>
    <col min="4874" max="4874" width="7.33203125" style="42" customWidth="1"/>
    <col min="4875" max="4875" width="9" style="42" bestFit="1" customWidth="1"/>
    <col min="4876" max="4877" width="11.5" style="42"/>
    <col min="4878" max="4878" width="8.83203125" style="42" customWidth="1"/>
    <col min="4879" max="4881" width="26.1640625" style="42" bestFit="1" customWidth="1"/>
    <col min="4882" max="4882" width="2.6640625" style="42" customWidth="1"/>
    <col min="4883" max="4883" width="19.5" style="42" customWidth="1"/>
    <col min="4884" max="5120" width="11.5" style="42"/>
    <col min="5121" max="5121" width="1.1640625" style="42" customWidth="1"/>
    <col min="5122" max="5122" width="27.6640625" style="42" customWidth="1"/>
    <col min="5123" max="5123" width="8" style="42" customWidth="1"/>
    <col min="5124" max="5124" width="8.83203125" style="42" customWidth="1"/>
    <col min="5125" max="5125" width="6.6640625" style="42" customWidth="1"/>
    <col min="5126" max="5126" width="8.6640625" style="42" customWidth="1"/>
    <col min="5127" max="5127" width="7.6640625" style="42" customWidth="1"/>
    <col min="5128" max="5128" width="5.6640625" style="42" customWidth="1"/>
    <col min="5129" max="5129" width="8.6640625" style="42" customWidth="1"/>
    <col min="5130" max="5130" width="7.33203125" style="42" customWidth="1"/>
    <col min="5131" max="5131" width="9" style="42" bestFit="1" customWidth="1"/>
    <col min="5132" max="5133" width="11.5" style="42"/>
    <col min="5134" max="5134" width="8.83203125" style="42" customWidth="1"/>
    <col min="5135" max="5137" width="26.1640625" style="42" bestFit="1" customWidth="1"/>
    <col min="5138" max="5138" width="2.6640625" style="42" customWidth="1"/>
    <col min="5139" max="5139" width="19.5" style="42" customWidth="1"/>
    <col min="5140" max="5376" width="11.5" style="42"/>
    <col min="5377" max="5377" width="1.1640625" style="42" customWidth="1"/>
    <col min="5378" max="5378" width="27.6640625" style="42" customWidth="1"/>
    <col min="5379" max="5379" width="8" style="42" customWidth="1"/>
    <col min="5380" max="5380" width="8.83203125" style="42" customWidth="1"/>
    <col min="5381" max="5381" width="6.6640625" style="42" customWidth="1"/>
    <col min="5382" max="5382" width="8.6640625" style="42" customWidth="1"/>
    <col min="5383" max="5383" width="7.6640625" style="42" customWidth="1"/>
    <col min="5384" max="5384" width="5.6640625" style="42" customWidth="1"/>
    <col min="5385" max="5385" width="8.6640625" style="42" customWidth="1"/>
    <col min="5386" max="5386" width="7.33203125" style="42" customWidth="1"/>
    <col min="5387" max="5387" width="9" style="42" bestFit="1" customWidth="1"/>
    <col min="5388" max="5389" width="11.5" style="42"/>
    <col min="5390" max="5390" width="8.83203125" style="42" customWidth="1"/>
    <col min="5391" max="5393" width="26.1640625" style="42" bestFit="1" customWidth="1"/>
    <col min="5394" max="5394" width="2.6640625" style="42" customWidth="1"/>
    <col min="5395" max="5395" width="19.5" style="42" customWidth="1"/>
    <col min="5396" max="5632" width="11.5" style="42"/>
    <col min="5633" max="5633" width="1.1640625" style="42" customWidth="1"/>
    <col min="5634" max="5634" width="27.6640625" style="42" customWidth="1"/>
    <col min="5635" max="5635" width="8" style="42" customWidth="1"/>
    <col min="5636" max="5636" width="8.83203125" style="42" customWidth="1"/>
    <col min="5637" max="5637" width="6.6640625" style="42" customWidth="1"/>
    <col min="5638" max="5638" width="8.6640625" style="42" customWidth="1"/>
    <col min="5639" max="5639" width="7.6640625" style="42" customWidth="1"/>
    <col min="5640" max="5640" width="5.6640625" style="42" customWidth="1"/>
    <col min="5641" max="5641" width="8.6640625" style="42" customWidth="1"/>
    <col min="5642" max="5642" width="7.33203125" style="42" customWidth="1"/>
    <col min="5643" max="5643" width="9" style="42" bestFit="1" customWidth="1"/>
    <col min="5644" max="5645" width="11.5" style="42"/>
    <col min="5646" max="5646" width="8.83203125" style="42" customWidth="1"/>
    <col min="5647" max="5649" width="26.1640625" style="42" bestFit="1" customWidth="1"/>
    <col min="5650" max="5650" width="2.6640625" style="42" customWidth="1"/>
    <col min="5651" max="5651" width="19.5" style="42" customWidth="1"/>
    <col min="5652" max="5888" width="11.5" style="42"/>
    <col min="5889" max="5889" width="1.1640625" style="42" customWidth="1"/>
    <col min="5890" max="5890" width="27.6640625" style="42" customWidth="1"/>
    <col min="5891" max="5891" width="8" style="42" customWidth="1"/>
    <col min="5892" max="5892" width="8.83203125" style="42" customWidth="1"/>
    <col min="5893" max="5893" width="6.6640625" style="42" customWidth="1"/>
    <col min="5894" max="5894" width="8.6640625" style="42" customWidth="1"/>
    <col min="5895" max="5895" width="7.6640625" style="42" customWidth="1"/>
    <col min="5896" max="5896" width="5.6640625" style="42" customWidth="1"/>
    <col min="5897" max="5897" width="8.6640625" style="42" customWidth="1"/>
    <col min="5898" max="5898" width="7.33203125" style="42" customWidth="1"/>
    <col min="5899" max="5899" width="9" style="42" bestFit="1" customWidth="1"/>
    <col min="5900" max="5901" width="11.5" style="42"/>
    <col min="5902" max="5902" width="8.83203125" style="42" customWidth="1"/>
    <col min="5903" max="5905" width="26.1640625" style="42" bestFit="1" customWidth="1"/>
    <col min="5906" max="5906" width="2.6640625" style="42" customWidth="1"/>
    <col min="5907" max="5907" width="19.5" style="42" customWidth="1"/>
    <col min="5908" max="6144" width="11.5" style="42"/>
    <col min="6145" max="6145" width="1.1640625" style="42" customWidth="1"/>
    <col min="6146" max="6146" width="27.6640625" style="42" customWidth="1"/>
    <col min="6147" max="6147" width="8" style="42" customWidth="1"/>
    <col min="6148" max="6148" width="8.83203125" style="42" customWidth="1"/>
    <col min="6149" max="6149" width="6.6640625" style="42" customWidth="1"/>
    <col min="6150" max="6150" width="8.6640625" style="42" customWidth="1"/>
    <col min="6151" max="6151" width="7.6640625" style="42" customWidth="1"/>
    <col min="6152" max="6152" width="5.6640625" style="42" customWidth="1"/>
    <col min="6153" max="6153" width="8.6640625" style="42" customWidth="1"/>
    <col min="6154" max="6154" width="7.33203125" style="42" customWidth="1"/>
    <col min="6155" max="6155" width="9" style="42" bestFit="1" customWidth="1"/>
    <col min="6156" max="6157" width="11.5" style="42"/>
    <col min="6158" max="6158" width="8.83203125" style="42" customWidth="1"/>
    <col min="6159" max="6161" width="26.1640625" style="42" bestFit="1" customWidth="1"/>
    <col min="6162" max="6162" width="2.6640625" style="42" customWidth="1"/>
    <col min="6163" max="6163" width="19.5" style="42" customWidth="1"/>
    <col min="6164" max="6400" width="11.5" style="42"/>
    <col min="6401" max="6401" width="1.1640625" style="42" customWidth="1"/>
    <col min="6402" max="6402" width="27.6640625" style="42" customWidth="1"/>
    <col min="6403" max="6403" width="8" style="42" customWidth="1"/>
    <col min="6404" max="6404" width="8.83203125" style="42" customWidth="1"/>
    <col min="6405" max="6405" width="6.6640625" style="42" customWidth="1"/>
    <col min="6406" max="6406" width="8.6640625" style="42" customWidth="1"/>
    <col min="6407" max="6407" width="7.6640625" style="42" customWidth="1"/>
    <col min="6408" max="6408" width="5.6640625" style="42" customWidth="1"/>
    <col min="6409" max="6409" width="8.6640625" style="42" customWidth="1"/>
    <col min="6410" max="6410" width="7.33203125" style="42" customWidth="1"/>
    <col min="6411" max="6411" width="9" style="42" bestFit="1" customWidth="1"/>
    <col min="6412" max="6413" width="11.5" style="42"/>
    <col min="6414" max="6414" width="8.83203125" style="42" customWidth="1"/>
    <col min="6415" max="6417" width="26.1640625" style="42" bestFit="1" customWidth="1"/>
    <col min="6418" max="6418" width="2.6640625" style="42" customWidth="1"/>
    <col min="6419" max="6419" width="19.5" style="42" customWidth="1"/>
    <col min="6420" max="6656" width="11.5" style="42"/>
    <col min="6657" max="6657" width="1.1640625" style="42" customWidth="1"/>
    <col min="6658" max="6658" width="27.6640625" style="42" customWidth="1"/>
    <col min="6659" max="6659" width="8" style="42" customWidth="1"/>
    <col min="6660" max="6660" width="8.83203125" style="42" customWidth="1"/>
    <col min="6661" max="6661" width="6.6640625" style="42" customWidth="1"/>
    <col min="6662" max="6662" width="8.6640625" style="42" customWidth="1"/>
    <col min="6663" max="6663" width="7.6640625" style="42" customWidth="1"/>
    <col min="6664" max="6664" width="5.6640625" style="42" customWidth="1"/>
    <col min="6665" max="6665" width="8.6640625" style="42" customWidth="1"/>
    <col min="6666" max="6666" width="7.33203125" style="42" customWidth="1"/>
    <col min="6667" max="6667" width="9" style="42" bestFit="1" customWidth="1"/>
    <col min="6668" max="6669" width="11.5" style="42"/>
    <col min="6670" max="6670" width="8.83203125" style="42" customWidth="1"/>
    <col min="6671" max="6673" width="26.1640625" style="42" bestFit="1" customWidth="1"/>
    <col min="6674" max="6674" width="2.6640625" style="42" customWidth="1"/>
    <col min="6675" max="6675" width="19.5" style="42" customWidth="1"/>
    <col min="6676" max="6912" width="11.5" style="42"/>
    <col min="6913" max="6913" width="1.1640625" style="42" customWidth="1"/>
    <col min="6914" max="6914" width="27.6640625" style="42" customWidth="1"/>
    <col min="6915" max="6915" width="8" style="42" customWidth="1"/>
    <col min="6916" max="6916" width="8.83203125" style="42" customWidth="1"/>
    <col min="6917" max="6917" width="6.6640625" style="42" customWidth="1"/>
    <col min="6918" max="6918" width="8.6640625" style="42" customWidth="1"/>
    <col min="6919" max="6919" width="7.6640625" style="42" customWidth="1"/>
    <col min="6920" max="6920" width="5.6640625" style="42" customWidth="1"/>
    <col min="6921" max="6921" width="8.6640625" style="42" customWidth="1"/>
    <col min="6922" max="6922" width="7.33203125" style="42" customWidth="1"/>
    <col min="6923" max="6923" width="9" style="42" bestFit="1" customWidth="1"/>
    <col min="6924" max="6925" width="11.5" style="42"/>
    <col min="6926" max="6926" width="8.83203125" style="42" customWidth="1"/>
    <col min="6927" max="6929" width="26.1640625" style="42" bestFit="1" customWidth="1"/>
    <col min="6930" max="6930" width="2.6640625" style="42" customWidth="1"/>
    <col min="6931" max="6931" width="19.5" style="42" customWidth="1"/>
    <col min="6932" max="7168" width="11.5" style="42"/>
    <col min="7169" max="7169" width="1.1640625" style="42" customWidth="1"/>
    <col min="7170" max="7170" width="27.6640625" style="42" customWidth="1"/>
    <col min="7171" max="7171" width="8" style="42" customWidth="1"/>
    <col min="7172" max="7172" width="8.83203125" style="42" customWidth="1"/>
    <col min="7173" max="7173" width="6.6640625" style="42" customWidth="1"/>
    <col min="7174" max="7174" width="8.6640625" style="42" customWidth="1"/>
    <col min="7175" max="7175" width="7.6640625" style="42" customWidth="1"/>
    <col min="7176" max="7176" width="5.6640625" style="42" customWidth="1"/>
    <col min="7177" max="7177" width="8.6640625" style="42" customWidth="1"/>
    <col min="7178" max="7178" width="7.33203125" style="42" customWidth="1"/>
    <col min="7179" max="7179" width="9" style="42" bestFit="1" customWidth="1"/>
    <col min="7180" max="7181" width="11.5" style="42"/>
    <col min="7182" max="7182" width="8.83203125" style="42" customWidth="1"/>
    <col min="7183" max="7185" width="26.1640625" style="42" bestFit="1" customWidth="1"/>
    <col min="7186" max="7186" width="2.6640625" style="42" customWidth="1"/>
    <col min="7187" max="7187" width="19.5" style="42" customWidth="1"/>
    <col min="7188" max="7424" width="11.5" style="42"/>
    <col min="7425" max="7425" width="1.1640625" style="42" customWidth="1"/>
    <col min="7426" max="7426" width="27.6640625" style="42" customWidth="1"/>
    <col min="7427" max="7427" width="8" style="42" customWidth="1"/>
    <col min="7428" max="7428" width="8.83203125" style="42" customWidth="1"/>
    <col min="7429" max="7429" width="6.6640625" style="42" customWidth="1"/>
    <col min="7430" max="7430" width="8.6640625" style="42" customWidth="1"/>
    <col min="7431" max="7431" width="7.6640625" style="42" customWidth="1"/>
    <col min="7432" max="7432" width="5.6640625" style="42" customWidth="1"/>
    <col min="7433" max="7433" width="8.6640625" style="42" customWidth="1"/>
    <col min="7434" max="7434" width="7.33203125" style="42" customWidth="1"/>
    <col min="7435" max="7435" width="9" style="42" bestFit="1" customWidth="1"/>
    <col min="7436" max="7437" width="11.5" style="42"/>
    <col min="7438" max="7438" width="8.83203125" style="42" customWidth="1"/>
    <col min="7439" max="7441" width="26.1640625" style="42" bestFit="1" customWidth="1"/>
    <col min="7442" max="7442" width="2.6640625" style="42" customWidth="1"/>
    <col min="7443" max="7443" width="19.5" style="42" customWidth="1"/>
    <col min="7444" max="7680" width="11.5" style="42"/>
    <col min="7681" max="7681" width="1.1640625" style="42" customWidth="1"/>
    <col min="7682" max="7682" width="27.6640625" style="42" customWidth="1"/>
    <col min="7683" max="7683" width="8" style="42" customWidth="1"/>
    <col min="7684" max="7684" width="8.83203125" style="42" customWidth="1"/>
    <col min="7685" max="7685" width="6.6640625" style="42" customWidth="1"/>
    <col min="7686" max="7686" width="8.6640625" style="42" customWidth="1"/>
    <col min="7687" max="7687" width="7.6640625" style="42" customWidth="1"/>
    <col min="7688" max="7688" width="5.6640625" style="42" customWidth="1"/>
    <col min="7689" max="7689" width="8.6640625" style="42" customWidth="1"/>
    <col min="7690" max="7690" width="7.33203125" style="42" customWidth="1"/>
    <col min="7691" max="7691" width="9" style="42" bestFit="1" customWidth="1"/>
    <col min="7692" max="7693" width="11.5" style="42"/>
    <col min="7694" max="7694" width="8.83203125" style="42" customWidth="1"/>
    <col min="7695" max="7697" width="26.1640625" style="42" bestFit="1" customWidth="1"/>
    <col min="7698" max="7698" width="2.6640625" style="42" customWidth="1"/>
    <col min="7699" max="7699" width="19.5" style="42" customWidth="1"/>
    <col min="7700" max="7936" width="11.5" style="42"/>
    <col min="7937" max="7937" width="1.1640625" style="42" customWidth="1"/>
    <col min="7938" max="7938" width="27.6640625" style="42" customWidth="1"/>
    <col min="7939" max="7939" width="8" style="42" customWidth="1"/>
    <col min="7940" max="7940" width="8.83203125" style="42" customWidth="1"/>
    <col min="7941" max="7941" width="6.6640625" style="42" customWidth="1"/>
    <col min="7942" max="7942" width="8.6640625" style="42" customWidth="1"/>
    <col min="7943" max="7943" width="7.6640625" style="42" customWidth="1"/>
    <col min="7944" max="7944" width="5.6640625" style="42" customWidth="1"/>
    <col min="7945" max="7945" width="8.6640625" style="42" customWidth="1"/>
    <col min="7946" max="7946" width="7.33203125" style="42" customWidth="1"/>
    <col min="7947" max="7947" width="9" style="42" bestFit="1" customWidth="1"/>
    <col min="7948" max="7949" width="11.5" style="42"/>
    <col min="7950" max="7950" width="8.83203125" style="42" customWidth="1"/>
    <col min="7951" max="7953" width="26.1640625" style="42" bestFit="1" customWidth="1"/>
    <col min="7954" max="7954" width="2.6640625" style="42" customWidth="1"/>
    <col min="7955" max="7955" width="19.5" style="42" customWidth="1"/>
    <col min="7956" max="8192" width="11.5" style="42"/>
    <col min="8193" max="8193" width="1.1640625" style="42" customWidth="1"/>
    <col min="8194" max="8194" width="27.6640625" style="42" customWidth="1"/>
    <col min="8195" max="8195" width="8" style="42" customWidth="1"/>
    <col min="8196" max="8196" width="8.83203125" style="42" customWidth="1"/>
    <col min="8197" max="8197" width="6.6640625" style="42" customWidth="1"/>
    <col min="8198" max="8198" width="8.6640625" style="42" customWidth="1"/>
    <col min="8199" max="8199" width="7.6640625" style="42" customWidth="1"/>
    <col min="8200" max="8200" width="5.6640625" style="42" customWidth="1"/>
    <col min="8201" max="8201" width="8.6640625" style="42" customWidth="1"/>
    <col min="8202" max="8202" width="7.33203125" style="42" customWidth="1"/>
    <col min="8203" max="8203" width="9" style="42" bestFit="1" customWidth="1"/>
    <col min="8204" max="8205" width="11.5" style="42"/>
    <col min="8206" max="8206" width="8.83203125" style="42" customWidth="1"/>
    <col min="8207" max="8209" width="26.1640625" style="42" bestFit="1" customWidth="1"/>
    <col min="8210" max="8210" width="2.6640625" style="42" customWidth="1"/>
    <col min="8211" max="8211" width="19.5" style="42" customWidth="1"/>
    <col min="8212" max="8448" width="11.5" style="42"/>
    <col min="8449" max="8449" width="1.1640625" style="42" customWidth="1"/>
    <col min="8450" max="8450" width="27.6640625" style="42" customWidth="1"/>
    <col min="8451" max="8451" width="8" style="42" customWidth="1"/>
    <col min="8452" max="8452" width="8.83203125" style="42" customWidth="1"/>
    <col min="8453" max="8453" width="6.6640625" style="42" customWidth="1"/>
    <col min="8454" max="8454" width="8.6640625" style="42" customWidth="1"/>
    <col min="8455" max="8455" width="7.6640625" style="42" customWidth="1"/>
    <col min="8456" max="8456" width="5.6640625" style="42" customWidth="1"/>
    <col min="8457" max="8457" width="8.6640625" style="42" customWidth="1"/>
    <col min="8458" max="8458" width="7.33203125" style="42" customWidth="1"/>
    <col min="8459" max="8459" width="9" style="42" bestFit="1" customWidth="1"/>
    <col min="8460" max="8461" width="11.5" style="42"/>
    <col min="8462" max="8462" width="8.83203125" style="42" customWidth="1"/>
    <col min="8463" max="8465" width="26.1640625" style="42" bestFit="1" customWidth="1"/>
    <col min="8466" max="8466" width="2.6640625" style="42" customWidth="1"/>
    <col min="8467" max="8467" width="19.5" style="42" customWidth="1"/>
    <col min="8468" max="8704" width="11.5" style="42"/>
    <col min="8705" max="8705" width="1.1640625" style="42" customWidth="1"/>
    <col min="8706" max="8706" width="27.6640625" style="42" customWidth="1"/>
    <col min="8707" max="8707" width="8" style="42" customWidth="1"/>
    <col min="8708" max="8708" width="8.83203125" style="42" customWidth="1"/>
    <col min="8709" max="8709" width="6.6640625" style="42" customWidth="1"/>
    <col min="8710" max="8710" width="8.6640625" style="42" customWidth="1"/>
    <col min="8711" max="8711" width="7.6640625" style="42" customWidth="1"/>
    <col min="8712" max="8712" width="5.6640625" style="42" customWidth="1"/>
    <col min="8713" max="8713" width="8.6640625" style="42" customWidth="1"/>
    <col min="8714" max="8714" width="7.33203125" style="42" customWidth="1"/>
    <col min="8715" max="8715" width="9" style="42" bestFit="1" customWidth="1"/>
    <col min="8716" max="8717" width="11.5" style="42"/>
    <col min="8718" max="8718" width="8.83203125" style="42" customWidth="1"/>
    <col min="8719" max="8721" width="26.1640625" style="42" bestFit="1" customWidth="1"/>
    <col min="8722" max="8722" width="2.6640625" style="42" customWidth="1"/>
    <col min="8723" max="8723" width="19.5" style="42" customWidth="1"/>
    <col min="8724" max="8960" width="11.5" style="42"/>
    <col min="8961" max="8961" width="1.1640625" style="42" customWidth="1"/>
    <col min="8962" max="8962" width="27.6640625" style="42" customWidth="1"/>
    <col min="8963" max="8963" width="8" style="42" customWidth="1"/>
    <col min="8964" max="8964" width="8.83203125" style="42" customWidth="1"/>
    <col min="8965" max="8965" width="6.6640625" style="42" customWidth="1"/>
    <col min="8966" max="8966" width="8.6640625" style="42" customWidth="1"/>
    <col min="8967" max="8967" width="7.6640625" style="42" customWidth="1"/>
    <col min="8968" max="8968" width="5.6640625" style="42" customWidth="1"/>
    <col min="8969" max="8969" width="8.6640625" style="42" customWidth="1"/>
    <col min="8970" max="8970" width="7.33203125" style="42" customWidth="1"/>
    <col min="8971" max="8971" width="9" style="42" bestFit="1" customWidth="1"/>
    <col min="8972" max="8973" width="11.5" style="42"/>
    <col min="8974" max="8974" width="8.83203125" style="42" customWidth="1"/>
    <col min="8975" max="8977" width="26.1640625" style="42" bestFit="1" customWidth="1"/>
    <col min="8978" max="8978" width="2.6640625" style="42" customWidth="1"/>
    <col min="8979" max="8979" width="19.5" style="42" customWidth="1"/>
    <col min="8980" max="9216" width="11.5" style="42"/>
    <col min="9217" max="9217" width="1.1640625" style="42" customWidth="1"/>
    <col min="9218" max="9218" width="27.6640625" style="42" customWidth="1"/>
    <col min="9219" max="9219" width="8" style="42" customWidth="1"/>
    <col min="9220" max="9220" width="8.83203125" style="42" customWidth="1"/>
    <col min="9221" max="9221" width="6.6640625" style="42" customWidth="1"/>
    <col min="9222" max="9222" width="8.6640625" style="42" customWidth="1"/>
    <col min="9223" max="9223" width="7.6640625" style="42" customWidth="1"/>
    <col min="9224" max="9224" width="5.6640625" style="42" customWidth="1"/>
    <col min="9225" max="9225" width="8.6640625" style="42" customWidth="1"/>
    <col min="9226" max="9226" width="7.33203125" style="42" customWidth="1"/>
    <col min="9227" max="9227" width="9" style="42" bestFit="1" customWidth="1"/>
    <col min="9228" max="9229" width="11.5" style="42"/>
    <col min="9230" max="9230" width="8.83203125" style="42" customWidth="1"/>
    <col min="9231" max="9233" width="26.1640625" style="42" bestFit="1" customWidth="1"/>
    <col min="9234" max="9234" width="2.6640625" style="42" customWidth="1"/>
    <col min="9235" max="9235" width="19.5" style="42" customWidth="1"/>
    <col min="9236" max="9472" width="11.5" style="42"/>
    <col min="9473" max="9473" width="1.1640625" style="42" customWidth="1"/>
    <col min="9474" max="9474" width="27.6640625" style="42" customWidth="1"/>
    <col min="9475" max="9475" width="8" style="42" customWidth="1"/>
    <col min="9476" max="9476" width="8.83203125" style="42" customWidth="1"/>
    <col min="9477" max="9477" width="6.6640625" style="42" customWidth="1"/>
    <col min="9478" max="9478" width="8.6640625" style="42" customWidth="1"/>
    <col min="9479" max="9479" width="7.6640625" style="42" customWidth="1"/>
    <col min="9480" max="9480" width="5.6640625" style="42" customWidth="1"/>
    <col min="9481" max="9481" width="8.6640625" style="42" customWidth="1"/>
    <col min="9482" max="9482" width="7.33203125" style="42" customWidth="1"/>
    <col min="9483" max="9483" width="9" style="42" bestFit="1" customWidth="1"/>
    <col min="9484" max="9485" width="11.5" style="42"/>
    <col min="9486" max="9486" width="8.83203125" style="42" customWidth="1"/>
    <col min="9487" max="9489" width="26.1640625" style="42" bestFit="1" customWidth="1"/>
    <col min="9490" max="9490" width="2.6640625" style="42" customWidth="1"/>
    <col min="9491" max="9491" width="19.5" style="42" customWidth="1"/>
    <col min="9492" max="9728" width="11.5" style="42"/>
    <col min="9729" max="9729" width="1.1640625" style="42" customWidth="1"/>
    <col min="9730" max="9730" width="27.6640625" style="42" customWidth="1"/>
    <col min="9731" max="9731" width="8" style="42" customWidth="1"/>
    <col min="9732" max="9732" width="8.83203125" style="42" customWidth="1"/>
    <col min="9733" max="9733" width="6.6640625" style="42" customWidth="1"/>
    <col min="9734" max="9734" width="8.6640625" style="42" customWidth="1"/>
    <col min="9735" max="9735" width="7.6640625" style="42" customWidth="1"/>
    <col min="9736" max="9736" width="5.6640625" style="42" customWidth="1"/>
    <col min="9737" max="9737" width="8.6640625" style="42" customWidth="1"/>
    <col min="9738" max="9738" width="7.33203125" style="42" customWidth="1"/>
    <col min="9739" max="9739" width="9" style="42" bestFit="1" customWidth="1"/>
    <col min="9740" max="9741" width="11.5" style="42"/>
    <col min="9742" max="9742" width="8.83203125" style="42" customWidth="1"/>
    <col min="9743" max="9745" width="26.1640625" style="42" bestFit="1" customWidth="1"/>
    <col min="9746" max="9746" width="2.6640625" style="42" customWidth="1"/>
    <col min="9747" max="9747" width="19.5" style="42" customWidth="1"/>
    <col min="9748" max="9984" width="11.5" style="42"/>
    <col min="9985" max="9985" width="1.1640625" style="42" customWidth="1"/>
    <col min="9986" max="9986" width="27.6640625" style="42" customWidth="1"/>
    <col min="9987" max="9987" width="8" style="42" customWidth="1"/>
    <col min="9988" max="9988" width="8.83203125" style="42" customWidth="1"/>
    <col min="9989" max="9989" width="6.6640625" style="42" customWidth="1"/>
    <col min="9990" max="9990" width="8.6640625" style="42" customWidth="1"/>
    <col min="9991" max="9991" width="7.6640625" style="42" customWidth="1"/>
    <col min="9992" max="9992" width="5.6640625" style="42" customWidth="1"/>
    <col min="9993" max="9993" width="8.6640625" style="42" customWidth="1"/>
    <col min="9994" max="9994" width="7.33203125" style="42" customWidth="1"/>
    <col min="9995" max="9995" width="9" style="42" bestFit="1" customWidth="1"/>
    <col min="9996" max="9997" width="11.5" style="42"/>
    <col min="9998" max="9998" width="8.83203125" style="42" customWidth="1"/>
    <col min="9999" max="10001" width="26.1640625" style="42" bestFit="1" customWidth="1"/>
    <col min="10002" max="10002" width="2.6640625" style="42" customWidth="1"/>
    <col min="10003" max="10003" width="19.5" style="42" customWidth="1"/>
    <col min="10004" max="10240" width="11.5" style="42"/>
    <col min="10241" max="10241" width="1.1640625" style="42" customWidth="1"/>
    <col min="10242" max="10242" width="27.6640625" style="42" customWidth="1"/>
    <col min="10243" max="10243" width="8" style="42" customWidth="1"/>
    <col min="10244" max="10244" width="8.83203125" style="42" customWidth="1"/>
    <col min="10245" max="10245" width="6.6640625" style="42" customWidth="1"/>
    <col min="10246" max="10246" width="8.6640625" style="42" customWidth="1"/>
    <col min="10247" max="10247" width="7.6640625" style="42" customWidth="1"/>
    <col min="10248" max="10248" width="5.6640625" style="42" customWidth="1"/>
    <col min="10249" max="10249" width="8.6640625" style="42" customWidth="1"/>
    <col min="10250" max="10250" width="7.33203125" style="42" customWidth="1"/>
    <col min="10251" max="10251" width="9" style="42" bestFit="1" customWidth="1"/>
    <col min="10252" max="10253" width="11.5" style="42"/>
    <col min="10254" max="10254" width="8.83203125" style="42" customWidth="1"/>
    <col min="10255" max="10257" width="26.1640625" style="42" bestFit="1" customWidth="1"/>
    <col min="10258" max="10258" width="2.6640625" style="42" customWidth="1"/>
    <col min="10259" max="10259" width="19.5" style="42" customWidth="1"/>
    <col min="10260" max="10496" width="11.5" style="42"/>
    <col min="10497" max="10497" width="1.1640625" style="42" customWidth="1"/>
    <col min="10498" max="10498" width="27.6640625" style="42" customWidth="1"/>
    <col min="10499" max="10499" width="8" style="42" customWidth="1"/>
    <col min="10500" max="10500" width="8.83203125" style="42" customWidth="1"/>
    <col min="10501" max="10501" width="6.6640625" style="42" customWidth="1"/>
    <col min="10502" max="10502" width="8.6640625" style="42" customWidth="1"/>
    <col min="10503" max="10503" width="7.6640625" style="42" customWidth="1"/>
    <col min="10504" max="10504" width="5.6640625" style="42" customWidth="1"/>
    <col min="10505" max="10505" width="8.6640625" style="42" customWidth="1"/>
    <col min="10506" max="10506" width="7.33203125" style="42" customWidth="1"/>
    <col min="10507" max="10507" width="9" style="42" bestFit="1" customWidth="1"/>
    <col min="10508" max="10509" width="11.5" style="42"/>
    <col min="10510" max="10510" width="8.83203125" style="42" customWidth="1"/>
    <col min="10511" max="10513" width="26.1640625" style="42" bestFit="1" customWidth="1"/>
    <col min="10514" max="10514" width="2.6640625" style="42" customWidth="1"/>
    <col min="10515" max="10515" width="19.5" style="42" customWidth="1"/>
    <col min="10516" max="10752" width="11.5" style="42"/>
    <col min="10753" max="10753" width="1.1640625" style="42" customWidth="1"/>
    <col min="10754" max="10754" width="27.6640625" style="42" customWidth="1"/>
    <col min="10755" max="10755" width="8" style="42" customWidth="1"/>
    <col min="10756" max="10756" width="8.83203125" style="42" customWidth="1"/>
    <col min="10757" max="10757" width="6.6640625" style="42" customWidth="1"/>
    <col min="10758" max="10758" width="8.6640625" style="42" customWidth="1"/>
    <col min="10759" max="10759" width="7.6640625" style="42" customWidth="1"/>
    <col min="10760" max="10760" width="5.6640625" style="42" customWidth="1"/>
    <col min="10761" max="10761" width="8.6640625" style="42" customWidth="1"/>
    <col min="10762" max="10762" width="7.33203125" style="42" customWidth="1"/>
    <col min="10763" max="10763" width="9" style="42" bestFit="1" customWidth="1"/>
    <col min="10764" max="10765" width="11.5" style="42"/>
    <col min="10766" max="10766" width="8.83203125" style="42" customWidth="1"/>
    <col min="10767" max="10769" width="26.1640625" style="42" bestFit="1" customWidth="1"/>
    <col min="10770" max="10770" width="2.6640625" style="42" customWidth="1"/>
    <col min="10771" max="10771" width="19.5" style="42" customWidth="1"/>
    <col min="10772" max="11008" width="11.5" style="42"/>
    <col min="11009" max="11009" width="1.1640625" style="42" customWidth="1"/>
    <col min="11010" max="11010" width="27.6640625" style="42" customWidth="1"/>
    <col min="11011" max="11011" width="8" style="42" customWidth="1"/>
    <col min="11012" max="11012" width="8.83203125" style="42" customWidth="1"/>
    <col min="11013" max="11013" width="6.6640625" style="42" customWidth="1"/>
    <col min="11014" max="11014" width="8.6640625" style="42" customWidth="1"/>
    <col min="11015" max="11015" width="7.6640625" style="42" customWidth="1"/>
    <col min="11016" max="11016" width="5.6640625" style="42" customWidth="1"/>
    <col min="11017" max="11017" width="8.6640625" style="42" customWidth="1"/>
    <col min="11018" max="11018" width="7.33203125" style="42" customWidth="1"/>
    <col min="11019" max="11019" width="9" style="42" bestFit="1" customWidth="1"/>
    <col min="11020" max="11021" width="11.5" style="42"/>
    <col min="11022" max="11022" width="8.83203125" style="42" customWidth="1"/>
    <col min="11023" max="11025" width="26.1640625" style="42" bestFit="1" customWidth="1"/>
    <col min="11026" max="11026" width="2.6640625" style="42" customWidth="1"/>
    <col min="11027" max="11027" width="19.5" style="42" customWidth="1"/>
    <col min="11028" max="11264" width="11.5" style="42"/>
    <col min="11265" max="11265" width="1.1640625" style="42" customWidth="1"/>
    <col min="11266" max="11266" width="27.6640625" style="42" customWidth="1"/>
    <col min="11267" max="11267" width="8" style="42" customWidth="1"/>
    <col min="11268" max="11268" width="8.83203125" style="42" customWidth="1"/>
    <col min="11269" max="11269" width="6.6640625" style="42" customWidth="1"/>
    <col min="11270" max="11270" width="8.6640625" style="42" customWidth="1"/>
    <col min="11271" max="11271" width="7.6640625" style="42" customWidth="1"/>
    <col min="11272" max="11272" width="5.6640625" style="42" customWidth="1"/>
    <col min="11273" max="11273" width="8.6640625" style="42" customWidth="1"/>
    <col min="11274" max="11274" width="7.33203125" style="42" customWidth="1"/>
    <col min="11275" max="11275" width="9" style="42" bestFit="1" customWidth="1"/>
    <col min="11276" max="11277" width="11.5" style="42"/>
    <col min="11278" max="11278" width="8.83203125" style="42" customWidth="1"/>
    <col min="11279" max="11281" width="26.1640625" style="42" bestFit="1" customWidth="1"/>
    <col min="11282" max="11282" width="2.6640625" style="42" customWidth="1"/>
    <col min="11283" max="11283" width="19.5" style="42" customWidth="1"/>
    <col min="11284" max="11520" width="11.5" style="42"/>
    <col min="11521" max="11521" width="1.1640625" style="42" customWidth="1"/>
    <col min="11522" max="11522" width="27.6640625" style="42" customWidth="1"/>
    <col min="11523" max="11523" width="8" style="42" customWidth="1"/>
    <col min="11524" max="11524" width="8.83203125" style="42" customWidth="1"/>
    <col min="11525" max="11525" width="6.6640625" style="42" customWidth="1"/>
    <col min="11526" max="11526" width="8.6640625" style="42" customWidth="1"/>
    <col min="11527" max="11527" width="7.6640625" style="42" customWidth="1"/>
    <col min="11528" max="11528" width="5.6640625" style="42" customWidth="1"/>
    <col min="11529" max="11529" width="8.6640625" style="42" customWidth="1"/>
    <col min="11530" max="11530" width="7.33203125" style="42" customWidth="1"/>
    <col min="11531" max="11531" width="9" style="42" bestFit="1" customWidth="1"/>
    <col min="11532" max="11533" width="11.5" style="42"/>
    <col min="11534" max="11534" width="8.83203125" style="42" customWidth="1"/>
    <col min="11535" max="11537" width="26.1640625" style="42" bestFit="1" customWidth="1"/>
    <col min="11538" max="11538" width="2.6640625" style="42" customWidth="1"/>
    <col min="11539" max="11539" width="19.5" style="42" customWidth="1"/>
    <col min="11540" max="11776" width="11.5" style="42"/>
    <col min="11777" max="11777" width="1.1640625" style="42" customWidth="1"/>
    <col min="11778" max="11778" width="27.6640625" style="42" customWidth="1"/>
    <col min="11779" max="11779" width="8" style="42" customWidth="1"/>
    <col min="11780" max="11780" width="8.83203125" style="42" customWidth="1"/>
    <col min="11781" max="11781" width="6.6640625" style="42" customWidth="1"/>
    <col min="11782" max="11782" width="8.6640625" style="42" customWidth="1"/>
    <col min="11783" max="11783" width="7.6640625" style="42" customWidth="1"/>
    <col min="11784" max="11784" width="5.6640625" style="42" customWidth="1"/>
    <col min="11785" max="11785" width="8.6640625" style="42" customWidth="1"/>
    <col min="11786" max="11786" width="7.33203125" style="42" customWidth="1"/>
    <col min="11787" max="11787" width="9" style="42" bestFit="1" customWidth="1"/>
    <col min="11788" max="11789" width="11.5" style="42"/>
    <col min="11790" max="11790" width="8.83203125" style="42" customWidth="1"/>
    <col min="11791" max="11793" width="26.1640625" style="42" bestFit="1" customWidth="1"/>
    <col min="11794" max="11794" width="2.6640625" style="42" customWidth="1"/>
    <col min="11795" max="11795" width="19.5" style="42" customWidth="1"/>
    <col min="11796" max="12032" width="11.5" style="42"/>
    <col min="12033" max="12033" width="1.1640625" style="42" customWidth="1"/>
    <col min="12034" max="12034" width="27.6640625" style="42" customWidth="1"/>
    <col min="12035" max="12035" width="8" style="42" customWidth="1"/>
    <col min="12036" max="12036" width="8.83203125" style="42" customWidth="1"/>
    <col min="12037" max="12037" width="6.6640625" style="42" customWidth="1"/>
    <col min="12038" max="12038" width="8.6640625" style="42" customWidth="1"/>
    <col min="12039" max="12039" width="7.6640625" style="42" customWidth="1"/>
    <col min="12040" max="12040" width="5.6640625" style="42" customWidth="1"/>
    <col min="12041" max="12041" width="8.6640625" style="42" customWidth="1"/>
    <col min="12042" max="12042" width="7.33203125" style="42" customWidth="1"/>
    <col min="12043" max="12043" width="9" style="42" bestFit="1" customWidth="1"/>
    <col min="12044" max="12045" width="11.5" style="42"/>
    <col min="12046" max="12046" width="8.83203125" style="42" customWidth="1"/>
    <col min="12047" max="12049" width="26.1640625" style="42" bestFit="1" customWidth="1"/>
    <col min="12050" max="12050" width="2.6640625" style="42" customWidth="1"/>
    <col min="12051" max="12051" width="19.5" style="42" customWidth="1"/>
    <col min="12052" max="12288" width="11.5" style="42"/>
    <col min="12289" max="12289" width="1.1640625" style="42" customWidth="1"/>
    <col min="12290" max="12290" width="27.6640625" style="42" customWidth="1"/>
    <col min="12291" max="12291" width="8" style="42" customWidth="1"/>
    <col min="12292" max="12292" width="8.83203125" style="42" customWidth="1"/>
    <col min="12293" max="12293" width="6.6640625" style="42" customWidth="1"/>
    <col min="12294" max="12294" width="8.6640625" style="42" customWidth="1"/>
    <col min="12295" max="12295" width="7.6640625" style="42" customWidth="1"/>
    <col min="12296" max="12296" width="5.6640625" style="42" customWidth="1"/>
    <col min="12297" max="12297" width="8.6640625" style="42" customWidth="1"/>
    <col min="12298" max="12298" width="7.33203125" style="42" customWidth="1"/>
    <col min="12299" max="12299" width="9" style="42" bestFit="1" customWidth="1"/>
    <col min="12300" max="12301" width="11.5" style="42"/>
    <col min="12302" max="12302" width="8.83203125" style="42" customWidth="1"/>
    <col min="12303" max="12305" width="26.1640625" style="42" bestFit="1" customWidth="1"/>
    <col min="12306" max="12306" width="2.6640625" style="42" customWidth="1"/>
    <col min="12307" max="12307" width="19.5" style="42" customWidth="1"/>
    <col min="12308" max="12544" width="11.5" style="42"/>
    <col min="12545" max="12545" width="1.1640625" style="42" customWidth="1"/>
    <col min="12546" max="12546" width="27.6640625" style="42" customWidth="1"/>
    <col min="12547" max="12547" width="8" style="42" customWidth="1"/>
    <col min="12548" max="12548" width="8.83203125" style="42" customWidth="1"/>
    <col min="12549" max="12549" width="6.6640625" style="42" customWidth="1"/>
    <col min="12550" max="12550" width="8.6640625" style="42" customWidth="1"/>
    <col min="12551" max="12551" width="7.6640625" style="42" customWidth="1"/>
    <col min="12552" max="12552" width="5.6640625" style="42" customWidth="1"/>
    <col min="12553" max="12553" width="8.6640625" style="42" customWidth="1"/>
    <col min="12554" max="12554" width="7.33203125" style="42" customWidth="1"/>
    <col min="12555" max="12555" width="9" style="42" bestFit="1" customWidth="1"/>
    <col min="12556" max="12557" width="11.5" style="42"/>
    <col min="12558" max="12558" width="8.83203125" style="42" customWidth="1"/>
    <col min="12559" max="12561" width="26.1640625" style="42" bestFit="1" customWidth="1"/>
    <col min="12562" max="12562" width="2.6640625" style="42" customWidth="1"/>
    <col min="12563" max="12563" width="19.5" style="42" customWidth="1"/>
    <col min="12564" max="12800" width="11.5" style="42"/>
    <col min="12801" max="12801" width="1.1640625" style="42" customWidth="1"/>
    <col min="12802" max="12802" width="27.6640625" style="42" customWidth="1"/>
    <col min="12803" max="12803" width="8" style="42" customWidth="1"/>
    <col min="12804" max="12804" width="8.83203125" style="42" customWidth="1"/>
    <col min="12805" max="12805" width="6.6640625" style="42" customWidth="1"/>
    <col min="12806" max="12806" width="8.6640625" style="42" customWidth="1"/>
    <col min="12807" max="12807" width="7.6640625" style="42" customWidth="1"/>
    <col min="12808" max="12808" width="5.6640625" style="42" customWidth="1"/>
    <col min="12809" max="12809" width="8.6640625" style="42" customWidth="1"/>
    <col min="12810" max="12810" width="7.33203125" style="42" customWidth="1"/>
    <col min="12811" max="12811" width="9" style="42" bestFit="1" customWidth="1"/>
    <col min="12812" max="12813" width="11.5" style="42"/>
    <col min="12814" max="12814" width="8.83203125" style="42" customWidth="1"/>
    <col min="12815" max="12817" width="26.1640625" style="42" bestFit="1" customWidth="1"/>
    <col min="12818" max="12818" width="2.6640625" style="42" customWidth="1"/>
    <col min="12819" max="12819" width="19.5" style="42" customWidth="1"/>
    <col min="12820" max="13056" width="11.5" style="42"/>
    <col min="13057" max="13057" width="1.1640625" style="42" customWidth="1"/>
    <col min="13058" max="13058" width="27.6640625" style="42" customWidth="1"/>
    <col min="13059" max="13059" width="8" style="42" customWidth="1"/>
    <col min="13060" max="13060" width="8.83203125" style="42" customWidth="1"/>
    <col min="13061" max="13061" width="6.6640625" style="42" customWidth="1"/>
    <col min="13062" max="13062" width="8.6640625" style="42" customWidth="1"/>
    <col min="13063" max="13063" width="7.6640625" style="42" customWidth="1"/>
    <col min="13064" max="13064" width="5.6640625" style="42" customWidth="1"/>
    <col min="13065" max="13065" width="8.6640625" style="42" customWidth="1"/>
    <col min="13066" max="13066" width="7.33203125" style="42" customWidth="1"/>
    <col min="13067" max="13067" width="9" style="42" bestFit="1" customWidth="1"/>
    <col min="13068" max="13069" width="11.5" style="42"/>
    <col min="13070" max="13070" width="8.83203125" style="42" customWidth="1"/>
    <col min="13071" max="13073" width="26.1640625" style="42" bestFit="1" customWidth="1"/>
    <col min="13074" max="13074" width="2.6640625" style="42" customWidth="1"/>
    <col min="13075" max="13075" width="19.5" style="42" customWidth="1"/>
    <col min="13076" max="13312" width="11.5" style="42"/>
    <col min="13313" max="13313" width="1.1640625" style="42" customWidth="1"/>
    <col min="13314" max="13314" width="27.6640625" style="42" customWidth="1"/>
    <col min="13315" max="13315" width="8" style="42" customWidth="1"/>
    <col min="13316" max="13316" width="8.83203125" style="42" customWidth="1"/>
    <col min="13317" max="13317" width="6.6640625" style="42" customWidth="1"/>
    <col min="13318" max="13318" width="8.6640625" style="42" customWidth="1"/>
    <col min="13319" max="13319" width="7.6640625" style="42" customWidth="1"/>
    <col min="13320" max="13320" width="5.6640625" style="42" customWidth="1"/>
    <col min="13321" max="13321" width="8.6640625" style="42" customWidth="1"/>
    <col min="13322" max="13322" width="7.33203125" style="42" customWidth="1"/>
    <col min="13323" max="13323" width="9" style="42" bestFit="1" customWidth="1"/>
    <col min="13324" max="13325" width="11.5" style="42"/>
    <col min="13326" max="13326" width="8.83203125" style="42" customWidth="1"/>
    <col min="13327" max="13329" width="26.1640625" style="42" bestFit="1" customWidth="1"/>
    <col min="13330" max="13330" width="2.6640625" style="42" customWidth="1"/>
    <col min="13331" max="13331" width="19.5" style="42" customWidth="1"/>
    <col min="13332" max="13568" width="11.5" style="42"/>
    <col min="13569" max="13569" width="1.1640625" style="42" customWidth="1"/>
    <col min="13570" max="13570" width="27.6640625" style="42" customWidth="1"/>
    <col min="13571" max="13571" width="8" style="42" customWidth="1"/>
    <col min="13572" max="13572" width="8.83203125" style="42" customWidth="1"/>
    <col min="13573" max="13573" width="6.6640625" style="42" customWidth="1"/>
    <col min="13574" max="13574" width="8.6640625" style="42" customWidth="1"/>
    <col min="13575" max="13575" width="7.6640625" style="42" customWidth="1"/>
    <col min="13576" max="13576" width="5.6640625" style="42" customWidth="1"/>
    <col min="13577" max="13577" width="8.6640625" style="42" customWidth="1"/>
    <col min="13578" max="13578" width="7.33203125" style="42" customWidth="1"/>
    <col min="13579" max="13579" width="9" style="42" bestFit="1" customWidth="1"/>
    <col min="13580" max="13581" width="11.5" style="42"/>
    <col min="13582" max="13582" width="8.83203125" style="42" customWidth="1"/>
    <col min="13583" max="13585" width="26.1640625" style="42" bestFit="1" customWidth="1"/>
    <col min="13586" max="13586" width="2.6640625" style="42" customWidth="1"/>
    <col min="13587" max="13587" width="19.5" style="42" customWidth="1"/>
    <col min="13588" max="13824" width="11.5" style="42"/>
    <col min="13825" max="13825" width="1.1640625" style="42" customWidth="1"/>
    <col min="13826" max="13826" width="27.6640625" style="42" customWidth="1"/>
    <col min="13827" max="13827" width="8" style="42" customWidth="1"/>
    <col min="13828" max="13828" width="8.83203125" style="42" customWidth="1"/>
    <col min="13829" max="13829" width="6.6640625" style="42" customWidth="1"/>
    <col min="13830" max="13830" width="8.6640625" style="42" customWidth="1"/>
    <col min="13831" max="13831" width="7.6640625" style="42" customWidth="1"/>
    <col min="13832" max="13832" width="5.6640625" style="42" customWidth="1"/>
    <col min="13833" max="13833" width="8.6640625" style="42" customWidth="1"/>
    <col min="13834" max="13834" width="7.33203125" style="42" customWidth="1"/>
    <col min="13835" max="13835" width="9" style="42" bestFit="1" customWidth="1"/>
    <col min="13836" max="13837" width="11.5" style="42"/>
    <col min="13838" max="13838" width="8.83203125" style="42" customWidth="1"/>
    <col min="13839" max="13841" width="26.1640625" style="42" bestFit="1" customWidth="1"/>
    <col min="13842" max="13842" width="2.6640625" style="42" customWidth="1"/>
    <col min="13843" max="13843" width="19.5" style="42" customWidth="1"/>
    <col min="13844" max="14080" width="11.5" style="42"/>
    <col min="14081" max="14081" width="1.1640625" style="42" customWidth="1"/>
    <col min="14082" max="14082" width="27.6640625" style="42" customWidth="1"/>
    <col min="14083" max="14083" width="8" style="42" customWidth="1"/>
    <col min="14084" max="14084" width="8.83203125" style="42" customWidth="1"/>
    <col min="14085" max="14085" width="6.6640625" style="42" customWidth="1"/>
    <col min="14086" max="14086" width="8.6640625" style="42" customWidth="1"/>
    <col min="14087" max="14087" width="7.6640625" style="42" customWidth="1"/>
    <col min="14088" max="14088" width="5.6640625" style="42" customWidth="1"/>
    <col min="14089" max="14089" width="8.6640625" style="42" customWidth="1"/>
    <col min="14090" max="14090" width="7.33203125" style="42" customWidth="1"/>
    <col min="14091" max="14091" width="9" style="42" bestFit="1" customWidth="1"/>
    <col min="14092" max="14093" width="11.5" style="42"/>
    <col min="14094" max="14094" width="8.83203125" style="42" customWidth="1"/>
    <col min="14095" max="14097" width="26.1640625" style="42" bestFit="1" customWidth="1"/>
    <col min="14098" max="14098" width="2.6640625" style="42" customWidth="1"/>
    <col min="14099" max="14099" width="19.5" style="42" customWidth="1"/>
    <col min="14100" max="14336" width="11.5" style="42"/>
    <col min="14337" max="14337" width="1.1640625" style="42" customWidth="1"/>
    <col min="14338" max="14338" width="27.6640625" style="42" customWidth="1"/>
    <col min="14339" max="14339" width="8" style="42" customWidth="1"/>
    <col min="14340" max="14340" width="8.83203125" style="42" customWidth="1"/>
    <col min="14341" max="14341" width="6.6640625" style="42" customWidth="1"/>
    <col min="14342" max="14342" width="8.6640625" style="42" customWidth="1"/>
    <col min="14343" max="14343" width="7.6640625" style="42" customWidth="1"/>
    <col min="14344" max="14344" width="5.6640625" style="42" customWidth="1"/>
    <col min="14345" max="14345" width="8.6640625" style="42" customWidth="1"/>
    <col min="14346" max="14346" width="7.33203125" style="42" customWidth="1"/>
    <col min="14347" max="14347" width="9" style="42" bestFit="1" customWidth="1"/>
    <col min="14348" max="14349" width="11.5" style="42"/>
    <col min="14350" max="14350" width="8.83203125" style="42" customWidth="1"/>
    <col min="14351" max="14353" width="26.1640625" style="42" bestFit="1" customWidth="1"/>
    <col min="14354" max="14354" width="2.6640625" style="42" customWidth="1"/>
    <col min="14355" max="14355" width="19.5" style="42" customWidth="1"/>
    <col min="14356" max="14592" width="11.5" style="42"/>
    <col min="14593" max="14593" width="1.1640625" style="42" customWidth="1"/>
    <col min="14594" max="14594" width="27.6640625" style="42" customWidth="1"/>
    <col min="14595" max="14595" width="8" style="42" customWidth="1"/>
    <col min="14596" max="14596" width="8.83203125" style="42" customWidth="1"/>
    <col min="14597" max="14597" width="6.6640625" style="42" customWidth="1"/>
    <col min="14598" max="14598" width="8.6640625" style="42" customWidth="1"/>
    <col min="14599" max="14599" width="7.6640625" style="42" customWidth="1"/>
    <col min="14600" max="14600" width="5.6640625" style="42" customWidth="1"/>
    <col min="14601" max="14601" width="8.6640625" style="42" customWidth="1"/>
    <col min="14602" max="14602" width="7.33203125" style="42" customWidth="1"/>
    <col min="14603" max="14603" width="9" style="42" bestFit="1" customWidth="1"/>
    <col min="14604" max="14605" width="11.5" style="42"/>
    <col min="14606" max="14606" width="8.83203125" style="42" customWidth="1"/>
    <col min="14607" max="14609" width="26.1640625" style="42" bestFit="1" customWidth="1"/>
    <col min="14610" max="14610" width="2.6640625" style="42" customWidth="1"/>
    <col min="14611" max="14611" width="19.5" style="42" customWidth="1"/>
    <col min="14612" max="14848" width="11.5" style="42"/>
    <col min="14849" max="14849" width="1.1640625" style="42" customWidth="1"/>
    <col min="14850" max="14850" width="27.6640625" style="42" customWidth="1"/>
    <col min="14851" max="14851" width="8" style="42" customWidth="1"/>
    <col min="14852" max="14852" width="8.83203125" style="42" customWidth="1"/>
    <col min="14853" max="14853" width="6.6640625" style="42" customWidth="1"/>
    <col min="14854" max="14854" width="8.6640625" style="42" customWidth="1"/>
    <col min="14855" max="14855" width="7.6640625" style="42" customWidth="1"/>
    <col min="14856" max="14856" width="5.6640625" style="42" customWidth="1"/>
    <col min="14857" max="14857" width="8.6640625" style="42" customWidth="1"/>
    <col min="14858" max="14858" width="7.33203125" style="42" customWidth="1"/>
    <col min="14859" max="14859" width="9" style="42" bestFit="1" customWidth="1"/>
    <col min="14860" max="14861" width="11.5" style="42"/>
    <col min="14862" max="14862" width="8.83203125" style="42" customWidth="1"/>
    <col min="14863" max="14865" width="26.1640625" style="42" bestFit="1" customWidth="1"/>
    <col min="14866" max="14866" width="2.6640625" style="42" customWidth="1"/>
    <col min="14867" max="14867" width="19.5" style="42" customWidth="1"/>
    <col min="14868" max="15104" width="11.5" style="42"/>
    <col min="15105" max="15105" width="1.1640625" style="42" customWidth="1"/>
    <col min="15106" max="15106" width="27.6640625" style="42" customWidth="1"/>
    <col min="15107" max="15107" width="8" style="42" customWidth="1"/>
    <col min="15108" max="15108" width="8.83203125" style="42" customWidth="1"/>
    <col min="15109" max="15109" width="6.6640625" style="42" customWidth="1"/>
    <col min="15110" max="15110" width="8.6640625" style="42" customWidth="1"/>
    <col min="15111" max="15111" width="7.6640625" style="42" customWidth="1"/>
    <col min="15112" max="15112" width="5.6640625" style="42" customWidth="1"/>
    <col min="15113" max="15113" width="8.6640625" style="42" customWidth="1"/>
    <col min="15114" max="15114" width="7.33203125" style="42" customWidth="1"/>
    <col min="15115" max="15115" width="9" style="42" bestFit="1" customWidth="1"/>
    <col min="15116" max="15117" width="11.5" style="42"/>
    <col min="15118" max="15118" width="8.83203125" style="42" customWidth="1"/>
    <col min="15119" max="15121" width="26.1640625" style="42" bestFit="1" customWidth="1"/>
    <col min="15122" max="15122" width="2.6640625" style="42" customWidth="1"/>
    <col min="15123" max="15123" width="19.5" style="42" customWidth="1"/>
    <col min="15124" max="15360" width="11.5" style="42"/>
    <col min="15361" max="15361" width="1.1640625" style="42" customWidth="1"/>
    <col min="15362" max="15362" width="27.6640625" style="42" customWidth="1"/>
    <col min="15363" max="15363" width="8" style="42" customWidth="1"/>
    <col min="15364" max="15364" width="8.83203125" style="42" customWidth="1"/>
    <col min="15365" max="15365" width="6.6640625" style="42" customWidth="1"/>
    <col min="15366" max="15366" width="8.6640625" style="42" customWidth="1"/>
    <col min="15367" max="15367" width="7.6640625" style="42" customWidth="1"/>
    <col min="15368" max="15368" width="5.6640625" style="42" customWidth="1"/>
    <col min="15369" max="15369" width="8.6640625" style="42" customWidth="1"/>
    <col min="15370" max="15370" width="7.33203125" style="42" customWidth="1"/>
    <col min="15371" max="15371" width="9" style="42" bestFit="1" customWidth="1"/>
    <col min="15372" max="15373" width="11.5" style="42"/>
    <col min="15374" max="15374" width="8.83203125" style="42" customWidth="1"/>
    <col min="15375" max="15377" width="26.1640625" style="42" bestFit="1" customWidth="1"/>
    <col min="15378" max="15378" width="2.6640625" style="42" customWidth="1"/>
    <col min="15379" max="15379" width="19.5" style="42" customWidth="1"/>
    <col min="15380" max="15616" width="11.5" style="42"/>
    <col min="15617" max="15617" width="1.1640625" style="42" customWidth="1"/>
    <col min="15618" max="15618" width="27.6640625" style="42" customWidth="1"/>
    <col min="15619" max="15619" width="8" style="42" customWidth="1"/>
    <col min="15620" max="15620" width="8.83203125" style="42" customWidth="1"/>
    <col min="15621" max="15621" width="6.6640625" style="42" customWidth="1"/>
    <col min="15622" max="15622" width="8.6640625" style="42" customWidth="1"/>
    <col min="15623" max="15623" width="7.6640625" style="42" customWidth="1"/>
    <col min="15624" max="15624" width="5.6640625" style="42" customWidth="1"/>
    <col min="15625" max="15625" width="8.6640625" style="42" customWidth="1"/>
    <col min="15626" max="15626" width="7.33203125" style="42" customWidth="1"/>
    <col min="15627" max="15627" width="9" style="42" bestFit="1" customWidth="1"/>
    <col min="15628" max="15629" width="11.5" style="42"/>
    <col min="15630" max="15630" width="8.83203125" style="42" customWidth="1"/>
    <col min="15631" max="15633" width="26.1640625" style="42" bestFit="1" customWidth="1"/>
    <col min="15634" max="15634" width="2.6640625" style="42" customWidth="1"/>
    <col min="15635" max="15635" width="19.5" style="42" customWidth="1"/>
    <col min="15636" max="15872" width="11.5" style="42"/>
    <col min="15873" max="15873" width="1.1640625" style="42" customWidth="1"/>
    <col min="15874" max="15874" width="27.6640625" style="42" customWidth="1"/>
    <col min="15875" max="15875" width="8" style="42" customWidth="1"/>
    <col min="15876" max="15876" width="8.83203125" style="42" customWidth="1"/>
    <col min="15877" max="15877" width="6.6640625" style="42" customWidth="1"/>
    <col min="15878" max="15878" width="8.6640625" style="42" customWidth="1"/>
    <col min="15879" max="15879" width="7.6640625" style="42" customWidth="1"/>
    <col min="15880" max="15880" width="5.6640625" style="42" customWidth="1"/>
    <col min="15881" max="15881" width="8.6640625" style="42" customWidth="1"/>
    <col min="15882" max="15882" width="7.33203125" style="42" customWidth="1"/>
    <col min="15883" max="15883" width="9" style="42" bestFit="1" customWidth="1"/>
    <col min="15884" max="15885" width="11.5" style="42"/>
    <col min="15886" max="15886" width="8.83203125" style="42" customWidth="1"/>
    <col min="15887" max="15889" width="26.1640625" style="42" bestFit="1" customWidth="1"/>
    <col min="15890" max="15890" width="2.6640625" style="42" customWidth="1"/>
    <col min="15891" max="15891" width="19.5" style="42" customWidth="1"/>
    <col min="15892" max="16128" width="11.5" style="42"/>
    <col min="16129" max="16129" width="1.1640625" style="42" customWidth="1"/>
    <col min="16130" max="16130" width="27.6640625" style="42" customWidth="1"/>
    <col min="16131" max="16131" width="8" style="42" customWidth="1"/>
    <col min="16132" max="16132" width="8.83203125" style="42" customWidth="1"/>
    <col min="16133" max="16133" width="6.6640625" style="42" customWidth="1"/>
    <col min="16134" max="16134" width="8.6640625" style="42" customWidth="1"/>
    <col min="16135" max="16135" width="7.6640625" style="42" customWidth="1"/>
    <col min="16136" max="16136" width="5.6640625" style="42" customWidth="1"/>
    <col min="16137" max="16137" width="8.6640625" style="42" customWidth="1"/>
    <col min="16138" max="16138" width="7.33203125" style="42" customWidth="1"/>
    <col min="16139" max="16139" width="9" style="42" bestFit="1" customWidth="1"/>
    <col min="16140" max="16141" width="11.5" style="42"/>
    <col min="16142" max="16142" width="8.83203125" style="42" customWidth="1"/>
    <col min="16143" max="16145" width="26.1640625" style="42" bestFit="1" customWidth="1"/>
    <col min="16146" max="16146" width="2.6640625" style="42" customWidth="1"/>
    <col min="16147" max="16147" width="19.5" style="42" customWidth="1"/>
    <col min="16148" max="16384" width="11.5" style="42"/>
  </cols>
  <sheetData>
    <row r="1" spans="1:19" ht="6.75" customHeight="1"/>
    <row r="2" spans="1:19" ht="25">
      <c r="A2" s="46"/>
      <c r="B2" s="47" t="s">
        <v>100</v>
      </c>
      <c r="C2" s="48"/>
      <c r="D2" s="48"/>
      <c r="E2" s="48"/>
      <c r="F2" s="48"/>
      <c r="G2" s="48"/>
      <c r="H2" s="49"/>
      <c r="I2" s="49"/>
      <c r="J2" s="49"/>
      <c r="K2" s="48"/>
    </row>
    <row r="3" spans="1:19" ht="18">
      <c r="A3" s="46"/>
      <c r="B3" s="50" t="s">
        <v>101</v>
      </c>
      <c r="C3" s="48"/>
      <c r="D3" s="48"/>
      <c r="E3" s="48"/>
      <c r="F3" s="48"/>
      <c r="G3" s="48"/>
      <c r="H3" s="49"/>
      <c r="I3" s="49"/>
      <c r="J3" s="49"/>
      <c r="K3" s="48"/>
    </row>
    <row r="4" spans="1:19">
      <c r="B4" s="51"/>
      <c r="C4" s="52"/>
      <c r="D4" s="53" t="s">
        <v>102</v>
      </c>
      <c r="E4" s="52"/>
      <c r="F4" s="52"/>
      <c r="G4" s="52"/>
      <c r="H4" s="54"/>
      <c r="I4" s="54"/>
      <c r="J4" s="54"/>
      <c r="K4" s="55"/>
      <c r="S4" s="56">
        <v>1</v>
      </c>
    </row>
    <row r="5" spans="1:19">
      <c r="A5" s="44"/>
      <c r="B5" s="57" t="s">
        <v>103</v>
      </c>
      <c r="C5" s="58" t="s">
        <v>104</v>
      </c>
      <c r="D5" s="59" t="s">
        <v>105</v>
      </c>
      <c r="E5" s="58" t="s">
        <v>106</v>
      </c>
      <c r="F5" s="58" t="s">
        <v>107</v>
      </c>
      <c r="G5" s="58" t="s">
        <v>108</v>
      </c>
      <c r="H5" s="58" t="s">
        <v>106</v>
      </c>
      <c r="I5" s="60" t="s">
        <v>109</v>
      </c>
      <c r="J5" s="60" t="s">
        <v>110</v>
      </c>
      <c r="K5" s="61" t="s">
        <v>111</v>
      </c>
      <c r="L5" s="62" t="s">
        <v>112</v>
      </c>
      <c r="M5" s="62" t="s">
        <v>113</v>
      </c>
      <c r="R5" s="42"/>
      <c r="S5" s="57" t="s">
        <v>114</v>
      </c>
    </row>
    <row r="6" spans="1:19">
      <c r="A6" s="63">
        <v>2101</v>
      </c>
      <c r="B6" s="56" t="s">
        <v>115</v>
      </c>
      <c r="C6" s="64" t="s">
        <v>116</v>
      </c>
      <c r="D6" s="64" t="s">
        <v>116</v>
      </c>
      <c r="E6" s="64" t="s">
        <v>116</v>
      </c>
      <c r="F6" s="64" t="s">
        <v>116</v>
      </c>
      <c r="G6" s="64" t="s">
        <v>116</v>
      </c>
      <c r="H6" s="64" t="s">
        <v>116</v>
      </c>
      <c r="I6" s="64" t="s">
        <v>116</v>
      </c>
      <c r="J6" s="64" t="s">
        <v>116</v>
      </c>
      <c r="K6" s="64">
        <v>0</v>
      </c>
      <c r="L6" s="64">
        <v>0</v>
      </c>
      <c r="M6" s="64">
        <v>0</v>
      </c>
      <c r="O6" s="57" t="s">
        <v>117</v>
      </c>
      <c r="P6" s="57" t="s">
        <v>118</v>
      </c>
      <c r="Q6" s="57" t="s">
        <v>119</v>
      </c>
      <c r="S6" s="56" t="s">
        <v>115</v>
      </c>
    </row>
    <row r="7" spans="1:19">
      <c r="A7" s="65">
        <v>2102</v>
      </c>
      <c r="B7" s="66" t="s">
        <v>120</v>
      </c>
      <c r="C7" s="67">
        <v>10</v>
      </c>
      <c r="D7" s="68">
        <v>11</v>
      </c>
      <c r="E7" s="67" t="s">
        <v>121</v>
      </c>
      <c r="F7" s="67" t="s">
        <v>122</v>
      </c>
      <c r="G7" s="67" t="s">
        <v>123</v>
      </c>
      <c r="H7" s="69" t="s">
        <v>124</v>
      </c>
      <c r="I7" s="67" t="s">
        <v>125</v>
      </c>
      <c r="J7" s="70" t="s">
        <v>126</v>
      </c>
      <c r="K7" s="64">
        <v>0</v>
      </c>
      <c r="L7" s="64">
        <v>0</v>
      </c>
      <c r="M7" s="64">
        <v>0</v>
      </c>
      <c r="O7" s="66" t="s">
        <v>120</v>
      </c>
      <c r="P7" s="66" t="s">
        <v>127</v>
      </c>
      <c r="Q7" s="66" t="s">
        <v>127</v>
      </c>
      <c r="S7" s="66" t="str">
        <f t="shared" ref="S7:S70" si="0">IF($S$4=2,O7,B7)</f>
        <v>Afghanistan</v>
      </c>
    </row>
    <row r="8" spans="1:19">
      <c r="A8" s="63">
        <v>2103</v>
      </c>
      <c r="B8" s="66" t="s">
        <v>128</v>
      </c>
      <c r="C8" s="67">
        <v>5</v>
      </c>
      <c r="D8" s="68">
        <v>6</v>
      </c>
      <c r="E8" s="67" t="s">
        <v>129</v>
      </c>
      <c r="F8" s="67" t="s">
        <v>122</v>
      </c>
      <c r="G8" s="67" t="s">
        <v>123</v>
      </c>
      <c r="H8" s="69" t="s">
        <v>129</v>
      </c>
      <c r="I8" s="67" t="s">
        <v>130</v>
      </c>
      <c r="J8" s="70" t="s">
        <v>131</v>
      </c>
      <c r="K8" s="64">
        <v>0</v>
      </c>
      <c r="L8" s="64">
        <v>0</v>
      </c>
      <c r="M8" s="64">
        <v>0</v>
      </c>
      <c r="O8" s="66" t="s">
        <v>128</v>
      </c>
      <c r="P8" s="66" t="s">
        <v>132</v>
      </c>
      <c r="Q8" s="66" t="s">
        <v>132</v>
      </c>
      <c r="S8" s="66" t="str">
        <f t="shared" si="0"/>
        <v>Albania</v>
      </c>
    </row>
    <row r="9" spans="1:19">
      <c r="A9" s="65">
        <v>2104</v>
      </c>
      <c r="B9" s="66" t="s">
        <v>133</v>
      </c>
      <c r="C9" s="67">
        <v>10</v>
      </c>
      <c r="D9" s="68">
        <v>11</v>
      </c>
      <c r="E9" s="67" t="s">
        <v>134</v>
      </c>
      <c r="F9" s="67" t="s">
        <v>122</v>
      </c>
      <c r="G9" s="67" t="s">
        <v>123</v>
      </c>
      <c r="H9" s="69" t="s">
        <v>135</v>
      </c>
      <c r="I9" s="67" t="s">
        <v>130</v>
      </c>
      <c r="J9" s="70" t="s">
        <v>131</v>
      </c>
      <c r="K9" s="64">
        <v>0</v>
      </c>
      <c r="L9" s="64">
        <v>0</v>
      </c>
      <c r="M9" s="64">
        <v>0</v>
      </c>
      <c r="O9" s="66" t="s">
        <v>133</v>
      </c>
      <c r="P9" s="66" t="s">
        <v>136</v>
      </c>
      <c r="Q9" s="66" t="s">
        <v>136</v>
      </c>
      <c r="S9" s="66" t="str">
        <f t="shared" si="0"/>
        <v>Algeria</v>
      </c>
    </row>
    <row r="10" spans="1:19">
      <c r="A10" s="63">
        <v>2105</v>
      </c>
      <c r="B10" s="66" t="s">
        <v>137</v>
      </c>
      <c r="C10" s="67">
        <v>10</v>
      </c>
      <c r="D10" s="68">
        <v>11</v>
      </c>
      <c r="E10" s="67">
        <v>6</v>
      </c>
      <c r="F10" s="67" t="s">
        <v>122</v>
      </c>
      <c r="G10" s="67" t="s">
        <v>123</v>
      </c>
      <c r="H10" s="69" t="s">
        <v>138</v>
      </c>
      <c r="I10" s="67" t="s">
        <v>125</v>
      </c>
      <c r="J10" s="70" t="s">
        <v>126</v>
      </c>
      <c r="K10" s="64">
        <v>0</v>
      </c>
      <c r="L10" s="64">
        <v>0</v>
      </c>
      <c r="M10" s="64">
        <v>0</v>
      </c>
      <c r="O10" s="66" t="s">
        <v>137</v>
      </c>
      <c r="P10" s="66" t="s">
        <v>139</v>
      </c>
      <c r="Q10" s="66" t="s">
        <v>140</v>
      </c>
      <c r="S10" s="66" t="str">
        <f t="shared" si="0"/>
        <v>American Samoa</v>
      </c>
    </row>
    <row r="11" spans="1:19">
      <c r="A11" s="65">
        <v>2106</v>
      </c>
      <c r="B11" s="66" t="s">
        <v>141</v>
      </c>
      <c r="C11" s="67">
        <v>4</v>
      </c>
      <c r="D11" s="68">
        <v>5</v>
      </c>
      <c r="E11" s="67" t="s">
        <v>129</v>
      </c>
      <c r="F11" s="67" t="s">
        <v>142</v>
      </c>
      <c r="G11" s="67" t="s">
        <v>143</v>
      </c>
      <c r="H11" s="69">
        <v>1</v>
      </c>
      <c r="I11" s="67" t="s">
        <v>130</v>
      </c>
      <c r="J11" s="70" t="s">
        <v>131</v>
      </c>
      <c r="K11" s="64">
        <v>0</v>
      </c>
      <c r="L11" s="68">
        <v>3</v>
      </c>
      <c r="M11" s="71">
        <v>3</v>
      </c>
      <c r="O11" s="66" t="s">
        <v>141</v>
      </c>
      <c r="P11" s="66" t="s">
        <v>140</v>
      </c>
      <c r="Q11" s="66" t="s">
        <v>144</v>
      </c>
      <c r="S11" s="66" t="str">
        <f t="shared" si="0"/>
        <v>Andorra</v>
      </c>
    </row>
    <row r="12" spans="1:19">
      <c r="A12" s="63">
        <v>2107</v>
      </c>
      <c r="B12" s="66" t="s">
        <v>145</v>
      </c>
      <c r="C12" s="67">
        <v>10</v>
      </c>
      <c r="D12" s="68">
        <v>11</v>
      </c>
      <c r="E12" s="67" t="s">
        <v>146</v>
      </c>
      <c r="F12" s="67" t="s">
        <v>122</v>
      </c>
      <c r="G12" s="67" t="s">
        <v>123</v>
      </c>
      <c r="H12" s="69" t="s">
        <v>147</v>
      </c>
      <c r="I12" s="67" t="s">
        <v>125</v>
      </c>
      <c r="J12" s="70" t="s">
        <v>126</v>
      </c>
      <c r="K12" s="64">
        <v>0</v>
      </c>
      <c r="L12" s="64">
        <v>0</v>
      </c>
      <c r="M12" s="64">
        <v>0</v>
      </c>
      <c r="O12" s="66" t="s">
        <v>145</v>
      </c>
      <c r="P12" s="66" t="s">
        <v>144</v>
      </c>
      <c r="Q12" s="66" t="s">
        <v>148</v>
      </c>
      <c r="S12" s="66" t="str">
        <f t="shared" si="0"/>
        <v>Angola</v>
      </c>
    </row>
    <row r="13" spans="1:19">
      <c r="A13" s="65">
        <v>2108</v>
      </c>
      <c r="B13" s="66" t="s">
        <v>149</v>
      </c>
      <c r="C13" s="67">
        <v>10</v>
      </c>
      <c r="D13" s="68">
        <v>11</v>
      </c>
      <c r="E13" s="67" t="s">
        <v>147</v>
      </c>
      <c r="F13" s="67" t="s">
        <v>122</v>
      </c>
      <c r="G13" s="67" t="s">
        <v>123</v>
      </c>
      <c r="H13" s="69" t="s">
        <v>135</v>
      </c>
      <c r="I13" s="67" t="s">
        <v>125</v>
      </c>
      <c r="J13" s="70" t="s">
        <v>126</v>
      </c>
      <c r="K13" s="64">
        <v>0</v>
      </c>
      <c r="L13" s="64">
        <v>0</v>
      </c>
      <c r="M13" s="64">
        <v>0</v>
      </c>
      <c r="O13" s="66" t="s">
        <v>149</v>
      </c>
      <c r="P13" s="66" t="s">
        <v>148</v>
      </c>
      <c r="Q13" s="66" t="s">
        <v>150</v>
      </c>
      <c r="S13" s="66" t="str">
        <f t="shared" si="0"/>
        <v>Anguilla</v>
      </c>
    </row>
    <row r="14" spans="1:19">
      <c r="A14" s="63">
        <v>2109</v>
      </c>
      <c r="B14" s="66" t="s">
        <v>151</v>
      </c>
      <c r="C14" s="67">
        <v>10</v>
      </c>
      <c r="D14" s="68">
        <v>11</v>
      </c>
      <c r="E14" s="67" t="s">
        <v>146</v>
      </c>
      <c r="F14" s="67" t="s">
        <v>122</v>
      </c>
      <c r="G14" s="67" t="s">
        <v>123</v>
      </c>
      <c r="H14" s="69" t="s">
        <v>135</v>
      </c>
      <c r="I14" s="67" t="s">
        <v>130</v>
      </c>
      <c r="J14" s="70" t="s">
        <v>131</v>
      </c>
      <c r="K14" s="64">
        <v>0</v>
      </c>
      <c r="L14" s="64">
        <v>0</v>
      </c>
      <c r="M14" s="64">
        <v>0</v>
      </c>
      <c r="O14" s="66" t="s">
        <v>151</v>
      </c>
      <c r="P14" s="66" t="s">
        <v>150</v>
      </c>
      <c r="Q14" s="66" t="s">
        <v>152</v>
      </c>
      <c r="S14" s="66" t="str">
        <f t="shared" si="0"/>
        <v>Antigua</v>
      </c>
    </row>
    <row r="15" spans="1:19">
      <c r="A15" s="65">
        <v>2110</v>
      </c>
      <c r="B15" s="66" t="s">
        <v>153</v>
      </c>
      <c r="C15" s="67">
        <v>10</v>
      </c>
      <c r="D15" s="68">
        <v>11</v>
      </c>
      <c r="E15" s="67" t="s">
        <v>135</v>
      </c>
      <c r="F15" s="67" t="s">
        <v>122</v>
      </c>
      <c r="G15" s="67" t="s">
        <v>123</v>
      </c>
      <c r="H15" s="69" t="s">
        <v>147</v>
      </c>
      <c r="I15" s="67" t="s">
        <v>130</v>
      </c>
      <c r="J15" s="70" t="s">
        <v>131</v>
      </c>
      <c r="K15" s="64">
        <v>0</v>
      </c>
      <c r="L15" s="64">
        <v>0</v>
      </c>
      <c r="M15" s="64">
        <v>0</v>
      </c>
      <c r="O15" s="66" t="s">
        <v>153</v>
      </c>
      <c r="P15" s="66" t="s">
        <v>152</v>
      </c>
      <c r="Q15" s="66" t="s">
        <v>154</v>
      </c>
      <c r="S15" s="66" t="str">
        <f t="shared" si="0"/>
        <v>Argentina</v>
      </c>
    </row>
    <row r="16" spans="1:19">
      <c r="A16" s="63">
        <v>2111</v>
      </c>
      <c r="B16" s="66" t="s">
        <v>155</v>
      </c>
      <c r="C16" s="67">
        <v>10</v>
      </c>
      <c r="D16" s="68">
        <v>11</v>
      </c>
      <c r="E16" s="67" t="s">
        <v>135</v>
      </c>
      <c r="F16" s="67" t="s">
        <v>122</v>
      </c>
      <c r="G16" s="67" t="s">
        <v>123</v>
      </c>
      <c r="H16" s="69">
        <v>2</v>
      </c>
      <c r="I16" s="67" t="s">
        <v>130</v>
      </c>
      <c r="J16" s="70" t="s">
        <v>131</v>
      </c>
      <c r="K16" s="64">
        <v>0</v>
      </c>
      <c r="L16" s="64">
        <v>0</v>
      </c>
      <c r="M16" s="64">
        <v>0</v>
      </c>
      <c r="O16" s="66" t="s">
        <v>155</v>
      </c>
      <c r="P16" s="66" t="s">
        <v>154</v>
      </c>
      <c r="Q16" s="66" t="s">
        <v>156</v>
      </c>
      <c r="S16" s="66" t="str">
        <f t="shared" si="0"/>
        <v>Armenia</v>
      </c>
    </row>
    <row r="17" spans="1:19">
      <c r="A17" s="65">
        <v>2112</v>
      </c>
      <c r="B17" s="66" t="s">
        <v>157</v>
      </c>
      <c r="C17" s="67">
        <v>10</v>
      </c>
      <c r="D17" s="68">
        <v>11</v>
      </c>
      <c r="E17" s="67" t="s">
        <v>124</v>
      </c>
      <c r="F17" s="67" t="s">
        <v>122</v>
      </c>
      <c r="G17" s="67" t="s">
        <v>123</v>
      </c>
      <c r="H17" s="69" t="s">
        <v>147</v>
      </c>
      <c r="I17" s="67" t="s">
        <v>125</v>
      </c>
      <c r="J17" s="70" t="s">
        <v>126</v>
      </c>
      <c r="K17" s="64">
        <v>0</v>
      </c>
      <c r="L17" s="64">
        <v>0</v>
      </c>
      <c r="M17" s="64">
        <v>0</v>
      </c>
      <c r="O17" s="66" t="s">
        <v>157</v>
      </c>
      <c r="P17" s="66" t="s">
        <v>156</v>
      </c>
      <c r="Q17" s="66" t="s">
        <v>158</v>
      </c>
      <c r="S17" s="66" t="str">
        <f t="shared" si="0"/>
        <v>Aruba</v>
      </c>
    </row>
    <row r="18" spans="1:19">
      <c r="A18" s="63">
        <v>2113</v>
      </c>
      <c r="B18" s="66" t="s">
        <v>159</v>
      </c>
      <c r="C18" s="67">
        <v>8</v>
      </c>
      <c r="D18" s="68">
        <v>9</v>
      </c>
      <c r="E18" s="67" t="s">
        <v>147</v>
      </c>
      <c r="F18" s="67" t="s">
        <v>122</v>
      </c>
      <c r="G18" s="67" t="s">
        <v>123</v>
      </c>
      <c r="H18" s="69" t="s">
        <v>135</v>
      </c>
      <c r="I18" s="67" t="s">
        <v>130</v>
      </c>
      <c r="J18" s="70" t="s">
        <v>131</v>
      </c>
      <c r="K18" s="64">
        <v>0</v>
      </c>
      <c r="L18" s="64">
        <v>0</v>
      </c>
      <c r="M18" s="64">
        <v>0</v>
      </c>
      <c r="O18" s="66" t="s">
        <v>159</v>
      </c>
      <c r="P18" s="66" t="s">
        <v>158</v>
      </c>
      <c r="Q18" s="66" t="s">
        <v>160</v>
      </c>
      <c r="S18" s="66" t="str">
        <f t="shared" si="0"/>
        <v>Australia</v>
      </c>
    </row>
    <row r="19" spans="1:19">
      <c r="A19" s="65">
        <v>2114</v>
      </c>
      <c r="B19" s="66" t="s">
        <v>127</v>
      </c>
      <c r="C19" s="67">
        <v>3</v>
      </c>
      <c r="D19" s="68">
        <v>4</v>
      </c>
      <c r="E19" s="67" t="s">
        <v>129</v>
      </c>
      <c r="F19" s="67" t="s">
        <v>142</v>
      </c>
      <c r="G19" s="67" t="s">
        <v>123</v>
      </c>
      <c r="H19" s="69">
        <v>1</v>
      </c>
      <c r="I19" s="67" t="s">
        <v>130</v>
      </c>
      <c r="J19" s="70" t="s">
        <v>131</v>
      </c>
      <c r="K19" s="68">
        <v>3</v>
      </c>
      <c r="L19" s="68">
        <v>2</v>
      </c>
      <c r="M19" s="72">
        <v>2</v>
      </c>
      <c r="O19" s="66" t="s">
        <v>127</v>
      </c>
      <c r="P19" s="66" t="s">
        <v>160</v>
      </c>
      <c r="Q19" s="66" t="s">
        <v>161</v>
      </c>
      <c r="S19" s="66" t="str">
        <f t="shared" si="0"/>
        <v>Austria</v>
      </c>
    </row>
    <row r="20" spans="1:19">
      <c r="A20" s="63">
        <v>2115</v>
      </c>
      <c r="B20" s="66" t="s">
        <v>162</v>
      </c>
      <c r="C20" s="67">
        <v>10</v>
      </c>
      <c r="D20" s="68">
        <v>11</v>
      </c>
      <c r="E20" s="67" t="s">
        <v>135</v>
      </c>
      <c r="F20" s="67" t="s">
        <v>122</v>
      </c>
      <c r="G20" s="67" t="s">
        <v>123</v>
      </c>
      <c r="H20" s="69" t="s">
        <v>135</v>
      </c>
      <c r="I20" s="67" t="s">
        <v>130</v>
      </c>
      <c r="J20" s="70" t="s">
        <v>131</v>
      </c>
      <c r="K20" s="64">
        <v>0</v>
      </c>
      <c r="L20" s="64">
        <v>0</v>
      </c>
      <c r="M20" s="64">
        <v>0</v>
      </c>
      <c r="O20" s="66" t="s">
        <v>162</v>
      </c>
      <c r="P20" s="66" t="s">
        <v>161</v>
      </c>
      <c r="Q20" s="66" t="s">
        <v>163</v>
      </c>
      <c r="S20" s="66" t="str">
        <f t="shared" si="0"/>
        <v>Azerbaijan</v>
      </c>
    </row>
    <row r="21" spans="1:19">
      <c r="A21" s="65">
        <v>2116</v>
      </c>
      <c r="B21" s="66" t="s">
        <v>164</v>
      </c>
      <c r="C21" s="67">
        <v>10</v>
      </c>
      <c r="D21" s="68">
        <v>11</v>
      </c>
      <c r="E21" s="67" t="s">
        <v>135</v>
      </c>
      <c r="F21" s="67" t="s">
        <v>122</v>
      </c>
      <c r="G21" s="67" t="s">
        <v>123</v>
      </c>
      <c r="H21" s="69" t="s">
        <v>135</v>
      </c>
      <c r="I21" s="67" t="s">
        <v>130</v>
      </c>
      <c r="J21" s="70" t="s">
        <v>131</v>
      </c>
      <c r="K21" s="64">
        <v>0</v>
      </c>
      <c r="L21" s="64">
        <v>0</v>
      </c>
      <c r="M21" s="64">
        <v>0</v>
      </c>
      <c r="O21" s="66" t="s">
        <v>164</v>
      </c>
      <c r="P21" s="66" t="s">
        <v>165</v>
      </c>
      <c r="Q21" s="66" t="s">
        <v>166</v>
      </c>
      <c r="S21" s="66" t="str">
        <f t="shared" si="0"/>
        <v>Bahamas</v>
      </c>
    </row>
    <row r="22" spans="1:19">
      <c r="A22" s="63">
        <v>2117</v>
      </c>
      <c r="B22" s="66" t="s">
        <v>167</v>
      </c>
      <c r="C22" s="67">
        <v>9</v>
      </c>
      <c r="D22" s="68">
        <v>10</v>
      </c>
      <c r="E22" s="67" t="s">
        <v>135</v>
      </c>
      <c r="F22" s="67" t="s">
        <v>142</v>
      </c>
      <c r="G22" s="67" t="s">
        <v>143</v>
      </c>
      <c r="H22" s="69" t="s">
        <v>129</v>
      </c>
      <c r="I22" s="67" t="s">
        <v>130</v>
      </c>
      <c r="J22" s="70" t="s">
        <v>131</v>
      </c>
      <c r="K22" s="64">
        <v>0</v>
      </c>
      <c r="L22" s="64">
        <v>0</v>
      </c>
      <c r="M22" s="64">
        <v>0</v>
      </c>
      <c r="O22" s="66" t="s">
        <v>167</v>
      </c>
      <c r="P22" s="66" t="s">
        <v>168</v>
      </c>
      <c r="Q22" s="66" t="s">
        <v>169</v>
      </c>
      <c r="S22" s="66" t="str">
        <f t="shared" si="0"/>
        <v>Bahrain</v>
      </c>
    </row>
    <row r="23" spans="1:19">
      <c r="A23" s="65">
        <v>2118</v>
      </c>
      <c r="B23" s="66" t="s">
        <v>170</v>
      </c>
      <c r="C23" s="67">
        <v>8</v>
      </c>
      <c r="D23" s="68">
        <v>9</v>
      </c>
      <c r="E23" s="67" t="s">
        <v>124</v>
      </c>
      <c r="F23" s="67" t="s">
        <v>142</v>
      </c>
      <c r="G23" s="67" t="s">
        <v>123</v>
      </c>
      <c r="H23" s="69" t="s">
        <v>135</v>
      </c>
      <c r="I23" s="67" t="s">
        <v>130</v>
      </c>
      <c r="J23" s="70" t="s">
        <v>131</v>
      </c>
      <c r="K23" s="64">
        <v>0</v>
      </c>
      <c r="L23" s="64">
        <v>0</v>
      </c>
      <c r="M23" s="64">
        <v>0</v>
      </c>
      <c r="O23" s="66" t="s">
        <v>170</v>
      </c>
      <c r="P23" s="66" t="s">
        <v>163</v>
      </c>
      <c r="Q23" s="66" t="s">
        <v>171</v>
      </c>
      <c r="S23" s="66" t="str">
        <f t="shared" si="0"/>
        <v>Bangladesh</v>
      </c>
    </row>
    <row r="24" spans="1:19">
      <c r="A24" s="63">
        <v>2119</v>
      </c>
      <c r="B24" s="66" t="s">
        <v>172</v>
      </c>
      <c r="C24" s="67">
        <v>10</v>
      </c>
      <c r="D24" s="68">
        <v>11</v>
      </c>
      <c r="E24" s="67" t="s">
        <v>124</v>
      </c>
      <c r="F24" s="67" t="s">
        <v>122</v>
      </c>
      <c r="G24" s="67" t="s">
        <v>123</v>
      </c>
      <c r="H24" s="69" t="s">
        <v>147</v>
      </c>
      <c r="I24" s="67" t="s">
        <v>130</v>
      </c>
      <c r="J24" s="70" t="s">
        <v>131</v>
      </c>
      <c r="K24" s="64">
        <v>0</v>
      </c>
      <c r="L24" s="64">
        <v>0</v>
      </c>
      <c r="M24" s="64">
        <v>0</v>
      </c>
      <c r="O24" s="66" t="s">
        <v>172</v>
      </c>
      <c r="P24" s="66" t="s">
        <v>166</v>
      </c>
      <c r="Q24" s="66" t="s">
        <v>173</v>
      </c>
      <c r="S24" s="66" t="str">
        <f t="shared" si="0"/>
        <v>Barbados</v>
      </c>
    </row>
    <row r="25" spans="1:19">
      <c r="A25" s="65">
        <v>2120</v>
      </c>
      <c r="B25" s="66" t="s">
        <v>174</v>
      </c>
      <c r="C25" s="67">
        <v>5</v>
      </c>
      <c r="D25" s="68">
        <v>6</v>
      </c>
      <c r="E25" s="67" t="s">
        <v>135</v>
      </c>
      <c r="F25" s="67" t="s">
        <v>122</v>
      </c>
      <c r="G25" s="67" t="s">
        <v>123</v>
      </c>
      <c r="H25" s="69" t="s">
        <v>135</v>
      </c>
      <c r="I25" s="67" t="s">
        <v>130</v>
      </c>
      <c r="J25" s="70" t="s">
        <v>131</v>
      </c>
      <c r="K25" s="64">
        <v>0</v>
      </c>
      <c r="L25" s="64">
        <v>0</v>
      </c>
      <c r="M25" s="64">
        <v>0</v>
      </c>
      <c r="O25" s="66" t="s">
        <v>174</v>
      </c>
      <c r="P25" s="66" t="s">
        <v>169</v>
      </c>
      <c r="Q25" s="66" t="s">
        <v>175</v>
      </c>
      <c r="S25" s="66" t="str">
        <f t="shared" si="0"/>
        <v>Belarus</v>
      </c>
    </row>
    <row r="26" spans="1:19">
      <c r="A26" s="63">
        <v>2121</v>
      </c>
      <c r="B26" s="66" t="s">
        <v>132</v>
      </c>
      <c r="C26" s="67">
        <v>1</v>
      </c>
      <c r="D26" s="68">
        <v>2</v>
      </c>
      <c r="E26" s="67">
        <v>1</v>
      </c>
      <c r="F26" s="67" t="s">
        <v>142</v>
      </c>
      <c r="G26" s="67" t="s">
        <v>143</v>
      </c>
      <c r="H26" s="69">
        <v>1</v>
      </c>
      <c r="I26" s="67" t="s">
        <v>130</v>
      </c>
      <c r="J26" s="70" t="s">
        <v>131</v>
      </c>
      <c r="K26" s="68">
        <v>1</v>
      </c>
      <c r="L26" s="68">
        <v>2</v>
      </c>
      <c r="M26" s="72">
        <v>2</v>
      </c>
      <c r="O26" s="66" t="s">
        <v>132</v>
      </c>
      <c r="P26" s="66" t="s">
        <v>171</v>
      </c>
      <c r="Q26" s="66" t="s">
        <v>176</v>
      </c>
      <c r="S26" s="66" t="str">
        <f t="shared" si="0"/>
        <v>Belgium</v>
      </c>
    </row>
    <row r="27" spans="1:19">
      <c r="A27" s="65">
        <v>2122</v>
      </c>
      <c r="B27" s="66" t="s">
        <v>177</v>
      </c>
      <c r="C27" s="67">
        <v>10</v>
      </c>
      <c r="D27" s="68">
        <v>11</v>
      </c>
      <c r="E27" s="67" t="s">
        <v>146</v>
      </c>
      <c r="F27" s="67" t="s">
        <v>122</v>
      </c>
      <c r="G27" s="67" t="s">
        <v>123</v>
      </c>
      <c r="H27" s="69" t="s">
        <v>147</v>
      </c>
      <c r="I27" s="67" t="s">
        <v>125</v>
      </c>
      <c r="J27" s="70" t="s">
        <v>126</v>
      </c>
      <c r="K27" s="64">
        <v>0</v>
      </c>
      <c r="L27" s="64">
        <v>0</v>
      </c>
      <c r="M27" s="64">
        <v>0</v>
      </c>
      <c r="O27" s="66" t="s">
        <v>177</v>
      </c>
      <c r="P27" s="66" t="s">
        <v>173</v>
      </c>
      <c r="Q27" s="66" t="s">
        <v>178</v>
      </c>
      <c r="S27" s="66" t="str">
        <f t="shared" si="0"/>
        <v>Belize</v>
      </c>
    </row>
    <row r="28" spans="1:19">
      <c r="A28" s="63">
        <v>2123</v>
      </c>
      <c r="B28" s="66" t="s">
        <v>179</v>
      </c>
      <c r="C28" s="67">
        <v>10</v>
      </c>
      <c r="D28" s="68">
        <v>11</v>
      </c>
      <c r="E28" s="67" t="s">
        <v>135</v>
      </c>
      <c r="F28" s="67" t="s">
        <v>122</v>
      </c>
      <c r="G28" s="67" t="s">
        <v>123</v>
      </c>
      <c r="H28" s="69" t="s">
        <v>135</v>
      </c>
      <c r="I28" s="67" t="s">
        <v>130</v>
      </c>
      <c r="J28" s="70" t="s">
        <v>131</v>
      </c>
      <c r="K28" s="64">
        <v>0</v>
      </c>
      <c r="L28" s="64">
        <v>0</v>
      </c>
      <c r="M28" s="64">
        <v>0</v>
      </c>
      <c r="O28" s="66" t="s">
        <v>179</v>
      </c>
      <c r="P28" s="66" t="s">
        <v>175</v>
      </c>
      <c r="Q28" s="73" t="s">
        <v>180</v>
      </c>
      <c r="S28" s="66" t="str">
        <f t="shared" si="0"/>
        <v>Benin</v>
      </c>
    </row>
    <row r="29" spans="1:19">
      <c r="A29" s="65">
        <v>2124</v>
      </c>
      <c r="B29" s="66" t="s">
        <v>181</v>
      </c>
      <c r="C29" s="67">
        <v>10</v>
      </c>
      <c r="D29" s="68">
        <v>11</v>
      </c>
      <c r="E29" s="67" t="s">
        <v>135</v>
      </c>
      <c r="F29" s="67" t="s">
        <v>122</v>
      </c>
      <c r="G29" s="67" t="s">
        <v>123</v>
      </c>
      <c r="H29" s="69" t="s">
        <v>135</v>
      </c>
      <c r="I29" s="67" t="s">
        <v>130</v>
      </c>
      <c r="J29" s="70" t="s">
        <v>131</v>
      </c>
      <c r="K29" s="64">
        <v>0</v>
      </c>
      <c r="L29" s="64">
        <v>0</v>
      </c>
      <c r="M29" s="64">
        <v>0</v>
      </c>
      <c r="O29" s="66" t="s">
        <v>181</v>
      </c>
      <c r="P29" s="66" t="s">
        <v>176</v>
      </c>
      <c r="Q29" s="66" t="s">
        <v>182</v>
      </c>
      <c r="S29" s="66" t="str">
        <f t="shared" si="0"/>
        <v>Bermuda</v>
      </c>
    </row>
    <row r="30" spans="1:19">
      <c r="A30" s="63">
        <v>2125</v>
      </c>
      <c r="B30" s="66" t="s">
        <v>183</v>
      </c>
      <c r="C30" s="67">
        <v>8</v>
      </c>
      <c r="D30" s="68">
        <v>9</v>
      </c>
      <c r="E30" s="67" t="s">
        <v>138</v>
      </c>
      <c r="F30" s="67" t="s">
        <v>122</v>
      </c>
      <c r="G30" s="67" t="s">
        <v>123</v>
      </c>
      <c r="H30" s="69" t="s">
        <v>135</v>
      </c>
      <c r="I30" s="67" t="s">
        <v>125</v>
      </c>
      <c r="J30" s="70" t="s">
        <v>126</v>
      </c>
      <c r="K30" s="64">
        <v>0</v>
      </c>
      <c r="L30" s="64">
        <v>0</v>
      </c>
      <c r="M30" s="64">
        <v>0</v>
      </c>
      <c r="O30" s="66" t="s">
        <v>183</v>
      </c>
      <c r="P30" s="66" t="s">
        <v>178</v>
      </c>
      <c r="Q30" s="66" t="s">
        <v>184</v>
      </c>
      <c r="S30" s="66" t="str">
        <f t="shared" si="0"/>
        <v>Bhutan</v>
      </c>
    </row>
    <row r="31" spans="1:19">
      <c r="A31" s="65">
        <v>2126</v>
      </c>
      <c r="B31" s="66" t="s">
        <v>185</v>
      </c>
      <c r="C31" s="67">
        <v>10</v>
      </c>
      <c r="D31" s="68">
        <v>11</v>
      </c>
      <c r="E31" s="67" t="s">
        <v>147</v>
      </c>
      <c r="F31" s="67" t="s">
        <v>122</v>
      </c>
      <c r="G31" s="67" t="s">
        <v>123</v>
      </c>
      <c r="H31" s="69" t="s">
        <v>147</v>
      </c>
      <c r="I31" s="67" t="s">
        <v>125</v>
      </c>
      <c r="J31" s="70" t="s">
        <v>126</v>
      </c>
      <c r="K31" s="64">
        <v>0</v>
      </c>
      <c r="L31" s="64">
        <v>0</v>
      </c>
      <c r="M31" s="64">
        <v>0</v>
      </c>
      <c r="O31" s="66" t="s">
        <v>185</v>
      </c>
      <c r="P31" s="73" t="s">
        <v>180</v>
      </c>
      <c r="Q31" s="66" t="s">
        <v>186</v>
      </c>
      <c r="S31" s="66" t="str">
        <f t="shared" si="0"/>
        <v>Bolivia</v>
      </c>
    </row>
    <row r="32" spans="1:19">
      <c r="A32" s="63">
        <v>2127</v>
      </c>
      <c r="B32" s="66" t="s">
        <v>187</v>
      </c>
      <c r="C32" s="67">
        <v>10</v>
      </c>
      <c r="D32" s="68">
        <v>11</v>
      </c>
      <c r="E32" s="67" t="s">
        <v>188</v>
      </c>
      <c r="F32" s="67" t="s">
        <v>122</v>
      </c>
      <c r="G32" s="67" t="s">
        <v>123</v>
      </c>
      <c r="H32" s="69" t="s">
        <v>124</v>
      </c>
      <c r="I32" s="67" t="s">
        <v>125</v>
      </c>
      <c r="J32" s="70" t="s">
        <v>126</v>
      </c>
      <c r="K32" s="64">
        <v>0</v>
      </c>
      <c r="L32" s="64">
        <v>0</v>
      </c>
      <c r="M32" s="64">
        <v>0</v>
      </c>
      <c r="O32" s="66" t="s">
        <v>187</v>
      </c>
      <c r="P32" s="66" t="s">
        <v>182</v>
      </c>
      <c r="Q32" s="66" t="s">
        <v>189</v>
      </c>
      <c r="S32" s="66" t="str">
        <f t="shared" si="0"/>
        <v>Bonaire</v>
      </c>
    </row>
    <row r="33" spans="1:19">
      <c r="A33" s="65">
        <v>2128</v>
      </c>
      <c r="B33" s="66" t="s">
        <v>190</v>
      </c>
      <c r="C33" s="67">
        <v>5</v>
      </c>
      <c r="D33" s="68">
        <v>6</v>
      </c>
      <c r="E33" s="67" t="s">
        <v>129</v>
      </c>
      <c r="F33" s="67" t="s">
        <v>122</v>
      </c>
      <c r="G33" s="67" t="s">
        <v>123</v>
      </c>
      <c r="H33" s="69" t="s">
        <v>129</v>
      </c>
      <c r="I33" s="67" t="s">
        <v>130</v>
      </c>
      <c r="J33" s="70" t="s">
        <v>131</v>
      </c>
      <c r="K33" s="64">
        <v>0</v>
      </c>
      <c r="L33" s="64">
        <v>0</v>
      </c>
      <c r="M33" s="64">
        <v>0</v>
      </c>
      <c r="O33" s="66" t="s">
        <v>190</v>
      </c>
      <c r="P33" s="66" t="s">
        <v>184</v>
      </c>
      <c r="Q33" s="66" t="s">
        <v>191</v>
      </c>
      <c r="S33" s="66" t="str">
        <f t="shared" si="0"/>
        <v>Bosnia Herzegovina</v>
      </c>
    </row>
    <row r="34" spans="1:19">
      <c r="A34" s="63">
        <v>2129</v>
      </c>
      <c r="B34" s="66" t="s">
        <v>192</v>
      </c>
      <c r="C34" s="67">
        <v>10</v>
      </c>
      <c r="D34" s="68">
        <v>11</v>
      </c>
      <c r="E34" s="67" t="s">
        <v>124</v>
      </c>
      <c r="F34" s="67" t="s">
        <v>122</v>
      </c>
      <c r="G34" s="67" t="s">
        <v>123</v>
      </c>
      <c r="H34" s="69" t="s">
        <v>135</v>
      </c>
      <c r="I34" s="67" t="s">
        <v>125</v>
      </c>
      <c r="J34" s="70" t="s">
        <v>126</v>
      </c>
      <c r="K34" s="64">
        <v>0</v>
      </c>
      <c r="L34" s="64">
        <v>0</v>
      </c>
      <c r="M34" s="64">
        <v>0</v>
      </c>
      <c r="O34" s="66" t="s">
        <v>192</v>
      </c>
      <c r="P34" s="66" t="s">
        <v>186</v>
      </c>
      <c r="Q34" s="66" t="s">
        <v>193</v>
      </c>
      <c r="S34" s="66" t="str">
        <f t="shared" si="0"/>
        <v>Botswana</v>
      </c>
    </row>
    <row r="35" spans="1:19">
      <c r="A35" s="65">
        <v>2130</v>
      </c>
      <c r="B35" s="66" t="s">
        <v>194</v>
      </c>
      <c r="C35" s="67">
        <v>10</v>
      </c>
      <c r="D35" s="68">
        <v>11</v>
      </c>
      <c r="E35" s="67" t="s">
        <v>124</v>
      </c>
      <c r="F35" s="67" t="s">
        <v>122</v>
      </c>
      <c r="G35" s="67" t="s">
        <v>123</v>
      </c>
      <c r="H35" s="69" t="s">
        <v>147</v>
      </c>
      <c r="I35" s="67" t="s">
        <v>130</v>
      </c>
      <c r="J35" s="70" t="s">
        <v>131</v>
      </c>
      <c r="K35" s="64">
        <v>0</v>
      </c>
      <c r="L35" s="64">
        <v>0</v>
      </c>
      <c r="M35" s="64">
        <v>0</v>
      </c>
      <c r="O35" s="66" t="s">
        <v>194</v>
      </c>
      <c r="P35" s="66" t="s">
        <v>195</v>
      </c>
      <c r="Q35" s="66" t="s">
        <v>196</v>
      </c>
      <c r="S35" s="66" t="str">
        <f t="shared" si="0"/>
        <v>Brazil</v>
      </c>
    </row>
    <row r="36" spans="1:19">
      <c r="A36" s="63">
        <v>2131</v>
      </c>
      <c r="B36" s="66" t="s">
        <v>197</v>
      </c>
      <c r="C36" s="67">
        <v>9</v>
      </c>
      <c r="D36" s="68">
        <v>10</v>
      </c>
      <c r="E36" s="67" t="s">
        <v>147</v>
      </c>
      <c r="F36" s="67" t="s">
        <v>142</v>
      </c>
      <c r="G36" s="67" t="s">
        <v>123</v>
      </c>
      <c r="H36" s="69" t="s">
        <v>135</v>
      </c>
      <c r="I36" s="67" t="s">
        <v>130</v>
      </c>
      <c r="J36" s="70" t="s">
        <v>126</v>
      </c>
      <c r="K36" s="64">
        <v>0</v>
      </c>
      <c r="L36" s="64">
        <v>0</v>
      </c>
      <c r="M36" s="64">
        <v>0</v>
      </c>
      <c r="O36" s="66" t="s">
        <v>197</v>
      </c>
      <c r="P36" s="66" t="s">
        <v>189</v>
      </c>
      <c r="Q36" s="73" t="s">
        <v>198</v>
      </c>
      <c r="S36" s="66" t="str">
        <f t="shared" si="0"/>
        <v>Brunei</v>
      </c>
    </row>
    <row r="37" spans="1:19">
      <c r="A37" s="65">
        <v>2132</v>
      </c>
      <c r="B37" s="66" t="s">
        <v>136</v>
      </c>
      <c r="C37" s="67">
        <v>4</v>
      </c>
      <c r="D37" s="68">
        <v>5</v>
      </c>
      <c r="E37" s="67" t="s">
        <v>129</v>
      </c>
      <c r="F37" s="67" t="s">
        <v>142</v>
      </c>
      <c r="G37" s="67" t="s">
        <v>143</v>
      </c>
      <c r="H37" s="69" t="s">
        <v>129</v>
      </c>
      <c r="I37" s="67" t="s">
        <v>130</v>
      </c>
      <c r="J37" s="70" t="s">
        <v>131</v>
      </c>
      <c r="K37" s="68">
        <v>4</v>
      </c>
      <c r="L37" s="68">
        <v>5</v>
      </c>
      <c r="M37" s="72">
        <v>4</v>
      </c>
      <c r="O37" s="66" t="s">
        <v>136</v>
      </c>
      <c r="P37" s="66" t="s">
        <v>191</v>
      </c>
      <c r="Q37" s="73"/>
      <c r="S37" s="66" t="str">
        <f t="shared" si="0"/>
        <v>Bulgaria</v>
      </c>
    </row>
    <row r="38" spans="1:19">
      <c r="A38" s="63">
        <v>2133</v>
      </c>
      <c r="B38" s="66" t="s">
        <v>199</v>
      </c>
      <c r="C38" s="67">
        <v>10</v>
      </c>
      <c r="D38" s="68">
        <v>11</v>
      </c>
      <c r="E38" s="67" t="s">
        <v>124</v>
      </c>
      <c r="F38" s="67" t="s">
        <v>122</v>
      </c>
      <c r="G38" s="67" t="s">
        <v>123</v>
      </c>
      <c r="H38" s="69" t="s">
        <v>135</v>
      </c>
      <c r="I38" s="67" t="s">
        <v>125</v>
      </c>
      <c r="J38" s="70" t="s">
        <v>126</v>
      </c>
      <c r="K38" s="64">
        <v>0</v>
      </c>
      <c r="L38" s="64">
        <v>0</v>
      </c>
      <c r="M38" s="64">
        <v>0</v>
      </c>
      <c r="O38" s="66" t="s">
        <v>199</v>
      </c>
      <c r="P38" s="66" t="s">
        <v>193</v>
      </c>
      <c r="Q38" s="73"/>
      <c r="S38" s="66" t="str">
        <f t="shared" si="0"/>
        <v>Burkina Faso</v>
      </c>
    </row>
    <row r="39" spans="1:19">
      <c r="A39" s="65">
        <v>2134</v>
      </c>
      <c r="B39" s="66" t="s">
        <v>200</v>
      </c>
      <c r="C39" s="67">
        <v>10</v>
      </c>
      <c r="D39" s="68">
        <v>11</v>
      </c>
      <c r="E39" s="67" t="s">
        <v>124</v>
      </c>
      <c r="F39" s="67" t="s">
        <v>122</v>
      </c>
      <c r="G39" s="67" t="s">
        <v>123</v>
      </c>
      <c r="H39" s="69" t="s">
        <v>135</v>
      </c>
      <c r="I39" s="67" t="s">
        <v>125</v>
      </c>
      <c r="J39" s="70" t="s">
        <v>126</v>
      </c>
      <c r="K39" s="64">
        <v>0</v>
      </c>
      <c r="L39" s="64">
        <v>0</v>
      </c>
      <c r="M39" s="64">
        <v>0</v>
      </c>
      <c r="O39" s="66" t="s">
        <v>200</v>
      </c>
      <c r="P39" s="66" t="s">
        <v>196</v>
      </c>
      <c r="Q39" s="73" t="s">
        <v>59</v>
      </c>
      <c r="S39" s="66" t="str">
        <f t="shared" si="0"/>
        <v>Burundi</v>
      </c>
    </row>
    <row r="40" spans="1:19">
      <c r="A40" s="63">
        <v>2135</v>
      </c>
      <c r="B40" s="66" t="s">
        <v>201</v>
      </c>
      <c r="C40" s="67">
        <v>8</v>
      </c>
      <c r="D40" s="68">
        <v>9</v>
      </c>
      <c r="E40" s="67" t="s">
        <v>135</v>
      </c>
      <c r="F40" s="67" t="s">
        <v>122</v>
      </c>
      <c r="G40" s="67" t="s">
        <v>123</v>
      </c>
      <c r="H40" s="69" t="s">
        <v>135</v>
      </c>
      <c r="I40" s="67" t="s">
        <v>125</v>
      </c>
      <c r="J40" s="70" t="s">
        <v>126</v>
      </c>
      <c r="K40" s="64">
        <v>0</v>
      </c>
      <c r="L40" s="64">
        <v>0</v>
      </c>
      <c r="M40" s="64">
        <v>0</v>
      </c>
      <c r="O40" s="66" t="s">
        <v>201</v>
      </c>
      <c r="P40" s="73" t="s">
        <v>198</v>
      </c>
      <c r="Q40" s="73" t="s">
        <v>59</v>
      </c>
      <c r="S40" s="66" t="str">
        <f t="shared" si="0"/>
        <v>Cambodia</v>
      </c>
    </row>
    <row r="41" spans="1:19">
      <c r="A41" s="65">
        <v>2136</v>
      </c>
      <c r="B41" s="66" t="s">
        <v>202</v>
      </c>
      <c r="C41" s="67">
        <v>10</v>
      </c>
      <c r="D41" s="68">
        <v>11</v>
      </c>
      <c r="E41" s="67" t="s">
        <v>135</v>
      </c>
      <c r="F41" s="67" t="s">
        <v>142</v>
      </c>
      <c r="G41" s="67" t="s">
        <v>123</v>
      </c>
      <c r="H41" s="69" t="s">
        <v>135</v>
      </c>
      <c r="I41" s="67" t="s">
        <v>130</v>
      </c>
      <c r="J41" s="70" t="s">
        <v>131</v>
      </c>
      <c r="K41" s="64">
        <v>0</v>
      </c>
      <c r="L41" s="64">
        <v>0</v>
      </c>
      <c r="M41" s="64">
        <v>0</v>
      </c>
      <c r="O41" s="66" t="s">
        <v>202</v>
      </c>
      <c r="P41" s="73"/>
      <c r="Q41" s="73" t="s">
        <v>59</v>
      </c>
      <c r="S41" s="66" t="str">
        <f t="shared" si="0"/>
        <v>Cameroon</v>
      </c>
    </row>
    <row r="42" spans="1:19">
      <c r="A42" s="63">
        <v>2137</v>
      </c>
      <c r="B42" s="66" t="s">
        <v>203</v>
      </c>
      <c r="C42" s="67">
        <v>7</v>
      </c>
      <c r="D42" s="68">
        <v>8</v>
      </c>
      <c r="E42" s="67" t="s">
        <v>135</v>
      </c>
      <c r="F42" s="67" t="s">
        <v>122</v>
      </c>
      <c r="G42" s="67" t="s">
        <v>123</v>
      </c>
      <c r="H42" s="69" t="s">
        <v>135</v>
      </c>
      <c r="I42" s="67" t="s">
        <v>130</v>
      </c>
      <c r="J42" s="70" t="s">
        <v>131</v>
      </c>
      <c r="K42" s="64">
        <v>0</v>
      </c>
      <c r="L42" s="64">
        <v>0</v>
      </c>
      <c r="M42" s="64">
        <v>0</v>
      </c>
      <c r="O42" s="66" t="s">
        <v>203</v>
      </c>
      <c r="P42" s="73" t="s">
        <v>59</v>
      </c>
      <c r="Q42" s="73" t="s">
        <v>59</v>
      </c>
      <c r="S42" s="66" t="str">
        <f t="shared" si="0"/>
        <v>Canada</v>
      </c>
    </row>
    <row r="43" spans="1:19">
      <c r="A43" s="65">
        <v>2138</v>
      </c>
      <c r="B43" s="66" t="s">
        <v>204</v>
      </c>
      <c r="C43" s="67">
        <v>5</v>
      </c>
      <c r="D43" s="68">
        <v>6</v>
      </c>
      <c r="E43" s="67" t="s">
        <v>135</v>
      </c>
      <c r="F43" s="67" t="s">
        <v>142</v>
      </c>
      <c r="G43" s="67" t="s">
        <v>143</v>
      </c>
      <c r="H43" s="69" t="s">
        <v>135</v>
      </c>
      <c r="I43" s="67" t="s">
        <v>130</v>
      </c>
      <c r="J43" s="70" t="s">
        <v>131</v>
      </c>
      <c r="K43" s="64">
        <v>0</v>
      </c>
      <c r="L43" s="64">
        <v>0</v>
      </c>
      <c r="M43" s="64">
        <v>0</v>
      </c>
      <c r="O43" s="66" t="s">
        <v>204</v>
      </c>
      <c r="P43" s="73" t="s">
        <v>59</v>
      </c>
      <c r="Q43" s="73" t="s">
        <v>59</v>
      </c>
      <c r="S43" s="66" t="str">
        <f t="shared" si="0"/>
        <v>Canary Islands</v>
      </c>
    </row>
    <row r="44" spans="1:19">
      <c r="A44" s="63">
        <v>2139</v>
      </c>
      <c r="B44" s="66" t="s">
        <v>205</v>
      </c>
      <c r="C44" s="67">
        <v>10</v>
      </c>
      <c r="D44" s="68">
        <v>11</v>
      </c>
      <c r="E44" s="67" t="s">
        <v>206</v>
      </c>
      <c r="F44" s="67" t="s">
        <v>122</v>
      </c>
      <c r="G44" s="67" t="s">
        <v>123</v>
      </c>
      <c r="H44" s="69" t="s">
        <v>135</v>
      </c>
      <c r="I44" s="67" t="s">
        <v>125</v>
      </c>
      <c r="J44" s="70" t="s">
        <v>126</v>
      </c>
      <c r="K44" s="64">
        <v>0</v>
      </c>
      <c r="L44" s="64">
        <v>0</v>
      </c>
      <c r="M44" s="64">
        <v>0</v>
      </c>
      <c r="O44" s="66" t="s">
        <v>205</v>
      </c>
      <c r="P44" s="73" t="s">
        <v>59</v>
      </c>
      <c r="Q44" s="73" t="s">
        <v>59</v>
      </c>
      <c r="S44" s="66" t="str">
        <f t="shared" si="0"/>
        <v>Cape Verde Islands</v>
      </c>
    </row>
    <row r="45" spans="1:19">
      <c r="A45" s="65">
        <v>2140</v>
      </c>
      <c r="B45" s="66" t="s">
        <v>207</v>
      </c>
      <c r="C45" s="67">
        <v>10</v>
      </c>
      <c r="D45" s="68">
        <v>11</v>
      </c>
      <c r="E45" s="67" t="s">
        <v>135</v>
      </c>
      <c r="F45" s="67" t="s">
        <v>122</v>
      </c>
      <c r="G45" s="67" t="s">
        <v>123</v>
      </c>
      <c r="H45" s="69" t="s">
        <v>135</v>
      </c>
      <c r="I45" s="67" t="s">
        <v>130</v>
      </c>
      <c r="J45" s="70" t="s">
        <v>131</v>
      </c>
      <c r="K45" s="64">
        <v>0</v>
      </c>
      <c r="L45" s="64">
        <v>0</v>
      </c>
      <c r="M45" s="64">
        <v>0</v>
      </c>
      <c r="O45" s="66" t="s">
        <v>207</v>
      </c>
      <c r="P45" s="73" t="s">
        <v>59</v>
      </c>
      <c r="Q45" s="73" t="s">
        <v>59</v>
      </c>
      <c r="S45" s="66" t="str">
        <f t="shared" si="0"/>
        <v>Cayman Islands</v>
      </c>
    </row>
    <row r="46" spans="1:19">
      <c r="A46" s="63">
        <v>2141</v>
      </c>
      <c r="B46" s="66" t="s">
        <v>208</v>
      </c>
      <c r="C46" s="67">
        <v>10</v>
      </c>
      <c r="D46" s="68">
        <v>11</v>
      </c>
      <c r="E46" s="67" t="s">
        <v>146</v>
      </c>
      <c r="F46" s="67" t="s">
        <v>122</v>
      </c>
      <c r="G46" s="67" t="s">
        <v>123</v>
      </c>
      <c r="H46" s="69" t="s">
        <v>147</v>
      </c>
      <c r="I46" s="67" t="s">
        <v>125</v>
      </c>
      <c r="J46" s="70" t="s">
        <v>126</v>
      </c>
      <c r="K46" s="64">
        <v>0</v>
      </c>
      <c r="L46" s="64">
        <v>0</v>
      </c>
      <c r="M46" s="64">
        <v>0</v>
      </c>
      <c r="O46" s="66" t="s">
        <v>208</v>
      </c>
      <c r="P46" s="73" t="s">
        <v>59</v>
      </c>
      <c r="Q46" s="73" t="s">
        <v>59</v>
      </c>
      <c r="S46" s="66" t="str">
        <f t="shared" si="0"/>
        <v>Central African Rep.</v>
      </c>
    </row>
    <row r="47" spans="1:19">
      <c r="A47" s="65">
        <v>2142</v>
      </c>
      <c r="B47" s="66" t="s">
        <v>209</v>
      </c>
      <c r="C47" s="67">
        <v>10</v>
      </c>
      <c r="D47" s="68">
        <v>11</v>
      </c>
      <c r="E47" s="67" t="s">
        <v>210</v>
      </c>
      <c r="F47" s="67" t="s">
        <v>122</v>
      </c>
      <c r="G47" s="67" t="s">
        <v>123</v>
      </c>
      <c r="H47" s="69" t="s">
        <v>124</v>
      </c>
      <c r="I47" s="67" t="s">
        <v>125</v>
      </c>
      <c r="J47" s="70" t="s">
        <v>126</v>
      </c>
      <c r="K47" s="64">
        <v>0</v>
      </c>
      <c r="L47" s="64">
        <v>0</v>
      </c>
      <c r="M47" s="64">
        <v>0</v>
      </c>
      <c r="O47" s="66" t="s">
        <v>209</v>
      </c>
      <c r="P47" s="73" t="s">
        <v>59</v>
      </c>
      <c r="Q47" s="73" t="s">
        <v>59</v>
      </c>
      <c r="S47" s="66" t="str">
        <f t="shared" si="0"/>
        <v>Chad</v>
      </c>
    </row>
    <row r="48" spans="1:19">
      <c r="A48" s="63">
        <v>2143</v>
      </c>
      <c r="B48" s="66" t="s">
        <v>139</v>
      </c>
      <c r="C48" s="67">
        <v>1</v>
      </c>
      <c r="D48" s="68">
        <v>2</v>
      </c>
      <c r="E48" s="67">
        <v>1</v>
      </c>
      <c r="F48" s="67" t="s">
        <v>142</v>
      </c>
      <c r="G48" s="67" t="s">
        <v>143</v>
      </c>
      <c r="H48" s="69">
        <v>1</v>
      </c>
      <c r="I48" s="67" t="s">
        <v>130</v>
      </c>
      <c r="J48" s="70" t="s">
        <v>131</v>
      </c>
      <c r="K48" s="74">
        <v>2</v>
      </c>
      <c r="L48" s="68">
        <v>2</v>
      </c>
      <c r="M48" s="64">
        <v>0</v>
      </c>
      <c r="O48" s="66" t="s">
        <v>139</v>
      </c>
      <c r="P48" s="73" t="s">
        <v>59</v>
      </c>
      <c r="Q48" s="73" t="s">
        <v>59</v>
      </c>
      <c r="S48" s="66" t="str">
        <f t="shared" si="0"/>
        <v>Channel Islands</v>
      </c>
    </row>
    <row r="49" spans="1:19">
      <c r="A49" s="65">
        <v>2144</v>
      </c>
      <c r="B49" s="66" t="s">
        <v>211</v>
      </c>
      <c r="C49" s="67">
        <v>10</v>
      </c>
      <c r="D49" s="68">
        <v>11</v>
      </c>
      <c r="E49" s="67" t="s">
        <v>124</v>
      </c>
      <c r="F49" s="67" t="s">
        <v>122</v>
      </c>
      <c r="G49" s="67" t="s">
        <v>123</v>
      </c>
      <c r="H49" s="69" t="s">
        <v>147</v>
      </c>
      <c r="I49" s="67" t="s">
        <v>130</v>
      </c>
      <c r="J49" s="70" t="s">
        <v>131</v>
      </c>
      <c r="K49" s="64">
        <v>0</v>
      </c>
      <c r="L49" s="64">
        <v>0</v>
      </c>
      <c r="M49" s="64">
        <v>0</v>
      </c>
      <c r="O49" s="66" t="s">
        <v>211</v>
      </c>
      <c r="P49" s="73" t="s">
        <v>59</v>
      </c>
      <c r="Q49" s="73" t="s">
        <v>59</v>
      </c>
      <c r="S49" s="66" t="str">
        <f t="shared" si="0"/>
        <v>Chile</v>
      </c>
    </row>
    <row r="50" spans="1:19">
      <c r="A50" s="63">
        <v>2145</v>
      </c>
      <c r="B50" s="66" t="s">
        <v>212</v>
      </c>
      <c r="C50" s="67">
        <v>8</v>
      </c>
      <c r="D50" s="68">
        <v>9</v>
      </c>
      <c r="E50" s="67" t="s">
        <v>135</v>
      </c>
      <c r="F50" s="67" t="s">
        <v>142</v>
      </c>
      <c r="G50" s="67" t="s">
        <v>123</v>
      </c>
      <c r="H50" s="69" t="s">
        <v>135</v>
      </c>
      <c r="I50" s="67" t="s">
        <v>130</v>
      </c>
      <c r="J50" s="70" t="s">
        <v>131</v>
      </c>
      <c r="K50" s="64">
        <v>0</v>
      </c>
      <c r="L50" s="64">
        <v>0</v>
      </c>
      <c r="M50" s="64">
        <v>0</v>
      </c>
      <c r="O50" s="66" t="s">
        <v>212</v>
      </c>
      <c r="P50" s="73" t="s">
        <v>59</v>
      </c>
      <c r="Q50" s="73" t="s">
        <v>59</v>
      </c>
      <c r="S50" s="66" t="str">
        <f t="shared" si="0"/>
        <v>China, Peoples Rep.</v>
      </c>
    </row>
    <row r="51" spans="1:19">
      <c r="A51" s="65">
        <v>2146</v>
      </c>
      <c r="B51" s="66" t="s">
        <v>213</v>
      </c>
      <c r="C51" s="67">
        <v>10</v>
      </c>
      <c r="D51" s="68">
        <v>11</v>
      </c>
      <c r="E51" s="67" t="s">
        <v>135</v>
      </c>
      <c r="F51" s="67" t="s">
        <v>122</v>
      </c>
      <c r="G51" s="67" t="s">
        <v>123</v>
      </c>
      <c r="H51" s="69" t="s">
        <v>147</v>
      </c>
      <c r="I51" s="67" t="s">
        <v>130</v>
      </c>
      <c r="J51" s="70" t="s">
        <v>131</v>
      </c>
      <c r="K51" s="64">
        <v>0</v>
      </c>
      <c r="L51" s="64">
        <v>0</v>
      </c>
      <c r="M51" s="64">
        <v>0</v>
      </c>
      <c r="O51" s="66" t="s">
        <v>213</v>
      </c>
      <c r="P51" s="73" t="s">
        <v>59</v>
      </c>
      <c r="Q51" s="73" t="s">
        <v>59</v>
      </c>
      <c r="S51" s="66" t="str">
        <f t="shared" si="0"/>
        <v>Colombia</v>
      </c>
    </row>
    <row r="52" spans="1:19">
      <c r="A52" s="63">
        <v>2147</v>
      </c>
      <c r="B52" s="66" t="s">
        <v>214</v>
      </c>
      <c r="C52" s="67">
        <v>10</v>
      </c>
      <c r="D52" s="68">
        <v>11</v>
      </c>
      <c r="E52" s="67" t="s">
        <v>146</v>
      </c>
      <c r="F52" s="67" t="s">
        <v>122</v>
      </c>
      <c r="G52" s="67" t="s">
        <v>123</v>
      </c>
      <c r="H52" s="64" t="s">
        <v>116</v>
      </c>
      <c r="I52" s="64" t="s">
        <v>116</v>
      </c>
      <c r="J52" s="75" t="s">
        <v>116</v>
      </c>
      <c r="K52" s="64">
        <v>0</v>
      </c>
      <c r="L52" s="64">
        <v>0</v>
      </c>
      <c r="M52" s="64">
        <v>0</v>
      </c>
      <c r="O52" s="66" t="s">
        <v>215</v>
      </c>
      <c r="P52" s="73" t="s">
        <v>59</v>
      </c>
      <c r="Q52" s="73" t="s">
        <v>59</v>
      </c>
      <c r="S52" s="66" t="str">
        <f t="shared" si="0"/>
        <v>Comoros Islands</v>
      </c>
    </row>
    <row r="53" spans="1:19">
      <c r="A53" s="65">
        <v>2148</v>
      </c>
      <c r="B53" s="66" t="s">
        <v>215</v>
      </c>
      <c r="C53" s="67">
        <v>10</v>
      </c>
      <c r="D53" s="68">
        <v>11</v>
      </c>
      <c r="E53" s="67" t="s">
        <v>135</v>
      </c>
      <c r="F53" s="67" t="s">
        <v>122</v>
      </c>
      <c r="G53" s="67" t="s">
        <v>123</v>
      </c>
      <c r="H53" s="69" t="s">
        <v>124</v>
      </c>
      <c r="I53" s="67" t="s">
        <v>125</v>
      </c>
      <c r="J53" s="70" t="s">
        <v>126</v>
      </c>
      <c r="K53" s="64">
        <v>0</v>
      </c>
      <c r="L53" s="64">
        <v>0</v>
      </c>
      <c r="M53" s="64">
        <v>0</v>
      </c>
      <c r="O53" s="66" t="s">
        <v>216</v>
      </c>
      <c r="P53" s="73" t="s">
        <v>59</v>
      </c>
      <c r="Q53" s="73" t="s">
        <v>59</v>
      </c>
      <c r="S53" s="66" t="str">
        <f t="shared" si="0"/>
        <v>Congo</v>
      </c>
    </row>
    <row r="54" spans="1:19">
      <c r="A54" s="63">
        <v>2149</v>
      </c>
      <c r="B54" s="66" t="s">
        <v>216</v>
      </c>
      <c r="C54" s="67">
        <v>10</v>
      </c>
      <c r="D54" s="68">
        <v>11</v>
      </c>
      <c r="E54" s="67" t="s">
        <v>135</v>
      </c>
      <c r="F54" s="67" t="s">
        <v>122</v>
      </c>
      <c r="G54" s="67" t="s">
        <v>123</v>
      </c>
      <c r="H54" s="69" t="s">
        <v>135</v>
      </c>
      <c r="I54" s="67" t="s">
        <v>125</v>
      </c>
      <c r="J54" s="70" t="s">
        <v>126</v>
      </c>
      <c r="K54" s="64">
        <v>0</v>
      </c>
      <c r="L54" s="64">
        <v>0</v>
      </c>
      <c r="M54" s="64">
        <v>0</v>
      </c>
      <c r="O54" s="66" t="s">
        <v>217</v>
      </c>
      <c r="P54" s="73" t="s">
        <v>59</v>
      </c>
      <c r="Q54" s="73" t="s">
        <v>59</v>
      </c>
      <c r="S54" s="66" t="str">
        <f t="shared" si="0"/>
        <v>Congo, Dem. Rep.</v>
      </c>
    </row>
    <row r="55" spans="1:19">
      <c r="A55" s="65">
        <v>2150</v>
      </c>
      <c r="B55" s="66" t="s">
        <v>217</v>
      </c>
      <c r="C55" s="67">
        <v>10</v>
      </c>
      <c r="D55" s="68">
        <v>11</v>
      </c>
      <c r="E55" s="67" t="s">
        <v>146</v>
      </c>
      <c r="F55" s="67" t="s">
        <v>122</v>
      </c>
      <c r="G55" s="67" t="s">
        <v>123</v>
      </c>
      <c r="H55" s="69" t="s">
        <v>121</v>
      </c>
      <c r="I55" s="67" t="s">
        <v>125</v>
      </c>
      <c r="J55" s="70" t="s">
        <v>126</v>
      </c>
      <c r="K55" s="64">
        <v>0</v>
      </c>
      <c r="L55" s="64">
        <v>0</v>
      </c>
      <c r="M55" s="64">
        <v>0</v>
      </c>
      <c r="O55" s="66" t="s">
        <v>218</v>
      </c>
      <c r="P55" s="73" t="s">
        <v>59</v>
      </c>
      <c r="Q55" s="73" t="s">
        <v>59</v>
      </c>
      <c r="S55" s="66" t="str">
        <f t="shared" si="0"/>
        <v>Cook Islands</v>
      </c>
    </row>
    <row r="56" spans="1:19">
      <c r="A56" s="63">
        <v>2151</v>
      </c>
      <c r="B56" s="66" t="s">
        <v>218</v>
      </c>
      <c r="C56" s="67">
        <v>10</v>
      </c>
      <c r="D56" s="68">
        <v>11</v>
      </c>
      <c r="E56" s="67" t="s">
        <v>135</v>
      </c>
      <c r="F56" s="67" t="s">
        <v>122</v>
      </c>
      <c r="G56" s="67" t="s">
        <v>123</v>
      </c>
      <c r="H56" s="69" t="s">
        <v>147</v>
      </c>
      <c r="I56" s="67" t="s">
        <v>130</v>
      </c>
      <c r="J56" s="70" t="s">
        <v>131</v>
      </c>
      <c r="K56" s="64">
        <v>0</v>
      </c>
      <c r="L56" s="64">
        <v>0</v>
      </c>
      <c r="M56" s="64">
        <v>0</v>
      </c>
      <c r="O56" s="66" t="s">
        <v>140</v>
      </c>
      <c r="P56" s="73" t="s">
        <v>59</v>
      </c>
      <c r="Q56" s="73" t="s">
        <v>59</v>
      </c>
      <c r="S56" s="66" t="str">
        <f t="shared" si="0"/>
        <v>Costa Rica</v>
      </c>
    </row>
    <row r="57" spans="1:19">
      <c r="A57" s="65">
        <v>2152</v>
      </c>
      <c r="B57" s="66" t="s">
        <v>140</v>
      </c>
      <c r="C57" s="67">
        <v>4</v>
      </c>
      <c r="D57" s="68">
        <v>5</v>
      </c>
      <c r="E57" s="67" t="s">
        <v>129</v>
      </c>
      <c r="F57" s="67" t="s">
        <v>142</v>
      </c>
      <c r="G57" s="67" t="s">
        <v>123</v>
      </c>
      <c r="H57" s="69" t="s">
        <v>129</v>
      </c>
      <c r="I57" s="67" t="s">
        <v>130</v>
      </c>
      <c r="J57" s="70" t="s">
        <v>131</v>
      </c>
      <c r="K57" s="68">
        <v>4</v>
      </c>
      <c r="L57" s="68">
        <v>3</v>
      </c>
      <c r="M57" s="72">
        <v>3</v>
      </c>
      <c r="O57" s="66" t="s">
        <v>219</v>
      </c>
      <c r="P57" s="73" t="s">
        <v>59</v>
      </c>
      <c r="Q57" s="73" t="s">
        <v>59</v>
      </c>
      <c r="S57" s="66" t="str">
        <f t="shared" si="0"/>
        <v>Croatia</v>
      </c>
    </row>
    <row r="58" spans="1:19">
      <c r="A58" s="63">
        <v>2153</v>
      </c>
      <c r="B58" s="66" t="s">
        <v>220</v>
      </c>
      <c r="C58" s="67">
        <v>10</v>
      </c>
      <c r="D58" s="68">
        <v>11</v>
      </c>
      <c r="E58" s="67" t="s">
        <v>146</v>
      </c>
      <c r="F58" s="67" t="s">
        <v>122</v>
      </c>
      <c r="G58" s="67" t="s">
        <v>123</v>
      </c>
      <c r="H58" s="64" t="s">
        <v>116</v>
      </c>
      <c r="I58" s="64" t="s">
        <v>116</v>
      </c>
      <c r="J58" s="75" t="s">
        <v>116</v>
      </c>
      <c r="K58" s="64">
        <v>0</v>
      </c>
      <c r="L58" s="64">
        <v>0</v>
      </c>
      <c r="M58" s="64">
        <v>0</v>
      </c>
      <c r="O58" s="66" t="s">
        <v>221</v>
      </c>
      <c r="P58" s="73" t="s">
        <v>59</v>
      </c>
      <c r="Q58" s="73" t="s">
        <v>59</v>
      </c>
      <c r="S58" s="66" t="str">
        <f t="shared" si="0"/>
        <v>Cuba</v>
      </c>
    </row>
    <row r="59" spans="1:19">
      <c r="A59" s="65">
        <v>2154</v>
      </c>
      <c r="B59" s="66" t="s">
        <v>219</v>
      </c>
      <c r="C59" s="67">
        <v>10</v>
      </c>
      <c r="D59" s="68">
        <v>11</v>
      </c>
      <c r="E59" s="67" t="s">
        <v>124</v>
      </c>
      <c r="F59" s="67" t="s">
        <v>122</v>
      </c>
      <c r="G59" s="67" t="s">
        <v>123</v>
      </c>
      <c r="H59" s="69" t="s">
        <v>147</v>
      </c>
      <c r="I59" s="67" t="s">
        <v>130</v>
      </c>
      <c r="J59" s="70" t="s">
        <v>131</v>
      </c>
      <c r="K59" s="64">
        <v>0</v>
      </c>
      <c r="L59" s="64">
        <v>0</v>
      </c>
      <c r="M59" s="64">
        <v>0</v>
      </c>
      <c r="O59" s="66" t="s">
        <v>144</v>
      </c>
      <c r="P59" s="73" t="s">
        <v>59</v>
      </c>
      <c r="Q59" s="73" t="s">
        <v>59</v>
      </c>
      <c r="S59" s="66" t="str">
        <f t="shared" si="0"/>
        <v>Curacao</v>
      </c>
    </row>
    <row r="60" spans="1:19">
      <c r="A60" s="63">
        <v>2155</v>
      </c>
      <c r="B60" s="66" t="s">
        <v>221</v>
      </c>
      <c r="C60" s="67">
        <v>4</v>
      </c>
      <c r="D60" s="68">
        <v>5</v>
      </c>
      <c r="E60" s="67" t="s">
        <v>135</v>
      </c>
      <c r="F60" s="67" t="s">
        <v>142</v>
      </c>
      <c r="G60" s="67" t="s">
        <v>143</v>
      </c>
      <c r="H60" s="69" t="s">
        <v>129</v>
      </c>
      <c r="I60" s="67" t="s">
        <v>130</v>
      </c>
      <c r="J60" s="70" t="s">
        <v>131</v>
      </c>
      <c r="K60" s="64">
        <v>0</v>
      </c>
      <c r="L60" s="64">
        <v>0</v>
      </c>
      <c r="M60" s="64">
        <v>0</v>
      </c>
      <c r="O60" s="66" t="s">
        <v>148</v>
      </c>
      <c r="P60" s="73" t="s">
        <v>59</v>
      </c>
      <c r="Q60" s="73" t="s">
        <v>59</v>
      </c>
      <c r="S60" s="66" t="str">
        <f t="shared" si="0"/>
        <v>Cyprus</v>
      </c>
    </row>
    <row r="61" spans="1:19">
      <c r="A61" s="65">
        <v>2156</v>
      </c>
      <c r="B61" s="66" t="s">
        <v>144</v>
      </c>
      <c r="C61" s="67">
        <v>4</v>
      </c>
      <c r="D61" s="68">
        <v>5</v>
      </c>
      <c r="E61" s="67" t="s">
        <v>129</v>
      </c>
      <c r="F61" s="67" t="s">
        <v>142</v>
      </c>
      <c r="G61" s="67" t="s">
        <v>143</v>
      </c>
      <c r="H61" s="69" t="s">
        <v>129</v>
      </c>
      <c r="I61" s="67" t="s">
        <v>130</v>
      </c>
      <c r="J61" s="70" t="s">
        <v>131</v>
      </c>
      <c r="K61" s="68">
        <v>4</v>
      </c>
      <c r="L61" s="68" t="s">
        <v>135</v>
      </c>
      <c r="M61" s="72">
        <v>3</v>
      </c>
      <c r="O61" s="66" t="s">
        <v>222</v>
      </c>
      <c r="P61" s="73" t="s">
        <v>59</v>
      </c>
      <c r="Q61" s="73" t="s">
        <v>59</v>
      </c>
      <c r="S61" s="66" t="str">
        <f t="shared" si="0"/>
        <v>Czech Republic</v>
      </c>
    </row>
    <row r="62" spans="1:19">
      <c r="A62" s="63">
        <v>2157</v>
      </c>
      <c r="B62" s="66" t="s">
        <v>148</v>
      </c>
      <c r="C62" s="67">
        <v>3</v>
      </c>
      <c r="D62" s="68">
        <v>4</v>
      </c>
      <c r="E62" s="67" t="s">
        <v>129</v>
      </c>
      <c r="F62" s="67" t="s">
        <v>142</v>
      </c>
      <c r="G62" s="67" t="s">
        <v>143</v>
      </c>
      <c r="H62" s="69" t="s">
        <v>129</v>
      </c>
      <c r="I62" s="67" t="s">
        <v>130</v>
      </c>
      <c r="J62" s="70" t="s">
        <v>131</v>
      </c>
      <c r="K62" s="68">
        <v>3</v>
      </c>
      <c r="L62" s="68">
        <v>2</v>
      </c>
      <c r="M62" s="72">
        <v>3</v>
      </c>
      <c r="O62" s="66" t="s">
        <v>223</v>
      </c>
      <c r="P62" s="73" t="s">
        <v>59</v>
      </c>
      <c r="Q62" s="73" t="s">
        <v>59</v>
      </c>
      <c r="S62" s="66" t="str">
        <f t="shared" si="0"/>
        <v>Denmark</v>
      </c>
    </row>
    <row r="63" spans="1:19">
      <c r="A63" s="65">
        <v>2158</v>
      </c>
      <c r="B63" s="66" t="s">
        <v>222</v>
      </c>
      <c r="C63" s="67">
        <v>10</v>
      </c>
      <c r="D63" s="68">
        <v>11</v>
      </c>
      <c r="E63" s="67" t="s">
        <v>121</v>
      </c>
      <c r="F63" s="67" t="s">
        <v>122</v>
      </c>
      <c r="G63" s="67" t="s">
        <v>123</v>
      </c>
      <c r="H63" s="69" t="s">
        <v>147</v>
      </c>
      <c r="I63" s="67" t="s">
        <v>125</v>
      </c>
      <c r="J63" s="70" t="s">
        <v>126</v>
      </c>
      <c r="K63" s="64">
        <v>0</v>
      </c>
      <c r="L63" s="64">
        <v>0</v>
      </c>
      <c r="M63" s="64">
        <v>0</v>
      </c>
      <c r="O63" s="66" t="s">
        <v>224</v>
      </c>
      <c r="P63" s="73" t="s">
        <v>59</v>
      </c>
      <c r="Q63" s="73" t="s">
        <v>59</v>
      </c>
      <c r="S63" s="66" t="str">
        <f t="shared" si="0"/>
        <v>Djibouti</v>
      </c>
    </row>
    <row r="64" spans="1:19">
      <c r="A64" s="63">
        <v>2159</v>
      </c>
      <c r="B64" s="66" t="s">
        <v>223</v>
      </c>
      <c r="C64" s="67">
        <v>10</v>
      </c>
      <c r="D64" s="68">
        <v>11</v>
      </c>
      <c r="E64" s="67" t="s">
        <v>210</v>
      </c>
      <c r="F64" s="67" t="s">
        <v>122</v>
      </c>
      <c r="G64" s="67" t="s">
        <v>123</v>
      </c>
      <c r="H64" s="69" t="s">
        <v>135</v>
      </c>
      <c r="I64" s="67" t="s">
        <v>130</v>
      </c>
      <c r="J64" s="70" t="s">
        <v>131</v>
      </c>
      <c r="K64" s="64">
        <v>0</v>
      </c>
      <c r="L64" s="64">
        <v>0</v>
      </c>
      <c r="M64" s="64">
        <v>0</v>
      </c>
      <c r="O64" s="66" t="s">
        <v>225</v>
      </c>
      <c r="P64" s="73" t="s">
        <v>59</v>
      </c>
      <c r="Q64" s="73" t="s">
        <v>59</v>
      </c>
      <c r="S64" s="66" t="str">
        <f t="shared" si="0"/>
        <v>Dominica</v>
      </c>
    </row>
    <row r="65" spans="1:19">
      <c r="A65" s="65">
        <v>2160</v>
      </c>
      <c r="B65" s="66" t="s">
        <v>224</v>
      </c>
      <c r="C65" s="67">
        <v>10</v>
      </c>
      <c r="D65" s="68">
        <v>11</v>
      </c>
      <c r="E65" s="67" t="s">
        <v>147</v>
      </c>
      <c r="F65" s="67" t="s">
        <v>122</v>
      </c>
      <c r="G65" s="67" t="s">
        <v>123</v>
      </c>
      <c r="H65" s="69" t="s">
        <v>124</v>
      </c>
      <c r="I65" s="67" t="s">
        <v>130</v>
      </c>
      <c r="J65" s="70" t="s">
        <v>131</v>
      </c>
      <c r="K65" s="64">
        <v>0</v>
      </c>
      <c r="L65" s="64">
        <v>0</v>
      </c>
      <c r="M65" s="64">
        <v>0</v>
      </c>
      <c r="O65" s="66" t="s">
        <v>226</v>
      </c>
      <c r="P65" s="73" t="s">
        <v>59</v>
      </c>
      <c r="Q65" s="73" t="s">
        <v>59</v>
      </c>
      <c r="S65" s="66" t="str">
        <f t="shared" si="0"/>
        <v>Dominican Rep.</v>
      </c>
    </row>
    <row r="66" spans="1:19">
      <c r="A66" s="63">
        <v>2161</v>
      </c>
      <c r="B66" s="66" t="s">
        <v>225</v>
      </c>
      <c r="C66" s="67">
        <v>10</v>
      </c>
      <c r="D66" s="68">
        <v>11</v>
      </c>
      <c r="E66" s="67" t="s">
        <v>188</v>
      </c>
      <c r="F66" s="67" t="s">
        <v>122</v>
      </c>
      <c r="G66" s="67" t="s">
        <v>123</v>
      </c>
      <c r="H66" s="69" t="s">
        <v>147</v>
      </c>
      <c r="I66" s="67" t="s">
        <v>125</v>
      </c>
      <c r="J66" s="70" t="s">
        <v>126</v>
      </c>
      <c r="K66" s="64">
        <v>0</v>
      </c>
      <c r="L66" s="64">
        <v>0</v>
      </c>
      <c r="M66" s="64">
        <v>0</v>
      </c>
      <c r="O66" s="66" t="s">
        <v>227</v>
      </c>
      <c r="P66" s="73" t="s">
        <v>59</v>
      </c>
      <c r="Q66" s="73" t="s">
        <v>59</v>
      </c>
      <c r="S66" s="66" t="str">
        <f t="shared" si="0"/>
        <v>East Timor</v>
      </c>
    </row>
    <row r="67" spans="1:19">
      <c r="A67" s="65">
        <v>2162</v>
      </c>
      <c r="B67" s="66" t="s">
        <v>226</v>
      </c>
      <c r="C67" s="67">
        <v>10</v>
      </c>
      <c r="D67" s="68">
        <v>11</v>
      </c>
      <c r="E67" s="67" t="s">
        <v>135</v>
      </c>
      <c r="F67" s="67" t="s">
        <v>122</v>
      </c>
      <c r="G67" s="67" t="s">
        <v>123</v>
      </c>
      <c r="H67" s="69" t="s">
        <v>147</v>
      </c>
      <c r="I67" s="67" t="s">
        <v>130</v>
      </c>
      <c r="J67" s="70" t="s">
        <v>131</v>
      </c>
      <c r="K67" s="64">
        <v>0</v>
      </c>
      <c r="L67" s="64">
        <v>0</v>
      </c>
      <c r="M67" s="64">
        <v>0</v>
      </c>
      <c r="O67" s="66" t="s">
        <v>228</v>
      </c>
      <c r="P67" s="73" t="s">
        <v>59</v>
      </c>
      <c r="Q67" s="73" t="s">
        <v>59</v>
      </c>
      <c r="S67" s="66" t="str">
        <f t="shared" si="0"/>
        <v>Ecuador</v>
      </c>
    </row>
    <row r="68" spans="1:19">
      <c r="A68" s="63">
        <v>2163</v>
      </c>
      <c r="B68" s="66" t="s">
        <v>227</v>
      </c>
      <c r="C68" s="67">
        <v>10</v>
      </c>
      <c r="D68" s="68">
        <v>11</v>
      </c>
      <c r="E68" s="67" t="s">
        <v>135</v>
      </c>
      <c r="F68" s="67" t="s">
        <v>142</v>
      </c>
      <c r="G68" s="67" t="s">
        <v>143</v>
      </c>
      <c r="H68" s="69" t="s">
        <v>135</v>
      </c>
      <c r="I68" s="67" t="s">
        <v>130</v>
      </c>
      <c r="J68" s="70" t="s">
        <v>131</v>
      </c>
      <c r="K68" s="64">
        <v>0</v>
      </c>
      <c r="L68" s="64">
        <v>0</v>
      </c>
      <c r="M68" s="64">
        <v>0</v>
      </c>
      <c r="O68" s="66" t="s">
        <v>229</v>
      </c>
      <c r="P68" s="73" t="s">
        <v>59</v>
      </c>
      <c r="Q68" s="73" t="s">
        <v>59</v>
      </c>
      <c r="S68" s="66" t="str">
        <f t="shared" si="0"/>
        <v>Egypt</v>
      </c>
    </row>
    <row r="69" spans="1:19">
      <c r="A69" s="65">
        <v>2164</v>
      </c>
      <c r="B69" s="66" t="s">
        <v>228</v>
      </c>
      <c r="C69" s="67">
        <v>10</v>
      </c>
      <c r="D69" s="68">
        <v>11</v>
      </c>
      <c r="E69" s="67" t="s">
        <v>135</v>
      </c>
      <c r="F69" s="67" t="s">
        <v>122</v>
      </c>
      <c r="G69" s="67" t="s">
        <v>123</v>
      </c>
      <c r="H69" s="69" t="s">
        <v>147</v>
      </c>
      <c r="I69" s="67" t="s">
        <v>130</v>
      </c>
      <c r="J69" s="70" t="s">
        <v>131</v>
      </c>
      <c r="K69" s="64">
        <v>0</v>
      </c>
      <c r="L69" s="64">
        <v>0</v>
      </c>
      <c r="M69" s="64">
        <v>0</v>
      </c>
      <c r="O69" s="66" t="s">
        <v>230</v>
      </c>
      <c r="P69" s="73" t="s">
        <v>59</v>
      </c>
      <c r="Q69" s="73" t="s">
        <v>59</v>
      </c>
      <c r="S69" s="66" t="str">
        <f t="shared" si="0"/>
        <v>El Salvador</v>
      </c>
    </row>
    <row r="70" spans="1:19">
      <c r="A70" s="63">
        <v>2165</v>
      </c>
      <c r="B70" s="66" t="s">
        <v>229</v>
      </c>
      <c r="C70" s="67">
        <v>10</v>
      </c>
      <c r="D70" s="68">
        <v>11</v>
      </c>
      <c r="E70" s="67" t="s">
        <v>135</v>
      </c>
      <c r="F70" s="67" t="s">
        <v>122</v>
      </c>
      <c r="G70" s="67" t="s">
        <v>123</v>
      </c>
      <c r="H70" s="69" t="s">
        <v>147</v>
      </c>
      <c r="I70" s="67" t="s">
        <v>125</v>
      </c>
      <c r="J70" s="70" t="s">
        <v>126</v>
      </c>
      <c r="K70" s="64">
        <v>0</v>
      </c>
      <c r="L70" s="64">
        <v>0</v>
      </c>
      <c r="M70" s="64">
        <v>0</v>
      </c>
      <c r="O70" s="66" t="s">
        <v>150</v>
      </c>
      <c r="P70" s="73" t="s">
        <v>59</v>
      </c>
      <c r="Q70" s="73" t="s">
        <v>59</v>
      </c>
      <c r="S70" s="66" t="str">
        <f t="shared" si="0"/>
        <v>Equatorial Guinea</v>
      </c>
    </row>
    <row r="71" spans="1:19">
      <c r="A71" s="65">
        <v>2166</v>
      </c>
      <c r="B71" s="66" t="s">
        <v>230</v>
      </c>
      <c r="C71" s="67">
        <v>10</v>
      </c>
      <c r="D71" s="68">
        <v>11</v>
      </c>
      <c r="E71" s="67" t="s">
        <v>146</v>
      </c>
      <c r="F71" s="67" t="s">
        <v>122</v>
      </c>
      <c r="G71" s="67" t="s">
        <v>123</v>
      </c>
      <c r="H71" s="69" t="s">
        <v>124</v>
      </c>
      <c r="I71" s="67" t="s">
        <v>125</v>
      </c>
      <c r="J71" s="70" t="s">
        <v>126</v>
      </c>
      <c r="K71" s="64">
        <v>0</v>
      </c>
      <c r="L71" s="64">
        <v>0</v>
      </c>
      <c r="M71" s="64">
        <v>0</v>
      </c>
      <c r="O71" s="66" t="s">
        <v>231</v>
      </c>
      <c r="P71" s="73" t="s">
        <v>59</v>
      </c>
      <c r="Q71" s="73" t="s">
        <v>59</v>
      </c>
      <c r="S71" s="66" t="str">
        <f t="shared" ref="S71:S134" si="1">IF($S$4=2,O71,B71)</f>
        <v>Eritrea</v>
      </c>
    </row>
    <row r="72" spans="1:19">
      <c r="A72" s="63">
        <v>2167</v>
      </c>
      <c r="B72" s="66" t="s">
        <v>150</v>
      </c>
      <c r="C72" s="67">
        <v>4</v>
      </c>
      <c r="D72" s="68">
        <v>5</v>
      </c>
      <c r="E72" s="67" t="s">
        <v>129</v>
      </c>
      <c r="F72" s="67" t="s">
        <v>142</v>
      </c>
      <c r="G72" s="67" t="s">
        <v>143</v>
      </c>
      <c r="H72" s="69">
        <v>1</v>
      </c>
      <c r="I72" s="67" t="s">
        <v>130</v>
      </c>
      <c r="J72" s="70" t="s">
        <v>131</v>
      </c>
      <c r="K72" s="68">
        <v>4</v>
      </c>
      <c r="L72" s="68">
        <v>5</v>
      </c>
      <c r="M72" s="72" t="s">
        <v>138</v>
      </c>
      <c r="O72" s="66" t="s">
        <v>232</v>
      </c>
      <c r="P72" s="73" t="s">
        <v>59</v>
      </c>
      <c r="Q72" s="73" t="s">
        <v>59</v>
      </c>
      <c r="S72" s="66" t="str">
        <f t="shared" si="1"/>
        <v>Estonia</v>
      </c>
    </row>
    <row r="73" spans="1:19">
      <c r="A73" s="65">
        <v>2168</v>
      </c>
      <c r="B73" s="66" t="s">
        <v>231</v>
      </c>
      <c r="C73" s="67">
        <v>10</v>
      </c>
      <c r="D73" s="68">
        <v>11</v>
      </c>
      <c r="E73" s="67" t="s">
        <v>135</v>
      </c>
      <c r="F73" s="67" t="s">
        <v>122</v>
      </c>
      <c r="G73" s="67" t="s">
        <v>123</v>
      </c>
      <c r="H73" s="69" t="s">
        <v>135</v>
      </c>
      <c r="I73" s="67" t="s">
        <v>130</v>
      </c>
      <c r="J73" s="70" t="s">
        <v>131</v>
      </c>
      <c r="K73" s="64">
        <v>0</v>
      </c>
      <c r="L73" s="64">
        <v>0</v>
      </c>
      <c r="M73" s="64">
        <v>0</v>
      </c>
      <c r="O73" s="66" t="s">
        <v>152</v>
      </c>
      <c r="P73" s="73" t="s">
        <v>59</v>
      </c>
      <c r="Q73" s="73" t="s">
        <v>59</v>
      </c>
      <c r="S73" s="66" t="str">
        <f t="shared" si="1"/>
        <v>Ethiopia</v>
      </c>
    </row>
    <row r="74" spans="1:19">
      <c r="A74" s="63">
        <v>2169</v>
      </c>
      <c r="B74" s="66" t="s">
        <v>233</v>
      </c>
      <c r="C74" s="67">
        <v>10</v>
      </c>
      <c r="D74" s="68">
        <v>11</v>
      </c>
      <c r="E74" s="67">
        <v>6</v>
      </c>
      <c r="F74" s="67" t="s">
        <v>122</v>
      </c>
      <c r="G74" s="67" t="s">
        <v>123</v>
      </c>
      <c r="H74" s="64" t="s">
        <v>116</v>
      </c>
      <c r="I74" s="64" t="s">
        <v>116</v>
      </c>
      <c r="J74" s="75" t="s">
        <v>116</v>
      </c>
      <c r="K74" s="64">
        <v>0</v>
      </c>
      <c r="L74" s="64">
        <v>0</v>
      </c>
      <c r="M74" s="64">
        <v>0</v>
      </c>
      <c r="O74" s="66" t="s">
        <v>154</v>
      </c>
      <c r="P74" s="73" t="s">
        <v>59</v>
      </c>
      <c r="Q74" s="73" t="s">
        <v>59</v>
      </c>
      <c r="S74" s="66" t="str">
        <f t="shared" si="1"/>
        <v>Falkland Islands</v>
      </c>
    </row>
    <row r="75" spans="1:19">
      <c r="A75" s="65">
        <v>2170</v>
      </c>
      <c r="B75" s="66" t="s">
        <v>234</v>
      </c>
      <c r="C75" s="67">
        <v>5</v>
      </c>
      <c r="D75" s="68">
        <v>6</v>
      </c>
      <c r="E75" s="67" t="s">
        <v>129</v>
      </c>
      <c r="F75" s="67" t="s">
        <v>142</v>
      </c>
      <c r="G75" s="67" t="s">
        <v>143</v>
      </c>
      <c r="H75" s="64" t="s">
        <v>116</v>
      </c>
      <c r="I75" s="64" t="s">
        <v>116</v>
      </c>
      <c r="J75" s="75" t="s">
        <v>116</v>
      </c>
      <c r="K75" s="64">
        <v>0</v>
      </c>
      <c r="L75" s="64">
        <v>0</v>
      </c>
      <c r="M75" s="64">
        <v>0</v>
      </c>
      <c r="O75" s="66" t="s">
        <v>156</v>
      </c>
      <c r="P75" s="73" t="s">
        <v>59</v>
      </c>
      <c r="Q75" s="73" t="s">
        <v>59</v>
      </c>
      <c r="S75" s="66" t="str">
        <f t="shared" si="1"/>
        <v>Faroe Islands</v>
      </c>
    </row>
    <row r="76" spans="1:19">
      <c r="A76" s="63">
        <v>2171</v>
      </c>
      <c r="B76" s="66" t="s">
        <v>232</v>
      </c>
      <c r="C76" s="67">
        <v>10</v>
      </c>
      <c r="D76" s="68">
        <v>11</v>
      </c>
      <c r="E76" s="67" t="s">
        <v>146</v>
      </c>
      <c r="F76" s="67" t="s">
        <v>122</v>
      </c>
      <c r="G76" s="67" t="s">
        <v>123</v>
      </c>
      <c r="H76" s="69" t="s">
        <v>146</v>
      </c>
      <c r="I76" s="67" t="s">
        <v>125</v>
      </c>
      <c r="J76" s="70" t="s">
        <v>126</v>
      </c>
      <c r="K76" s="64">
        <v>0</v>
      </c>
      <c r="L76" s="64">
        <v>0</v>
      </c>
      <c r="M76" s="64">
        <v>0</v>
      </c>
      <c r="O76" s="66" t="s">
        <v>235</v>
      </c>
      <c r="P76" s="73" t="s">
        <v>59</v>
      </c>
      <c r="Q76" s="73" t="s">
        <v>59</v>
      </c>
      <c r="S76" s="66" t="str">
        <f t="shared" si="1"/>
        <v>Fiji</v>
      </c>
    </row>
    <row r="77" spans="1:19">
      <c r="A77" s="65">
        <v>2172</v>
      </c>
      <c r="B77" s="66" t="s">
        <v>152</v>
      </c>
      <c r="C77" s="67">
        <v>3</v>
      </c>
      <c r="D77" s="68">
        <v>4</v>
      </c>
      <c r="E77" s="67" t="s">
        <v>129</v>
      </c>
      <c r="F77" s="67" t="s">
        <v>142</v>
      </c>
      <c r="G77" s="67" t="s">
        <v>143</v>
      </c>
      <c r="H77" s="69" t="s">
        <v>129</v>
      </c>
      <c r="I77" s="67" t="s">
        <v>130</v>
      </c>
      <c r="J77" s="70" t="s">
        <v>131</v>
      </c>
      <c r="K77" s="68">
        <v>3</v>
      </c>
      <c r="L77" s="68" t="s">
        <v>236</v>
      </c>
      <c r="M77" s="72">
        <v>4</v>
      </c>
      <c r="O77" s="66" t="s">
        <v>237</v>
      </c>
      <c r="P77" s="73" t="s">
        <v>59</v>
      </c>
      <c r="Q77" s="73" t="s">
        <v>59</v>
      </c>
      <c r="S77" s="66" t="str">
        <f t="shared" si="1"/>
        <v>Finland</v>
      </c>
    </row>
    <row r="78" spans="1:19">
      <c r="A78" s="63">
        <v>2173</v>
      </c>
      <c r="B78" s="66" t="s">
        <v>154</v>
      </c>
      <c r="C78" s="67">
        <v>2</v>
      </c>
      <c r="D78" s="68">
        <v>3</v>
      </c>
      <c r="E78" s="67">
        <v>1</v>
      </c>
      <c r="F78" s="67" t="s">
        <v>142</v>
      </c>
      <c r="G78" s="67" t="s">
        <v>143</v>
      </c>
      <c r="H78" s="69">
        <v>1</v>
      </c>
      <c r="I78" s="67" t="s">
        <v>130</v>
      </c>
      <c r="J78" s="70" t="s">
        <v>131</v>
      </c>
      <c r="K78" s="68">
        <v>2</v>
      </c>
      <c r="L78" s="68" t="s">
        <v>135</v>
      </c>
      <c r="M78" s="67">
        <v>2</v>
      </c>
      <c r="O78" s="66" t="s">
        <v>238</v>
      </c>
      <c r="P78" s="73" t="s">
        <v>59</v>
      </c>
      <c r="Q78" s="73" t="s">
        <v>59</v>
      </c>
      <c r="S78" s="66" t="str">
        <f t="shared" si="1"/>
        <v>France - All Other Locations</v>
      </c>
    </row>
    <row r="79" spans="1:19">
      <c r="A79" s="65">
        <v>2174</v>
      </c>
      <c r="B79" s="66" t="s">
        <v>156</v>
      </c>
      <c r="C79" s="67">
        <v>1</v>
      </c>
      <c r="D79" s="68">
        <v>2</v>
      </c>
      <c r="E79" s="67" t="s">
        <v>129</v>
      </c>
      <c r="F79" s="67" t="s">
        <v>142</v>
      </c>
      <c r="G79" s="67" t="s">
        <v>143</v>
      </c>
      <c r="H79" s="69">
        <v>1</v>
      </c>
      <c r="I79" s="67" t="s">
        <v>130</v>
      </c>
      <c r="J79" s="70" t="s">
        <v>131</v>
      </c>
      <c r="K79" s="74">
        <v>2</v>
      </c>
      <c r="L79" s="68" t="s">
        <v>135</v>
      </c>
      <c r="M79" s="72">
        <v>2</v>
      </c>
      <c r="O79" s="66" t="s">
        <v>239</v>
      </c>
      <c r="P79" s="73" t="s">
        <v>59</v>
      </c>
      <c r="Q79" s="73" t="s">
        <v>59</v>
      </c>
      <c r="S79" s="66" t="str">
        <f t="shared" si="1"/>
        <v>France - Paris</v>
      </c>
    </row>
    <row r="80" spans="1:19">
      <c r="A80" s="63">
        <v>2175</v>
      </c>
      <c r="B80" s="66" t="s">
        <v>235</v>
      </c>
      <c r="C80" s="67">
        <v>10</v>
      </c>
      <c r="D80" s="68">
        <v>11</v>
      </c>
      <c r="E80" s="67" t="s">
        <v>124</v>
      </c>
      <c r="F80" s="67" t="s">
        <v>122</v>
      </c>
      <c r="G80" s="67" t="s">
        <v>123</v>
      </c>
      <c r="H80" s="69" t="s">
        <v>146</v>
      </c>
      <c r="I80" s="67" t="s">
        <v>130</v>
      </c>
      <c r="J80" s="70" t="s">
        <v>131</v>
      </c>
      <c r="K80" s="64">
        <v>0</v>
      </c>
      <c r="L80" s="64">
        <v>0</v>
      </c>
      <c r="M80" s="64">
        <v>0</v>
      </c>
      <c r="O80" s="66" t="s">
        <v>158</v>
      </c>
      <c r="P80" s="73" t="s">
        <v>59</v>
      </c>
      <c r="Q80" s="73" t="s">
        <v>59</v>
      </c>
      <c r="S80" s="66" t="str">
        <f t="shared" si="1"/>
        <v>French Guiana</v>
      </c>
    </row>
    <row r="81" spans="1:19">
      <c r="A81" s="65">
        <v>2176</v>
      </c>
      <c r="B81" s="66" t="s">
        <v>237</v>
      </c>
      <c r="C81" s="67">
        <v>10</v>
      </c>
      <c r="D81" s="68">
        <v>11</v>
      </c>
      <c r="E81" s="67" t="s">
        <v>135</v>
      </c>
      <c r="F81" s="67" t="s">
        <v>122</v>
      </c>
      <c r="G81" s="67" t="s">
        <v>123</v>
      </c>
      <c r="H81" s="69" t="s">
        <v>147</v>
      </c>
      <c r="I81" s="67" t="s">
        <v>130</v>
      </c>
      <c r="J81" s="70" t="s">
        <v>131</v>
      </c>
      <c r="K81" s="64">
        <v>0</v>
      </c>
      <c r="L81" s="64">
        <v>0</v>
      </c>
      <c r="M81" s="64">
        <v>0</v>
      </c>
      <c r="O81" s="66" t="s">
        <v>160</v>
      </c>
      <c r="P81" s="73" t="s">
        <v>59</v>
      </c>
      <c r="Q81" s="73" t="s">
        <v>59</v>
      </c>
      <c r="S81" s="66" t="str">
        <f t="shared" si="1"/>
        <v>Gabon</v>
      </c>
    </row>
    <row r="82" spans="1:19">
      <c r="B82" s="66" t="s">
        <v>238</v>
      </c>
      <c r="C82" s="67">
        <v>10</v>
      </c>
      <c r="D82" s="68">
        <v>11</v>
      </c>
      <c r="E82" s="67" t="s">
        <v>147</v>
      </c>
      <c r="F82" s="67" t="s">
        <v>122</v>
      </c>
      <c r="G82" s="67" t="s">
        <v>123</v>
      </c>
      <c r="H82" s="69" t="s">
        <v>147</v>
      </c>
      <c r="I82" s="67" t="s">
        <v>125</v>
      </c>
      <c r="J82" s="67" t="s">
        <v>126</v>
      </c>
      <c r="K82" s="64">
        <v>0</v>
      </c>
      <c r="L82" s="64">
        <v>0</v>
      </c>
      <c r="M82" s="64">
        <v>0</v>
      </c>
      <c r="O82" s="66" t="s">
        <v>161</v>
      </c>
      <c r="P82" s="73" t="s">
        <v>59</v>
      </c>
      <c r="Q82" s="73" t="s">
        <v>59</v>
      </c>
      <c r="S82" s="66" t="str">
        <f t="shared" si="1"/>
        <v>Gambia</v>
      </c>
    </row>
    <row r="83" spans="1:19">
      <c r="B83" s="66" t="s">
        <v>239</v>
      </c>
      <c r="C83" s="67">
        <v>10</v>
      </c>
      <c r="D83" s="68">
        <v>11</v>
      </c>
      <c r="E83" s="67" t="s">
        <v>135</v>
      </c>
      <c r="F83" s="67" t="s">
        <v>122</v>
      </c>
      <c r="G83" s="67" t="s">
        <v>123</v>
      </c>
      <c r="H83" s="69" t="s">
        <v>135</v>
      </c>
      <c r="I83" s="67" t="s">
        <v>130</v>
      </c>
      <c r="J83" s="70" t="s">
        <v>131</v>
      </c>
      <c r="K83" s="64">
        <v>0</v>
      </c>
      <c r="L83" s="64">
        <v>0</v>
      </c>
      <c r="M83" s="64">
        <v>0</v>
      </c>
      <c r="O83" s="66" t="s">
        <v>240</v>
      </c>
      <c r="P83" s="73" t="s">
        <v>59</v>
      </c>
      <c r="Q83" s="73" t="s">
        <v>59</v>
      </c>
      <c r="S83" s="66" t="str">
        <f t="shared" si="1"/>
        <v>Georgia</v>
      </c>
    </row>
    <row r="84" spans="1:19">
      <c r="B84" s="66" t="s">
        <v>158</v>
      </c>
      <c r="C84" s="67">
        <v>2</v>
      </c>
      <c r="D84" s="68">
        <v>3</v>
      </c>
      <c r="E84" s="67">
        <v>1</v>
      </c>
      <c r="F84" s="67" t="s">
        <v>142</v>
      </c>
      <c r="G84" s="67" t="s">
        <v>143</v>
      </c>
      <c r="H84" s="69">
        <v>1</v>
      </c>
      <c r="I84" s="67" t="s">
        <v>130</v>
      </c>
      <c r="J84" s="70" t="s">
        <v>131</v>
      </c>
      <c r="K84" s="68">
        <v>2</v>
      </c>
      <c r="L84" s="68">
        <v>2</v>
      </c>
      <c r="M84" s="72">
        <v>2</v>
      </c>
      <c r="O84" s="66" t="s">
        <v>165</v>
      </c>
      <c r="P84" s="73" t="s">
        <v>59</v>
      </c>
      <c r="Q84" s="73" t="s">
        <v>59</v>
      </c>
      <c r="S84" s="66" t="str">
        <f t="shared" si="1"/>
        <v>Germany - All Other Locations</v>
      </c>
    </row>
    <row r="85" spans="1:19">
      <c r="B85" s="66" t="s">
        <v>160</v>
      </c>
      <c r="C85" s="67">
        <v>1</v>
      </c>
      <c r="D85" s="68">
        <v>2</v>
      </c>
      <c r="E85" s="67">
        <v>1</v>
      </c>
      <c r="F85" s="67" t="s">
        <v>142</v>
      </c>
      <c r="G85" s="67" t="s">
        <v>143</v>
      </c>
      <c r="H85" s="69">
        <v>1</v>
      </c>
      <c r="I85" s="67" t="s">
        <v>130</v>
      </c>
      <c r="J85" s="70" t="s">
        <v>131</v>
      </c>
      <c r="K85" s="74">
        <v>2</v>
      </c>
      <c r="L85" s="68">
        <v>2</v>
      </c>
      <c r="M85" s="67">
        <v>2</v>
      </c>
      <c r="O85" s="66" t="s">
        <v>168</v>
      </c>
      <c r="P85" s="73" t="s">
        <v>59</v>
      </c>
      <c r="Q85" s="73" t="s">
        <v>59</v>
      </c>
      <c r="S85" s="66" t="str">
        <f t="shared" si="1"/>
        <v>Germany - Cologne</v>
      </c>
    </row>
    <row r="86" spans="1:19">
      <c r="B86" s="66" t="s">
        <v>161</v>
      </c>
      <c r="C86" s="67">
        <v>1</v>
      </c>
      <c r="D86" s="68">
        <v>2</v>
      </c>
      <c r="E86" s="67">
        <v>1</v>
      </c>
      <c r="F86" s="67" t="s">
        <v>142</v>
      </c>
      <c r="G86" s="67" t="s">
        <v>143</v>
      </c>
      <c r="H86" s="69">
        <v>1</v>
      </c>
      <c r="I86" s="67" t="s">
        <v>130</v>
      </c>
      <c r="J86" s="70" t="s">
        <v>131</v>
      </c>
      <c r="K86" s="74">
        <v>2</v>
      </c>
      <c r="L86" s="68">
        <v>2</v>
      </c>
      <c r="M86" s="76">
        <v>2</v>
      </c>
      <c r="O86" s="66" t="s">
        <v>241</v>
      </c>
      <c r="P86" s="73" t="s">
        <v>59</v>
      </c>
      <c r="Q86" s="73" t="s">
        <v>59</v>
      </c>
      <c r="S86" s="66" t="str">
        <f t="shared" si="1"/>
        <v>Germany - Frankfurt</v>
      </c>
    </row>
    <row r="87" spans="1:19">
      <c r="B87" s="66" t="s">
        <v>240</v>
      </c>
      <c r="C87" s="67">
        <v>10</v>
      </c>
      <c r="D87" s="68">
        <v>11</v>
      </c>
      <c r="E87" s="67" t="s">
        <v>135</v>
      </c>
      <c r="F87" s="67" t="s">
        <v>142</v>
      </c>
      <c r="G87" s="67" t="s">
        <v>123</v>
      </c>
      <c r="H87" s="69" t="s">
        <v>135</v>
      </c>
      <c r="I87" s="67" t="s">
        <v>130</v>
      </c>
      <c r="J87" s="67" t="s">
        <v>131</v>
      </c>
      <c r="K87" s="64">
        <v>0</v>
      </c>
      <c r="L87" s="64">
        <v>0</v>
      </c>
      <c r="M87" s="64">
        <v>0</v>
      </c>
      <c r="O87" s="66" t="s">
        <v>242</v>
      </c>
      <c r="P87" s="73" t="s">
        <v>59</v>
      </c>
      <c r="Q87" s="73" t="s">
        <v>59</v>
      </c>
      <c r="S87" s="66" t="str">
        <f t="shared" si="1"/>
        <v>Ghana</v>
      </c>
    </row>
    <row r="88" spans="1:19">
      <c r="B88" s="66" t="s">
        <v>165</v>
      </c>
      <c r="C88" s="67">
        <v>5</v>
      </c>
      <c r="D88" s="68">
        <v>6</v>
      </c>
      <c r="E88" s="67" t="s">
        <v>135</v>
      </c>
      <c r="F88" s="67" t="s">
        <v>142</v>
      </c>
      <c r="G88" s="67" t="s">
        <v>143</v>
      </c>
      <c r="H88" s="69" t="s">
        <v>129</v>
      </c>
      <c r="I88" s="67" t="s">
        <v>130</v>
      </c>
      <c r="J88" s="70" t="s">
        <v>131</v>
      </c>
      <c r="K88" s="68">
        <v>5</v>
      </c>
      <c r="L88" s="68" t="s">
        <v>147</v>
      </c>
      <c r="M88" s="67" t="s">
        <v>147</v>
      </c>
      <c r="O88" s="66" t="s">
        <v>243</v>
      </c>
      <c r="P88" s="73" t="s">
        <v>59</v>
      </c>
      <c r="Q88" s="73" t="s">
        <v>59</v>
      </c>
      <c r="S88" s="66" t="str">
        <f t="shared" si="1"/>
        <v>Gibraltar</v>
      </c>
    </row>
    <row r="89" spans="1:19">
      <c r="B89" s="66" t="s">
        <v>168</v>
      </c>
      <c r="C89" s="67">
        <v>4</v>
      </c>
      <c r="D89" s="68">
        <v>5</v>
      </c>
      <c r="E89" s="67" t="s">
        <v>129</v>
      </c>
      <c r="F89" s="67" t="s">
        <v>142</v>
      </c>
      <c r="G89" s="67" t="s">
        <v>143</v>
      </c>
      <c r="H89" s="69">
        <v>1</v>
      </c>
      <c r="I89" s="67" t="s">
        <v>130</v>
      </c>
      <c r="J89" s="70" t="s">
        <v>131</v>
      </c>
      <c r="K89" s="68">
        <v>4</v>
      </c>
      <c r="L89" s="68" t="s">
        <v>244</v>
      </c>
      <c r="M89" s="64">
        <v>0</v>
      </c>
      <c r="O89" s="66" t="s">
        <v>245</v>
      </c>
      <c r="P89" s="73" t="s">
        <v>59</v>
      </c>
      <c r="Q89" s="73" t="s">
        <v>59</v>
      </c>
      <c r="S89" s="66" t="str">
        <f t="shared" si="1"/>
        <v>Greece</v>
      </c>
    </row>
    <row r="90" spans="1:19">
      <c r="B90" s="66" t="s">
        <v>246</v>
      </c>
      <c r="C90" s="67">
        <v>5</v>
      </c>
      <c r="D90" s="68">
        <v>6</v>
      </c>
      <c r="E90" s="67" t="s">
        <v>129</v>
      </c>
      <c r="F90" s="67" t="s">
        <v>142</v>
      </c>
      <c r="G90" s="67" t="s">
        <v>143</v>
      </c>
      <c r="H90" s="64" t="s">
        <v>116</v>
      </c>
      <c r="I90" s="64" t="s">
        <v>116</v>
      </c>
      <c r="J90" s="75" t="s">
        <v>116</v>
      </c>
      <c r="K90" s="64">
        <v>0</v>
      </c>
      <c r="L90" s="64">
        <v>0</v>
      </c>
      <c r="M90" s="64">
        <v>0</v>
      </c>
      <c r="O90" s="66" t="s">
        <v>247</v>
      </c>
      <c r="P90" s="73" t="s">
        <v>59</v>
      </c>
      <c r="Q90" s="73" t="s">
        <v>59</v>
      </c>
      <c r="S90" s="66" t="str">
        <f t="shared" si="1"/>
        <v>Greenland</v>
      </c>
    </row>
    <row r="91" spans="1:19">
      <c r="B91" s="66" t="s">
        <v>241</v>
      </c>
      <c r="C91" s="67">
        <v>10</v>
      </c>
      <c r="D91" s="68">
        <v>11</v>
      </c>
      <c r="E91" s="67" t="s">
        <v>135</v>
      </c>
      <c r="F91" s="67" t="s">
        <v>122</v>
      </c>
      <c r="G91" s="67" t="s">
        <v>123</v>
      </c>
      <c r="H91" s="69" t="s">
        <v>147</v>
      </c>
      <c r="I91" s="67" t="s">
        <v>125</v>
      </c>
      <c r="J91" s="70" t="s">
        <v>126</v>
      </c>
      <c r="K91" s="64">
        <v>0</v>
      </c>
      <c r="L91" s="64">
        <v>0</v>
      </c>
      <c r="M91" s="64">
        <v>0</v>
      </c>
      <c r="O91" s="66" t="s">
        <v>248</v>
      </c>
      <c r="P91" s="73" t="s">
        <v>59</v>
      </c>
      <c r="Q91" s="73" t="s">
        <v>59</v>
      </c>
      <c r="S91" s="66" t="str">
        <f t="shared" si="1"/>
        <v>Grenada</v>
      </c>
    </row>
    <row r="92" spans="1:19">
      <c r="B92" s="66" t="s">
        <v>242</v>
      </c>
      <c r="C92" s="67">
        <v>10</v>
      </c>
      <c r="D92" s="68">
        <v>11</v>
      </c>
      <c r="E92" s="67" t="s">
        <v>124</v>
      </c>
      <c r="F92" s="67" t="s">
        <v>122</v>
      </c>
      <c r="G92" s="67" t="s">
        <v>123</v>
      </c>
      <c r="H92" s="69" t="s">
        <v>135</v>
      </c>
      <c r="I92" s="67" t="s">
        <v>130</v>
      </c>
      <c r="J92" s="70" t="s">
        <v>131</v>
      </c>
      <c r="K92" s="64">
        <v>0</v>
      </c>
      <c r="L92" s="64">
        <v>0</v>
      </c>
      <c r="M92" s="64">
        <v>0</v>
      </c>
      <c r="O92" s="66" t="s">
        <v>249</v>
      </c>
      <c r="P92" s="73" t="s">
        <v>59</v>
      </c>
      <c r="Q92" s="73" t="s">
        <v>59</v>
      </c>
      <c r="S92" s="66" t="str">
        <f t="shared" si="1"/>
        <v>Guadeloupe</v>
      </c>
    </row>
    <row r="93" spans="1:19">
      <c r="B93" s="66" t="s">
        <v>243</v>
      </c>
      <c r="C93" s="67">
        <v>10</v>
      </c>
      <c r="D93" s="68">
        <v>11</v>
      </c>
      <c r="E93" s="67" t="s">
        <v>147</v>
      </c>
      <c r="F93" s="67" t="s">
        <v>122</v>
      </c>
      <c r="G93" s="67" t="s">
        <v>123</v>
      </c>
      <c r="H93" s="69" t="s">
        <v>135</v>
      </c>
      <c r="I93" s="67" t="s">
        <v>125</v>
      </c>
      <c r="J93" s="70" t="s">
        <v>126</v>
      </c>
      <c r="K93" s="64">
        <v>0</v>
      </c>
      <c r="L93" s="64">
        <v>0</v>
      </c>
      <c r="M93" s="64">
        <v>0</v>
      </c>
      <c r="O93" s="66" t="s">
        <v>250</v>
      </c>
      <c r="P93" s="73" t="s">
        <v>59</v>
      </c>
      <c r="Q93" s="73" t="s">
        <v>59</v>
      </c>
      <c r="S93" s="66" t="str">
        <f t="shared" si="1"/>
        <v>Guam</v>
      </c>
    </row>
    <row r="94" spans="1:19">
      <c r="B94" s="66" t="s">
        <v>245</v>
      </c>
      <c r="C94" s="67">
        <v>10</v>
      </c>
      <c r="D94" s="68">
        <v>11</v>
      </c>
      <c r="E94" s="67" t="s">
        <v>135</v>
      </c>
      <c r="F94" s="67" t="s">
        <v>122</v>
      </c>
      <c r="G94" s="67" t="s">
        <v>123</v>
      </c>
      <c r="H94" s="69" t="s">
        <v>147</v>
      </c>
      <c r="I94" s="67" t="s">
        <v>130</v>
      </c>
      <c r="J94" s="70" t="s">
        <v>131</v>
      </c>
      <c r="K94" s="64">
        <v>0</v>
      </c>
      <c r="L94" s="64">
        <v>0</v>
      </c>
      <c r="M94" s="64">
        <v>0</v>
      </c>
      <c r="O94" s="66" t="s">
        <v>251</v>
      </c>
      <c r="P94" s="73" t="s">
        <v>59</v>
      </c>
      <c r="Q94" s="73" t="s">
        <v>59</v>
      </c>
      <c r="S94" s="66" t="str">
        <f t="shared" si="1"/>
        <v>Guatemala</v>
      </c>
    </row>
    <row r="95" spans="1:19">
      <c r="B95" s="66" t="s">
        <v>247</v>
      </c>
      <c r="C95" s="67">
        <v>10</v>
      </c>
      <c r="D95" s="68">
        <v>11</v>
      </c>
      <c r="E95" s="67" t="s">
        <v>135</v>
      </c>
      <c r="F95" s="67" t="s">
        <v>122</v>
      </c>
      <c r="G95" s="67" t="s">
        <v>123</v>
      </c>
      <c r="H95" s="69" t="s">
        <v>135</v>
      </c>
      <c r="I95" s="67" t="s">
        <v>125</v>
      </c>
      <c r="J95" s="70" t="s">
        <v>126</v>
      </c>
      <c r="K95" s="64">
        <v>0</v>
      </c>
      <c r="L95" s="64">
        <v>0</v>
      </c>
      <c r="M95" s="64">
        <v>0</v>
      </c>
      <c r="O95" s="66" t="s">
        <v>252</v>
      </c>
      <c r="P95" s="73" t="s">
        <v>59</v>
      </c>
      <c r="Q95" s="73" t="s">
        <v>59</v>
      </c>
      <c r="S95" s="66" t="str">
        <f t="shared" si="1"/>
        <v>Guinea Rep.</v>
      </c>
    </row>
    <row r="96" spans="1:19">
      <c r="B96" s="66" t="s">
        <v>248</v>
      </c>
      <c r="C96" s="67">
        <v>10</v>
      </c>
      <c r="D96" s="68">
        <v>11</v>
      </c>
      <c r="E96" s="67" t="s">
        <v>146</v>
      </c>
      <c r="F96" s="67" t="s">
        <v>122</v>
      </c>
      <c r="G96" s="67" t="s">
        <v>123</v>
      </c>
      <c r="H96" s="69" t="s">
        <v>135</v>
      </c>
      <c r="I96" s="67" t="s">
        <v>125</v>
      </c>
      <c r="J96" s="70" t="s">
        <v>126</v>
      </c>
      <c r="K96" s="64">
        <v>0</v>
      </c>
      <c r="L96" s="64">
        <v>0</v>
      </c>
      <c r="M96" s="64">
        <v>0</v>
      </c>
      <c r="O96" s="66" t="s">
        <v>163</v>
      </c>
      <c r="P96" s="73" t="s">
        <v>59</v>
      </c>
      <c r="Q96" s="73" t="s">
        <v>59</v>
      </c>
      <c r="S96" s="66" t="str">
        <f t="shared" si="1"/>
        <v>Guinea-Bissau</v>
      </c>
    </row>
    <row r="97" spans="2:19">
      <c r="B97" s="66" t="s">
        <v>249</v>
      </c>
      <c r="C97" s="67">
        <v>10</v>
      </c>
      <c r="D97" s="68">
        <v>11</v>
      </c>
      <c r="E97" s="67" t="s">
        <v>146</v>
      </c>
      <c r="F97" s="67" t="s">
        <v>122</v>
      </c>
      <c r="G97" s="67" t="s">
        <v>123</v>
      </c>
      <c r="H97" s="69" t="s">
        <v>138</v>
      </c>
      <c r="I97" s="67" t="s">
        <v>130</v>
      </c>
      <c r="J97" s="70" t="s">
        <v>131</v>
      </c>
      <c r="K97" s="64">
        <v>0</v>
      </c>
      <c r="L97" s="64">
        <v>0</v>
      </c>
      <c r="M97" s="64">
        <v>0</v>
      </c>
      <c r="O97" s="66" t="s">
        <v>253</v>
      </c>
      <c r="P97" s="73" t="s">
        <v>59</v>
      </c>
      <c r="Q97" s="73" t="s">
        <v>59</v>
      </c>
      <c r="S97" s="66" t="str">
        <f t="shared" si="1"/>
        <v>Guyana</v>
      </c>
    </row>
    <row r="98" spans="2:19">
      <c r="B98" s="66" t="s">
        <v>250</v>
      </c>
      <c r="C98" s="67">
        <v>10</v>
      </c>
      <c r="D98" s="68">
        <v>11</v>
      </c>
      <c r="E98" s="67" t="s">
        <v>147</v>
      </c>
      <c r="F98" s="67" t="s">
        <v>122</v>
      </c>
      <c r="G98" s="67" t="s">
        <v>123</v>
      </c>
      <c r="H98" s="69" t="s">
        <v>135</v>
      </c>
      <c r="I98" s="67" t="s">
        <v>130</v>
      </c>
      <c r="J98" s="70" t="s">
        <v>131</v>
      </c>
      <c r="K98" s="64">
        <v>0</v>
      </c>
      <c r="L98" s="64">
        <v>0</v>
      </c>
      <c r="M98" s="64">
        <v>0</v>
      </c>
      <c r="O98" s="66" t="s">
        <v>254</v>
      </c>
      <c r="P98" s="73" t="s">
        <v>59</v>
      </c>
      <c r="Q98" s="73" t="s">
        <v>59</v>
      </c>
      <c r="S98" s="66" t="str">
        <f t="shared" si="1"/>
        <v>Haiti</v>
      </c>
    </row>
    <row r="99" spans="2:19">
      <c r="B99" s="66" t="s">
        <v>251</v>
      </c>
      <c r="C99" s="67">
        <v>10</v>
      </c>
      <c r="D99" s="68">
        <v>11</v>
      </c>
      <c r="E99" s="67" t="s">
        <v>147</v>
      </c>
      <c r="F99" s="67" t="s">
        <v>122</v>
      </c>
      <c r="G99" s="67" t="s">
        <v>123</v>
      </c>
      <c r="H99" s="69" t="s">
        <v>147</v>
      </c>
      <c r="I99" s="67" t="s">
        <v>130</v>
      </c>
      <c r="J99" s="70" t="s">
        <v>131</v>
      </c>
      <c r="K99" s="64">
        <v>0</v>
      </c>
      <c r="L99" s="64">
        <v>0</v>
      </c>
      <c r="M99" s="64">
        <v>0</v>
      </c>
      <c r="O99" s="66" t="s">
        <v>255</v>
      </c>
      <c r="P99" s="73" t="s">
        <v>59</v>
      </c>
      <c r="Q99" s="73" t="s">
        <v>59</v>
      </c>
      <c r="S99" s="66" t="str">
        <f t="shared" si="1"/>
        <v>Honduras Rep.</v>
      </c>
    </row>
    <row r="100" spans="2:19">
      <c r="B100" s="66" t="s">
        <v>252</v>
      </c>
      <c r="C100" s="67">
        <v>8</v>
      </c>
      <c r="D100" s="68">
        <v>9</v>
      </c>
      <c r="E100" s="67">
        <v>2</v>
      </c>
      <c r="F100" s="67" t="s">
        <v>142</v>
      </c>
      <c r="G100" s="67" t="s">
        <v>143</v>
      </c>
      <c r="H100" s="69" t="s">
        <v>129</v>
      </c>
      <c r="I100" s="67" t="s">
        <v>130</v>
      </c>
      <c r="J100" s="67" t="s">
        <v>131</v>
      </c>
      <c r="K100" s="64">
        <v>0</v>
      </c>
      <c r="L100" s="64">
        <v>0</v>
      </c>
      <c r="M100" s="64">
        <v>0</v>
      </c>
      <c r="O100" s="66" t="s">
        <v>166</v>
      </c>
      <c r="P100" s="73" t="s">
        <v>59</v>
      </c>
      <c r="Q100" s="73" t="s">
        <v>59</v>
      </c>
      <c r="S100" s="66" t="str">
        <f t="shared" si="1"/>
        <v>Hong Kong</v>
      </c>
    </row>
    <row r="101" spans="2:19">
      <c r="B101" s="66" t="s">
        <v>163</v>
      </c>
      <c r="C101" s="67">
        <v>4</v>
      </c>
      <c r="D101" s="68">
        <v>5</v>
      </c>
      <c r="E101" s="67" t="s">
        <v>129</v>
      </c>
      <c r="F101" s="67" t="s">
        <v>142</v>
      </c>
      <c r="G101" s="67" t="s">
        <v>143</v>
      </c>
      <c r="H101" s="69">
        <v>1</v>
      </c>
      <c r="I101" s="67" t="s">
        <v>130</v>
      </c>
      <c r="J101" s="67" t="s">
        <v>131</v>
      </c>
      <c r="K101" s="68">
        <v>4</v>
      </c>
      <c r="L101" s="68">
        <v>3</v>
      </c>
      <c r="M101" s="67">
        <v>3</v>
      </c>
      <c r="O101" s="66" t="s">
        <v>256</v>
      </c>
      <c r="P101" s="73" t="s">
        <v>59</v>
      </c>
      <c r="Q101" s="73" t="s">
        <v>59</v>
      </c>
      <c r="S101" s="66" t="str">
        <f t="shared" si="1"/>
        <v>Hungary</v>
      </c>
    </row>
    <row r="102" spans="2:19">
      <c r="B102" s="66" t="s">
        <v>253</v>
      </c>
      <c r="C102" s="67">
        <v>5</v>
      </c>
      <c r="D102" s="68">
        <v>6</v>
      </c>
      <c r="E102" s="67" t="s">
        <v>129</v>
      </c>
      <c r="F102" s="67" t="s">
        <v>142</v>
      </c>
      <c r="G102" s="67" t="s">
        <v>143</v>
      </c>
      <c r="H102" s="69">
        <v>1</v>
      </c>
      <c r="I102" s="67" t="s">
        <v>130</v>
      </c>
      <c r="J102" s="70" t="s">
        <v>131</v>
      </c>
      <c r="K102" s="64">
        <v>0</v>
      </c>
      <c r="L102" s="64">
        <v>0</v>
      </c>
      <c r="M102" s="64">
        <v>0</v>
      </c>
      <c r="O102" s="66" t="s">
        <v>169</v>
      </c>
      <c r="P102" s="73" t="s">
        <v>59</v>
      </c>
      <c r="Q102" s="73" t="s">
        <v>59</v>
      </c>
      <c r="S102" s="66" t="str">
        <f t="shared" si="1"/>
        <v>Iceland</v>
      </c>
    </row>
    <row r="103" spans="2:19">
      <c r="B103" s="66" t="s">
        <v>254</v>
      </c>
      <c r="C103" s="67">
        <v>8</v>
      </c>
      <c r="D103" s="68">
        <v>9</v>
      </c>
      <c r="E103" s="67" t="s">
        <v>135</v>
      </c>
      <c r="F103" s="67" t="s">
        <v>142</v>
      </c>
      <c r="G103" s="67" t="s">
        <v>123</v>
      </c>
      <c r="H103" s="69" t="s">
        <v>135</v>
      </c>
      <c r="I103" s="67" t="s">
        <v>130</v>
      </c>
      <c r="J103" s="70" t="s">
        <v>131</v>
      </c>
      <c r="K103" s="64">
        <v>0</v>
      </c>
      <c r="L103" s="64">
        <v>0</v>
      </c>
      <c r="M103" s="64">
        <v>0</v>
      </c>
      <c r="O103" s="66" t="s">
        <v>257</v>
      </c>
      <c r="P103" s="73" t="s">
        <v>59</v>
      </c>
      <c r="Q103" s="73" t="s">
        <v>59</v>
      </c>
      <c r="S103" s="66" t="str">
        <f t="shared" si="1"/>
        <v>India</v>
      </c>
    </row>
    <row r="104" spans="2:19">
      <c r="B104" s="66" t="s">
        <v>255</v>
      </c>
      <c r="C104" s="67">
        <v>8</v>
      </c>
      <c r="D104" s="68">
        <v>9</v>
      </c>
      <c r="E104" s="67" t="s">
        <v>135</v>
      </c>
      <c r="F104" s="67" t="s">
        <v>122</v>
      </c>
      <c r="G104" s="67" t="s">
        <v>123</v>
      </c>
      <c r="H104" s="69" t="s">
        <v>135</v>
      </c>
      <c r="I104" s="67" t="s">
        <v>125</v>
      </c>
      <c r="J104" s="70" t="s">
        <v>126</v>
      </c>
      <c r="K104" s="64">
        <v>0</v>
      </c>
      <c r="L104" s="64">
        <v>0</v>
      </c>
      <c r="M104" s="64">
        <v>0</v>
      </c>
      <c r="O104" s="66" t="s">
        <v>258</v>
      </c>
      <c r="P104" s="73" t="s">
        <v>59</v>
      </c>
      <c r="Q104" s="73" t="s">
        <v>59</v>
      </c>
      <c r="S104" s="66" t="str">
        <f t="shared" si="1"/>
        <v>Indonesia</v>
      </c>
    </row>
    <row r="105" spans="2:19">
      <c r="B105" s="66" t="s">
        <v>259</v>
      </c>
      <c r="C105" s="67">
        <v>10</v>
      </c>
      <c r="D105" s="68">
        <v>11</v>
      </c>
      <c r="E105" s="67" t="s">
        <v>124</v>
      </c>
      <c r="F105" s="67" t="s">
        <v>142</v>
      </c>
      <c r="G105" s="67" t="s">
        <v>123</v>
      </c>
      <c r="H105" s="64" t="s">
        <v>116</v>
      </c>
      <c r="I105" s="64" t="s">
        <v>116</v>
      </c>
      <c r="J105" s="75" t="s">
        <v>116</v>
      </c>
      <c r="K105" s="64">
        <v>0</v>
      </c>
      <c r="L105" s="64">
        <v>0</v>
      </c>
      <c r="M105" s="64">
        <v>0</v>
      </c>
      <c r="O105" s="66" t="s">
        <v>260</v>
      </c>
      <c r="P105" s="73" t="s">
        <v>59</v>
      </c>
      <c r="Q105" s="73" t="s">
        <v>59</v>
      </c>
      <c r="S105" s="66" t="str">
        <f t="shared" si="1"/>
        <v>Iran</v>
      </c>
    </row>
    <row r="106" spans="2:19">
      <c r="B106" s="66" t="s">
        <v>261</v>
      </c>
      <c r="C106" s="67">
        <v>10</v>
      </c>
      <c r="D106" s="68">
        <v>11</v>
      </c>
      <c r="E106" s="67" t="s">
        <v>188</v>
      </c>
      <c r="F106" s="67" t="s">
        <v>122</v>
      </c>
      <c r="G106" s="67" t="s">
        <v>123</v>
      </c>
      <c r="H106" s="64" t="s">
        <v>116</v>
      </c>
      <c r="I106" s="64" t="s">
        <v>116</v>
      </c>
      <c r="J106" s="75" t="s">
        <v>116</v>
      </c>
      <c r="K106" s="64">
        <v>0</v>
      </c>
      <c r="L106" s="64">
        <v>0</v>
      </c>
      <c r="M106" s="64">
        <v>0</v>
      </c>
      <c r="O106" s="66" t="s">
        <v>262</v>
      </c>
      <c r="P106" s="73" t="s">
        <v>59</v>
      </c>
      <c r="Q106" s="73" t="s">
        <v>59</v>
      </c>
      <c r="S106" s="66" t="str">
        <f t="shared" si="1"/>
        <v>Iraq</v>
      </c>
    </row>
    <row r="107" spans="2:19">
      <c r="B107" s="66" t="s">
        <v>166</v>
      </c>
      <c r="C107" s="67">
        <v>1</v>
      </c>
      <c r="D107" s="68">
        <v>2</v>
      </c>
      <c r="E107" s="67">
        <v>1</v>
      </c>
      <c r="F107" s="67" t="s">
        <v>142</v>
      </c>
      <c r="G107" s="67" t="s">
        <v>143</v>
      </c>
      <c r="H107" s="69">
        <v>1</v>
      </c>
      <c r="I107" s="67" t="s">
        <v>130</v>
      </c>
      <c r="J107" s="70" t="s">
        <v>131</v>
      </c>
      <c r="K107" s="68">
        <v>1</v>
      </c>
      <c r="L107" s="68">
        <v>2</v>
      </c>
      <c r="M107" s="67">
        <v>2</v>
      </c>
      <c r="O107" s="66" t="s">
        <v>263</v>
      </c>
      <c r="P107" s="73" t="s">
        <v>59</v>
      </c>
      <c r="Q107" s="73" t="s">
        <v>59</v>
      </c>
      <c r="S107" s="66" t="str">
        <f t="shared" si="1"/>
        <v>Ireland Republic of</v>
      </c>
    </row>
    <row r="108" spans="2:19">
      <c r="B108" s="66" t="s">
        <v>256</v>
      </c>
      <c r="C108" s="67">
        <v>5</v>
      </c>
      <c r="D108" s="68">
        <v>6</v>
      </c>
      <c r="E108" s="67" t="s">
        <v>134</v>
      </c>
      <c r="F108" s="67" t="s">
        <v>142</v>
      </c>
      <c r="G108" s="67" t="s">
        <v>143</v>
      </c>
      <c r="H108" s="69" t="s">
        <v>129</v>
      </c>
      <c r="I108" s="67" t="s">
        <v>130</v>
      </c>
      <c r="J108" s="67" t="s">
        <v>131</v>
      </c>
      <c r="K108" s="64">
        <v>0</v>
      </c>
      <c r="L108" s="64">
        <v>0</v>
      </c>
      <c r="M108" s="64">
        <v>0</v>
      </c>
      <c r="O108" s="66" t="s">
        <v>264</v>
      </c>
      <c r="P108" s="73" t="s">
        <v>59</v>
      </c>
      <c r="Q108" s="73" t="s">
        <v>59</v>
      </c>
      <c r="S108" s="66" t="str">
        <f t="shared" si="1"/>
        <v>Israel</v>
      </c>
    </row>
    <row r="109" spans="2:19">
      <c r="B109" s="66" t="s">
        <v>169</v>
      </c>
      <c r="C109" s="67">
        <v>3</v>
      </c>
      <c r="D109" s="68">
        <v>4</v>
      </c>
      <c r="E109" s="67" t="s">
        <v>129</v>
      </c>
      <c r="F109" s="67" t="s">
        <v>142</v>
      </c>
      <c r="G109" s="67" t="s">
        <v>143</v>
      </c>
      <c r="H109" s="69" t="s">
        <v>129</v>
      </c>
      <c r="I109" s="67" t="s">
        <v>130</v>
      </c>
      <c r="J109" s="70" t="s">
        <v>131</v>
      </c>
      <c r="K109" s="68">
        <v>3</v>
      </c>
      <c r="L109" s="68" t="s">
        <v>135</v>
      </c>
      <c r="M109" s="67" t="s">
        <v>135</v>
      </c>
      <c r="O109" s="66" t="s">
        <v>265</v>
      </c>
      <c r="P109" s="73" t="s">
        <v>59</v>
      </c>
      <c r="Q109" s="73" t="s">
        <v>59</v>
      </c>
      <c r="S109" s="66" t="str">
        <f t="shared" si="1"/>
        <v>Italy</v>
      </c>
    </row>
    <row r="110" spans="2:19">
      <c r="B110" s="66" t="s">
        <v>257</v>
      </c>
      <c r="C110" s="67">
        <v>10</v>
      </c>
      <c r="D110" s="68">
        <v>11</v>
      </c>
      <c r="E110" s="67" t="s">
        <v>135</v>
      </c>
      <c r="F110" s="67" t="s">
        <v>142</v>
      </c>
      <c r="G110" s="67" t="s">
        <v>143</v>
      </c>
      <c r="H110" s="69" t="s">
        <v>135</v>
      </c>
      <c r="I110" s="67" t="s">
        <v>130</v>
      </c>
      <c r="J110" s="70" t="s">
        <v>131</v>
      </c>
      <c r="K110" s="64">
        <v>0</v>
      </c>
      <c r="L110" s="64">
        <v>0</v>
      </c>
      <c r="M110" s="64">
        <v>0</v>
      </c>
      <c r="O110" s="66" t="s">
        <v>266</v>
      </c>
      <c r="P110" s="73" t="s">
        <v>59</v>
      </c>
      <c r="Q110" s="73" t="s">
        <v>59</v>
      </c>
      <c r="S110" s="66" t="str">
        <f t="shared" si="1"/>
        <v>Ivory Coast</v>
      </c>
    </row>
    <row r="111" spans="2:19">
      <c r="B111" s="66" t="s">
        <v>258</v>
      </c>
      <c r="C111" s="67">
        <v>10</v>
      </c>
      <c r="D111" s="68">
        <v>11</v>
      </c>
      <c r="E111" s="67" t="s">
        <v>135</v>
      </c>
      <c r="F111" s="67" t="s">
        <v>122</v>
      </c>
      <c r="G111" s="67" t="s">
        <v>123</v>
      </c>
      <c r="H111" s="69" t="s">
        <v>135</v>
      </c>
      <c r="I111" s="67" t="s">
        <v>130</v>
      </c>
      <c r="J111" s="70" t="s">
        <v>126</v>
      </c>
      <c r="K111" s="64">
        <v>0</v>
      </c>
      <c r="L111" s="64">
        <v>0</v>
      </c>
      <c r="M111" s="64">
        <v>0</v>
      </c>
      <c r="O111" s="66" t="s">
        <v>267</v>
      </c>
      <c r="P111" s="73" t="s">
        <v>59</v>
      </c>
      <c r="Q111" s="73" t="s">
        <v>59</v>
      </c>
      <c r="S111" s="66" t="str">
        <f t="shared" si="1"/>
        <v>Jamaica</v>
      </c>
    </row>
    <row r="112" spans="2:19">
      <c r="B112" s="66" t="s">
        <v>260</v>
      </c>
      <c r="C112" s="67">
        <v>8</v>
      </c>
      <c r="D112" s="68">
        <v>9</v>
      </c>
      <c r="E112" s="67" t="s">
        <v>135</v>
      </c>
      <c r="F112" s="67" t="s">
        <v>142</v>
      </c>
      <c r="G112" s="67" t="s">
        <v>123</v>
      </c>
      <c r="H112" s="69" t="s">
        <v>135</v>
      </c>
      <c r="I112" s="67" t="s">
        <v>130</v>
      </c>
      <c r="J112" s="70" t="s">
        <v>131</v>
      </c>
      <c r="K112" s="64">
        <v>0</v>
      </c>
      <c r="L112" s="64">
        <v>0</v>
      </c>
      <c r="M112" s="64">
        <v>0</v>
      </c>
      <c r="O112" s="66" t="s">
        <v>268</v>
      </c>
      <c r="P112" s="73" t="s">
        <v>59</v>
      </c>
      <c r="Q112" s="73" t="s">
        <v>59</v>
      </c>
      <c r="S112" s="66" t="str">
        <f t="shared" si="1"/>
        <v>Japan</v>
      </c>
    </row>
    <row r="113" spans="2:19">
      <c r="B113" s="66" t="s">
        <v>262</v>
      </c>
      <c r="C113" s="67">
        <v>9</v>
      </c>
      <c r="D113" s="68">
        <v>10</v>
      </c>
      <c r="E113" s="67" t="s">
        <v>135</v>
      </c>
      <c r="F113" s="67" t="s">
        <v>142</v>
      </c>
      <c r="G113" s="67" t="s">
        <v>143</v>
      </c>
      <c r="H113" s="69">
        <v>2</v>
      </c>
      <c r="I113" s="67" t="s">
        <v>130</v>
      </c>
      <c r="J113" s="70" t="s">
        <v>131</v>
      </c>
      <c r="K113" s="64">
        <v>0</v>
      </c>
      <c r="L113" s="64">
        <v>0</v>
      </c>
      <c r="M113" s="64">
        <v>0</v>
      </c>
      <c r="O113" s="66" t="s">
        <v>269</v>
      </c>
      <c r="P113" s="73" t="s">
        <v>59</v>
      </c>
      <c r="Q113" s="73" t="s">
        <v>59</v>
      </c>
      <c r="S113" s="66" t="str">
        <f t="shared" si="1"/>
        <v>Jordan</v>
      </c>
    </row>
    <row r="114" spans="2:19">
      <c r="B114" s="66" t="s">
        <v>263</v>
      </c>
      <c r="C114" s="67">
        <v>10</v>
      </c>
      <c r="D114" s="68">
        <v>11</v>
      </c>
      <c r="E114" s="67" t="s">
        <v>124</v>
      </c>
      <c r="F114" s="67" t="s">
        <v>122</v>
      </c>
      <c r="G114" s="67" t="s">
        <v>123</v>
      </c>
      <c r="H114" s="69" t="s">
        <v>135</v>
      </c>
      <c r="I114" s="67" t="s">
        <v>130</v>
      </c>
      <c r="J114" s="70" t="s">
        <v>131</v>
      </c>
      <c r="K114" s="64">
        <v>0</v>
      </c>
      <c r="L114" s="64">
        <v>0</v>
      </c>
      <c r="M114" s="64">
        <v>0</v>
      </c>
      <c r="O114" s="66" t="s">
        <v>270</v>
      </c>
      <c r="P114" s="73" t="s">
        <v>59</v>
      </c>
      <c r="Q114" s="73" t="s">
        <v>59</v>
      </c>
      <c r="S114" s="66" t="str">
        <f t="shared" si="1"/>
        <v>Kazakhstan</v>
      </c>
    </row>
    <row r="115" spans="2:19">
      <c r="B115" s="66" t="s">
        <v>264</v>
      </c>
      <c r="C115" s="67">
        <v>10</v>
      </c>
      <c r="D115" s="68">
        <v>11</v>
      </c>
      <c r="E115" s="67">
        <v>2</v>
      </c>
      <c r="F115" s="67" t="s">
        <v>142</v>
      </c>
      <c r="G115" s="67" t="s">
        <v>143</v>
      </c>
      <c r="H115" s="69">
        <v>2</v>
      </c>
      <c r="I115" s="67" t="s">
        <v>130</v>
      </c>
      <c r="J115" s="70" t="s">
        <v>131</v>
      </c>
      <c r="K115" s="64">
        <v>0</v>
      </c>
      <c r="L115" s="64">
        <v>0</v>
      </c>
      <c r="M115" s="64">
        <v>0</v>
      </c>
      <c r="O115" s="66" t="s">
        <v>171</v>
      </c>
      <c r="P115" s="73" t="s">
        <v>59</v>
      </c>
      <c r="Q115" s="73" t="s">
        <v>59</v>
      </c>
      <c r="S115" s="66" t="str">
        <f t="shared" si="1"/>
        <v>Kenya</v>
      </c>
    </row>
    <row r="116" spans="2:19">
      <c r="B116" s="66" t="s">
        <v>265</v>
      </c>
      <c r="C116" s="67">
        <v>10</v>
      </c>
      <c r="D116" s="68">
        <v>11</v>
      </c>
      <c r="E116" s="67">
        <v>6</v>
      </c>
      <c r="F116" s="67" t="s">
        <v>122</v>
      </c>
      <c r="G116" s="67" t="s">
        <v>123</v>
      </c>
      <c r="H116" s="69" t="s">
        <v>138</v>
      </c>
      <c r="I116" s="67" t="s">
        <v>125</v>
      </c>
      <c r="J116" s="70" t="s">
        <v>126</v>
      </c>
      <c r="K116" s="64">
        <v>0</v>
      </c>
      <c r="L116" s="64">
        <v>0</v>
      </c>
      <c r="M116" s="64">
        <v>0</v>
      </c>
      <c r="O116" s="66" t="s">
        <v>271</v>
      </c>
      <c r="P116" s="73" t="s">
        <v>59</v>
      </c>
      <c r="Q116" s="73" t="s">
        <v>59</v>
      </c>
      <c r="S116" s="66" t="str">
        <f t="shared" si="1"/>
        <v>Kiribati</v>
      </c>
    </row>
    <row r="117" spans="2:19">
      <c r="B117" s="66" t="s">
        <v>272</v>
      </c>
      <c r="C117" s="67">
        <v>10</v>
      </c>
      <c r="D117" s="68">
        <v>11</v>
      </c>
      <c r="E117" s="67" t="s">
        <v>188</v>
      </c>
      <c r="F117" s="67" t="s">
        <v>122</v>
      </c>
      <c r="G117" s="67" t="s">
        <v>123</v>
      </c>
      <c r="H117" s="64" t="s">
        <v>116</v>
      </c>
      <c r="I117" s="64" t="s">
        <v>116</v>
      </c>
      <c r="J117" s="75" t="s">
        <v>116</v>
      </c>
      <c r="K117" s="64">
        <v>0</v>
      </c>
      <c r="L117" s="64">
        <v>0</v>
      </c>
      <c r="M117" s="64">
        <v>0</v>
      </c>
      <c r="O117" s="66" t="s">
        <v>273</v>
      </c>
      <c r="P117" s="73" t="s">
        <v>59</v>
      </c>
      <c r="Q117" s="73" t="s">
        <v>59</v>
      </c>
      <c r="S117" s="66" t="str">
        <f t="shared" si="1"/>
        <v>Korea, D.P.R of (North)</v>
      </c>
    </row>
    <row r="118" spans="2:19">
      <c r="B118" s="66" t="s">
        <v>266</v>
      </c>
      <c r="C118" s="67">
        <v>8</v>
      </c>
      <c r="D118" s="68">
        <v>9</v>
      </c>
      <c r="E118" s="67" t="s">
        <v>135</v>
      </c>
      <c r="F118" s="67" t="s">
        <v>142</v>
      </c>
      <c r="G118" s="67" t="s">
        <v>123</v>
      </c>
      <c r="H118" s="69">
        <v>2</v>
      </c>
      <c r="I118" s="67" t="s">
        <v>130</v>
      </c>
      <c r="J118" s="70" t="s">
        <v>126</v>
      </c>
      <c r="K118" s="64">
        <v>0</v>
      </c>
      <c r="L118" s="64">
        <v>0</v>
      </c>
      <c r="M118" s="64">
        <v>0</v>
      </c>
      <c r="O118" s="66" t="s">
        <v>274</v>
      </c>
      <c r="P118" s="73" t="s">
        <v>59</v>
      </c>
      <c r="Q118" s="73" t="s">
        <v>59</v>
      </c>
      <c r="S118" s="66" t="str">
        <f t="shared" si="1"/>
        <v>Korea, Rep of (South)</v>
      </c>
    </row>
    <row r="119" spans="2:19">
      <c r="B119" s="66" t="s">
        <v>267</v>
      </c>
      <c r="C119" s="67">
        <v>5</v>
      </c>
      <c r="D119" s="68">
        <v>6</v>
      </c>
      <c r="E119" s="67" t="s">
        <v>124</v>
      </c>
      <c r="F119" s="67" t="s">
        <v>122</v>
      </c>
      <c r="G119" s="67" t="s">
        <v>123</v>
      </c>
      <c r="H119" s="69" t="s">
        <v>129</v>
      </c>
      <c r="I119" s="67" t="s">
        <v>130</v>
      </c>
      <c r="J119" s="70" t="s">
        <v>131</v>
      </c>
      <c r="K119" s="64">
        <v>0</v>
      </c>
      <c r="L119" s="64">
        <v>0</v>
      </c>
      <c r="M119" s="64">
        <v>0</v>
      </c>
      <c r="O119" s="66" t="s">
        <v>173</v>
      </c>
      <c r="P119" s="73" t="s">
        <v>59</v>
      </c>
      <c r="Q119" s="73" t="s">
        <v>59</v>
      </c>
      <c r="S119" s="66" t="str">
        <f t="shared" si="1"/>
        <v>Kosovo</v>
      </c>
    </row>
    <row r="120" spans="2:19">
      <c r="B120" s="66" t="s">
        <v>268</v>
      </c>
      <c r="C120" s="67">
        <v>9</v>
      </c>
      <c r="D120" s="68">
        <v>10</v>
      </c>
      <c r="E120" s="67" t="s">
        <v>135</v>
      </c>
      <c r="F120" s="67" t="s">
        <v>142</v>
      </c>
      <c r="G120" s="67" t="s">
        <v>143</v>
      </c>
      <c r="H120" s="69">
        <v>2</v>
      </c>
      <c r="I120" s="67" t="s">
        <v>130</v>
      </c>
      <c r="J120" s="70" t="s">
        <v>131</v>
      </c>
      <c r="K120" s="64">
        <v>0</v>
      </c>
      <c r="L120" s="64">
        <v>0</v>
      </c>
      <c r="M120" s="64">
        <v>0</v>
      </c>
      <c r="O120" s="66" t="s">
        <v>175</v>
      </c>
      <c r="P120" s="73" t="s">
        <v>59</v>
      </c>
      <c r="Q120" s="73" t="s">
        <v>59</v>
      </c>
      <c r="S120" s="66" t="str">
        <f t="shared" si="1"/>
        <v>Kuwait</v>
      </c>
    </row>
    <row r="121" spans="2:19">
      <c r="B121" s="66" t="s">
        <v>269</v>
      </c>
      <c r="C121" s="67">
        <v>10</v>
      </c>
      <c r="D121" s="68">
        <v>11</v>
      </c>
      <c r="E121" s="67" t="s">
        <v>135</v>
      </c>
      <c r="F121" s="67" t="s">
        <v>122</v>
      </c>
      <c r="G121" s="67" t="s">
        <v>123</v>
      </c>
      <c r="H121" s="69">
        <v>3</v>
      </c>
      <c r="I121" s="67" t="s">
        <v>130</v>
      </c>
      <c r="J121" s="70" t="s">
        <v>131</v>
      </c>
      <c r="K121" s="64">
        <v>0</v>
      </c>
      <c r="L121" s="64">
        <v>0</v>
      </c>
      <c r="M121" s="64">
        <v>0</v>
      </c>
      <c r="O121" s="66" t="s">
        <v>176</v>
      </c>
      <c r="P121" s="73" t="s">
        <v>59</v>
      </c>
      <c r="Q121" s="73" t="s">
        <v>59</v>
      </c>
      <c r="S121" s="66" t="str">
        <f t="shared" si="1"/>
        <v>Kyrgyzstan</v>
      </c>
    </row>
    <row r="122" spans="2:19">
      <c r="B122" s="66" t="s">
        <v>270</v>
      </c>
      <c r="C122" s="67">
        <v>8</v>
      </c>
      <c r="D122" s="68">
        <v>9</v>
      </c>
      <c r="E122" s="67" t="s">
        <v>135</v>
      </c>
      <c r="F122" s="67" t="s">
        <v>122</v>
      </c>
      <c r="G122" s="67" t="s">
        <v>123</v>
      </c>
      <c r="H122" s="69" t="s">
        <v>135</v>
      </c>
      <c r="I122" s="67" t="s">
        <v>125</v>
      </c>
      <c r="J122" s="67" t="s">
        <v>126</v>
      </c>
      <c r="K122" s="64">
        <v>0</v>
      </c>
      <c r="L122" s="64">
        <v>0</v>
      </c>
      <c r="M122" s="64">
        <v>0</v>
      </c>
      <c r="O122" s="66" t="s">
        <v>275</v>
      </c>
      <c r="P122" s="73" t="s">
        <v>59</v>
      </c>
      <c r="Q122" s="73" t="s">
        <v>59</v>
      </c>
      <c r="S122" s="66" t="str">
        <f t="shared" si="1"/>
        <v>Laos Peoples Dem. Rep</v>
      </c>
    </row>
    <row r="123" spans="2:19">
      <c r="B123" s="66" t="s">
        <v>171</v>
      </c>
      <c r="C123" s="67">
        <v>4</v>
      </c>
      <c r="D123" s="68">
        <v>5</v>
      </c>
      <c r="E123" s="67" t="s">
        <v>129</v>
      </c>
      <c r="F123" s="67" t="s">
        <v>142</v>
      </c>
      <c r="G123" s="67" t="s">
        <v>143</v>
      </c>
      <c r="H123" s="69">
        <v>1</v>
      </c>
      <c r="I123" s="67" t="s">
        <v>130</v>
      </c>
      <c r="J123" s="67" t="s">
        <v>131</v>
      </c>
      <c r="K123" s="68">
        <v>4</v>
      </c>
      <c r="L123" s="68">
        <v>5</v>
      </c>
      <c r="M123" s="67" t="s">
        <v>138</v>
      </c>
      <c r="O123" s="66" t="s">
        <v>276</v>
      </c>
      <c r="P123" s="73" t="s">
        <v>59</v>
      </c>
      <c r="Q123" s="73" t="s">
        <v>59</v>
      </c>
      <c r="S123" s="66" t="str">
        <f t="shared" si="1"/>
        <v>Latvia</v>
      </c>
    </row>
    <row r="124" spans="2:19">
      <c r="B124" s="66" t="s">
        <v>271</v>
      </c>
      <c r="C124" s="67">
        <v>10</v>
      </c>
      <c r="D124" s="68">
        <v>11</v>
      </c>
      <c r="E124" s="67" t="s">
        <v>135</v>
      </c>
      <c r="F124" s="67" t="s">
        <v>142</v>
      </c>
      <c r="G124" s="67" t="s">
        <v>143</v>
      </c>
      <c r="H124" s="69">
        <v>2</v>
      </c>
      <c r="I124" s="67" t="s">
        <v>130</v>
      </c>
      <c r="J124" s="70" t="s">
        <v>131</v>
      </c>
      <c r="K124" s="64">
        <v>0</v>
      </c>
      <c r="L124" s="64">
        <v>0</v>
      </c>
      <c r="M124" s="64">
        <v>0</v>
      </c>
      <c r="O124" s="66" t="s">
        <v>277</v>
      </c>
      <c r="P124" s="73" t="s">
        <v>59</v>
      </c>
      <c r="Q124" s="73" t="s">
        <v>59</v>
      </c>
      <c r="S124" s="66" t="str">
        <f t="shared" si="1"/>
        <v>Lebanon</v>
      </c>
    </row>
    <row r="125" spans="2:19">
      <c r="B125" s="66" t="s">
        <v>273</v>
      </c>
      <c r="C125" s="67">
        <v>10</v>
      </c>
      <c r="D125" s="68">
        <v>11</v>
      </c>
      <c r="E125" s="67" t="s">
        <v>124</v>
      </c>
      <c r="F125" s="67" t="s">
        <v>122</v>
      </c>
      <c r="G125" s="67" t="s">
        <v>123</v>
      </c>
      <c r="H125" s="69" t="s">
        <v>135</v>
      </c>
      <c r="I125" s="67" t="s">
        <v>125</v>
      </c>
      <c r="J125" s="70" t="s">
        <v>126</v>
      </c>
      <c r="K125" s="64">
        <v>0</v>
      </c>
      <c r="L125" s="64">
        <v>0</v>
      </c>
      <c r="M125" s="64">
        <v>0</v>
      </c>
      <c r="O125" s="66" t="s">
        <v>278</v>
      </c>
      <c r="P125" s="73" t="s">
        <v>59</v>
      </c>
      <c r="Q125" s="73" t="s">
        <v>59</v>
      </c>
      <c r="S125" s="66" t="str">
        <f t="shared" si="1"/>
        <v>Lesotho</v>
      </c>
    </row>
    <row r="126" spans="2:19">
      <c r="B126" s="66" t="s">
        <v>279</v>
      </c>
      <c r="C126" s="67">
        <v>10</v>
      </c>
      <c r="D126" s="68">
        <v>11</v>
      </c>
      <c r="E126" s="67" t="s">
        <v>135</v>
      </c>
      <c r="F126" s="67" t="s">
        <v>122</v>
      </c>
      <c r="G126" s="67" t="s">
        <v>123</v>
      </c>
      <c r="H126" s="64" t="s">
        <v>116</v>
      </c>
      <c r="I126" s="64" t="s">
        <v>116</v>
      </c>
      <c r="J126" s="75" t="s">
        <v>116</v>
      </c>
      <c r="K126" s="64">
        <v>0</v>
      </c>
      <c r="L126" s="64">
        <v>0</v>
      </c>
      <c r="M126" s="64">
        <v>0</v>
      </c>
      <c r="O126" s="66" t="s">
        <v>280</v>
      </c>
      <c r="P126" s="73" t="s">
        <v>59</v>
      </c>
      <c r="Q126" s="73" t="s">
        <v>59</v>
      </c>
      <c r="S126" s="66" t="str">
        <f t="shared" si="1"/>
        <v>Liberia</v>
      </c>
    </row>
    <row r="127" spans="2:19">
      <c r="B127" s="66" t="s">
        <v>274</v>
      </c>
      <c r="C127" s="67">
        <v>10</v>
      </c>
      <c r="D127" s="68">
        <v>11</v>
      </c>
      <c r="E127" s="67" t="s">
        <v>147</v>
      </c>
      <c r="F127" s="67" t="s">
        <v>122</v>
      </c>
      <c r="G127" s="67" t="s">
        <v>123</v>
      </c>
      <c r="H127" s="69" t="s">
        <v>135</v>
      </c>
      <c r="I127" s="67" t="s">
        <v>130</v>
      </c>
      <c r="J127" s="70" t="s">
        <v>131</v>
      </c>
      <c r="K127" s="64">
        <v>0</v>
      </c>
      <c r="L127" s="64">
        <v>0</v>
      </c>
      <c r="M127" s="64">
        <v>0</v>
      </c>
      <c r="O127" s="66" t="s">
        <v>281</v>
      </c>
      <c r="P127" s="73" t="s">
        <v>59</v>
      </c>
      <c r="Q127" s="73" t="s">
        <v>59</v>
      </c>
      <c r="S127" s="66" t="str">
        <f t="shared" si="1"/>
        <v>Libya</v>
      </c>
    </row>
    <row r="128" spans="2:19">
      <c r="B128" s="66" t="s">
        <v>173</v>
      </c>
      <c r="C128" s="67">
        <v>5</v>
      </c>
      <c r="D128" s="68">
        <v>6</v>
      </c>
      <c r="E128" s="67">
        <v>1</v>
      </c>
      <c r="F128" s="67" t="s">
        <v>122</v>
      </c>
      <c r="G128" s="67" t="s">
        <v>123</v>
      </c>
      <c r="H128" s="69">
        <v>1</v>
      </c>
      <c r="I128" s="67" t="s">
        <v>125</v>
      </c>
      <c r="J128" s="70" t="s">
        <v>126</v>
      </c>
      <c r="K128" s="68">
        <v>5</v>
      </c>
      <c r="L128" s="68">
        <v>3</v>
      </c>
      <c r="M128" s="67">
        <v>3</v>
      </c>
      <c r="O128" s="66" t="s">
        <v>282</v>
      </c>
      <c r="P128" s="73" t="s">
        <v>59</v>
      </c>
      <c r="Q128" s="73" t="s">
        <v>59</v>
      </c>
      <c r="S128" s="66" t="str">
        <f t="shared" si="1"/>
        <v>Liechtenstein</v>
      </c>
    </row>
    <row r="129" spans="2:19">
      <c r="B129" s="66" t="s">
        <v>175</v>
      </c>
      <c r="C129" s="67">
        <v>4</v>
      </c>
      <c r="D129" s="68">
        <v>5</v>
      </c>
      <c r="E129" s="67" t="s">
        <v>129</v>
      </c>
      <c r="F129" s="67" t="s">
        <v>142</v>
      </c>
      <c r="G129" s="67" t="s">
        <v>143</v>
      </c>
      <c r="H129" s="69">
        <v>1</v>
      </c>
      <c r="I129" s="67" t="s">
        <v>130</v>
      </c>
      <c r="J129" s="70" t="s">
        <v>131</v>
      </c>
      <c r="K129" s="68">
        <v>4</v>
      </c>
      <c r="L129" s="68">
        <v>4</v>
      </c>
      <c r="M129" s="67" t="s">
        <v>138</v>
      </c>
      <c r="O129" s="66" t="s">
        <v>283</v>
      </c>
      <c r="P129" s="73" t="s">
        <v>59</v>
      </c>
      <c r="Q129" s="73" t="s">
        <v>59</v>
      </c>
      <c r="S129" s="66" t="str">
        <f t="shared" si="1"/>
        <v>Lithuania</v>
      </c>
    </row>
    <row r="130" spans="2:19">
      <c r="B130" s="66" t="s">
        <v>176</v>
      </c>
      <c r="C130" s="67">
        <v>1</v>
      </c>
      <c r="D130" s="68">
        <v>2</v>
      </c>
      <c r="E130" s="67">
        <v>1</v>
      </c>
      <c r="F130" s="67" t="s">
        <v>142</v>
      </c>
      <c r="G130" s="67" t="s">
        <v>143</v>
      </c>
      <c r="H130" s="69">
        <v>1</v>
      </c>
      <c r="I130" s="67" t="s">
        <v>130</v>
      </c>
      <c r="J130" s="70" t="s">
        <v>131</v>
      </c>
      <c r="K130" s="68">
        <v>1</v>
      </c>
      <c r="L130" s="68">
        <v>2</v>
      </c>
      <c r="M130" s="67">
        <v>2</v>
      </c>
      <c r="O130" s="66" t="s">
        <v>284</v>
      </c>
      <c r="P130" s="73" t="s">
        <v>59</v>
      </c>
      <c r="Q130" s="73" t="s">
        <v>59</v>
      </c>
      <c r="S130" s="66" t="str">
        <f t="shared" si="1"/>
        <v>Luxembourg</v>
      </c>
    </row>
    <row r="131" spans="2:19">
      <c r="B131" s="66" t="s">
        <v>275</v>
      </c>
      <c r="C131" s="67">
        <v>8</v>
      </c>
      <c r="D131" s="68">
        <v>9</v>
      </c>
      <c r="E131" s="67">
        <v>2</v>
      </c>
      <c r="F131" s="67" t="s">
        <v>142</v>
      </c>
      <c r="G131" s="67" t="s">
        <v>123</v>
      </c>
      <c r="H131" s="69" t="s">
        <v>135</v>
      </c>
      <c r="I131" s="67" t="s">
        <v>125</v>
      </c>
      <c r="J131" s="70" t="s">
        <v>126</v>
      </c>
      <c r="K131" s="64">
        <v>0</v>
      </c>
      <c r="L131" s="64">
        <v>0</v>
      </c>
      <c r="M131" s="64">
        <v>0</v>
      </c>
      <c r="O131" s="66" t="s">
        <v>285</v>
      </c>
      <c r="P131" s="73" t="s">
        <v>59</v>
      </c>
      <c r="Q131" s="73" t="s">
        <v>59</v>
      </c>
      <c r="S131" s="66" t="str">
        <f t="shared" si="1"/>
        <v>Macau</v>
      </c>
    </row>
    <row r="132" spans="2:19">
      <c r="B132" s="66" t="s">
        <v>276</v>
      </c>
      <c r="C132" s="67">
        <v>5</v>
      </c>
      <c r="D132" s="68">
        <v>6</v>
      </c>
      <c r="E132" s="67" t="s">
        <v>129</v>
      </c>
      <c r="F132" s="67" t="s">
        <v>122</v>
      </c>
      <c r="G132" s="67" t="s">
        <v>123</v>
      </c>
      <c r="H132" s="69" t="s">
        <v>129</v>
      </c>
      <c r="I132" s="67" t="s">
        <v>130</v>
      </c>
      <c r="J132" s="67" t="s">
        <v>131</v>
      </c>
      <c r="K132" s="64">
        <v>0</v>
      </c>
      <c r="L132" s="64">
        <v>0</v>
      </c>
      <c r="M132" s="64">
        <v>0</v>
      </c>
      <c r="O132" s="66" t="s">
        <v>286</v>
      </c>
      <c r="P132" s="73" t="s">
        <v>59</v>
      </c>
      <c r="Q132" s="73" t="s">
        <v>59</v>
      </c>
      <c r="S132" s="66" t="str">
        <f t="shared" si="1"/>
        <v>Macedonia</v>
      </c>
    </row>
    <row r="133" spans="2:19">
      <c r="B133" s="66" t="s">
        <v>277</v>
      </c>
      <c r="C133" s="67">
        <v>10</v>
      </c>
      <c r="D133" s="68">
        <v>11</v>
      </c>
      <c r="E133" s="67" t="s">
        <v>147</v>
      </c>
      <c r="F133" s="67" t="s">
        <v>122</v>
      </c>
      <c r="G133" s="67" t="s">
        <v>123</v>
      </c>
      <c r="H133" s="69" t="s">
        <v>124</v>
      </c>
      <c r="I133" s="67" t="s">
        <v>130</v>
      </c>
      <c r="J133" s="70" t="s">
        <v>131</v>
      </c>
      <c r="K133" s="64">
        <v>0</v>
      </c>
      <c r="L133" s="64">
        <v>0</v>
      </c>
      <c r="M133" s="64">
        <v>0</v>
      </c>
      <c r="O133" s="66" t="s">
        <v>287</v>
      </c>
      <c r="P133" s="73" t="s">
        <v>59</v>
      </c>
      <c r="Q133" s="73" t="s">
        <v>59</v>
      </c>
      <c r="S133" s="66" t="str">
        <f t="shared" si="1"/>
        <v>Madagascar</v>
      </c>
    </row>
    <row r="134" spans="2:19">
      <c r="B134" s="66" t="s">
        <v>278</v>
      </c>
      <c r="C134" s="67">
        <v>10</v>
      </c>
      <c r="D134" s="68">
        <v>11</v>
      </c>
      <c r="E134" s="67" t="s">
        <v>147</v>
      </c>
      <c r="F134" s="67" t="s">
        <v>122</v>
      </c>
      <c r="G134" s="67" t="s">
        <v>123</v>
      </c>
      <c r="H134" s="69" t="s">
        <v>135</v>
      </c>
      <c r="I134" s="67" t="s">
        <v>125</v>
      </c>
      <c r="J134" s="70" t="s">
        <v>126</v>
      </c>
      <c r="K134" s="64">
        <v>0</v>
      </c>
      <c r="L134" s="64">
        <v>0</v>
      </c>
      <c r="M134" s="64">
        <v>0</v>
      </c>
      <c r="O134" s="66" t="s">
        <v>288</v>
      </c>
      <c r="P134" s="73" t="s">
        <v>59</v>
      </c>
      <c r="Q134" s="73" t="s">
        <v>59</v>
      </c>
      <c r="S134" s="66" t="str">
        <f t="shared" si="1"/>
        <v>Malawi</v>
      </c>
    </row>
    <row r="135" spans="2:19">
      <c r="B135" s="66" t="s">
        <v>280</v>
      </c>
      <c r="C135" s="67">
        <v>8</v>
      </c>
      <c r="D135" s="68">
        <v>9</v>
      </c>
      <c r="E135" s="67" t="s">
        <v>135</v>
      </c>
      <c r="F135" s="67" t="s">
        <v>142</v>
      </c>
      <c r="G135" s="67" t="s">
        <v>123</v>
      </c>
      <c r="H135" s="69" t="s">
        <v>135</v>
      </c>
      <c r="I135" s="67" t="s">
        <v>130</v>
      </c>
      <c r="J135" s="70" t="s">
        <v>131</v>
      </c>
      <c r="K135" s="64">
        <v>0</v>
      </c>
      <c r="L135" s="64">
        <v>0</v>
      </c>
      <c r="M135" s="64">
        <v>0</v>
      </c>
      <c r="O135" s="66" t="s">
        <v>289</v>
      </c>
      <c r="P135" s="73" t="s">
        <v>59</v>
      </c>
      <c r="Q135" s="73" t="s">
        <v>59</v>
      </c>
      <c r="S135" s="66" t="str">
        <f t="shared" ref="S135:S198" si="2">IF($S$4=2,O135,B135)</f>
        <v>Malaysia</v>
      </c>
    </row>
    <row r="136" spans="2:19">
      <c r="B136" s="66" t="s">
        <v>281</v>
      </c>
      <c r="C136" s="67">
        <v>10</v>
      </c>
      <c r="D136" s="68">
        <v>11</v>
      </c>
      <c r="E136" s="67" t="s">
        <v>210</v>
      </c>
      <c r="F136" s="67" t="s">
        <v>142</v>
      </c>
      <c r="G136" s="67" t="s">
        <v>123</v>
      </c>
      <c r="H136" s="69">
        <v>3</v>
      </c>
      <c r="I136" s="67" t="s">
        <v>125</v>
      </c>
      <c r="J136" s="70" t="s">
        <v>126</v>
      </c>
      <c r="K136" s="64">
        <v>0</v>
      </c>
      <c r="L136" s="64">
        <v>0</v>
      </c>
      <c r="M136" s="64">
        <v>0</v>
      </c>
      <c r="O136" s="66" t="s">
        <v>290</v>
      </c>
      <c r="P136" s="73" t="s">
        <v>59</v>
      </c>
      <c r="Q136" s="73" t="s">
        <v>59</v>
      </c>
      <c r="S136" s="66" t="str">
        <f t="shared" si="2"/>
        <v>Maldives</v>
      </c>
    </row>
    <row r="137" spans="2:19">
      <c r="B137" s="66" t="s">
        <v>282</v>
      </c>
      <c r="C137" s="67">
        <v>10</v>
      </c>
      <c r="D137" s="68">
        <v>11</v>
      </c>
      <c r="E137" s="67" t="s">
        <v>135</v>
      </c>
      <c r="F137" s="67" t="s">
        <v>122</v>
      </c>
      <c r="G137" s="67" t="s">
        <v>123</v>
      </c>
      <c r="H137" s="69" t="s">
        <v>135</v>
      </c>
      <c r="I137" s="67" t="s">
        <v>130</v>
      </c>
      <c r="J137" s="70" t="s">
        <v>131</v>
      </c>
      <c r="K137" s="64">
        <v>0</v>
      </c>
      <c r="L137" s="64">
        <v>0</v>
      </c>
      <c r="M137" s="64">
        <v>0</v>
      </c>
      <c r="O137" s="66" t="s">
        <v>291</v>
      </c>
      <c r="P137" s="73" t="s">
        <v>59</v>
      </c>
      <c r="Q137" s="73" t="s">
        <v>59</v>
      </c>
      <c r="S137" s="66" t="str">
        <f t="shared" si="2"/>
        <v>Mali</v>
      </c>
    </row>
    <row r="138" spans="2:19">
      <c r="B138" s="66" t="s">
        <v>283</v>
      </c>
      <c r="C138" s="67">
        <v>4</v>
      </c>
      <c r="D138" s="68">
        <v>5</v>
      </c>
      <c r="E138" s="67" t="s">
        <v>134</v>
      </c>
      <c r="F138" s="67" t="s">
        <v>142</v>
      </c>
      <c r="G138" s="67" t="s">
        <v>143</v>
      </c>
      <c r="H138" s="69" t="s">
        <v>129</v>
      </c>
      <c r="I138" s="67" t="s">
        <v>130</v>
      </c>
      <c r="J138" s="70" t="s">
        <v>131</v>
      </c>
      <c r="K138" s="64">
        <v>0</v>
      </c>
      <c r="L138" s="64">
        <v>0</v>
      </c>
      <c r="M138" s="64">
        <v>0</v>
      </c>
      <c r="O138" s="66" t="s">
        <v>292</v>
      </c>
      <c r="P138" s="73" t="s">
        <v>59</v>
      </c>
      <c r="Q138" s="73" t="s">
        <v>59</v>
      </c>
      <c r="S138" s="66" t="str">
        <f t="shared" si="2"/>
        <v>Malta</v>
      </c>
    </row>
    <row r="139" spans="2:19">
      <c r="B139" s="66" t="s">
        <v>284</v>
      </c>
      <c r="C139" s="67">
        <v>10</v>
      </c>
      <c r="D139" s="68">
        <v>11</v>
      </c>
      <c r="E139" s="67">
        <v>6</v>
      </c>
      <c r="F139" s="67" t="s">
        <v>122</v>
      </c>
      <c r="G139" s="67" t="s">
        <v>123</v>
      </c>
      <c r="H139" s="69">
        <v>6</v>
      </c>
      <c r="I139" s="67" t="s">
        <v>125</v>
      </c>
      <c r="J139" s="70" t="s">
        <v>126</v>
      </c>
      <c r="K139" s="64">
        <v>0</v>
      </c>
      <c r="L139" s="64">
        <v>0</v>
      </c>
      <c r="M139" s="64">
        <v>0</v>
      </c>
      <c r="O139" s="66" t="s">
        <v>293</v>
      </c>
      <c r="P139" s="73" t="s">
        <v>59</v>
      </c>
      <c r="Q139" s="73" t="s">
        <v>59</v>
      </c>
      <c r="S139" s="66" t="str">
        <f t="shared" si="2"/>
        <v>Marshall Islands</v>
      </c>
    </row>
    <row r="140" spans="2:19">
      <c r="B140" s="66" t="s">
        <v>285</v>
      </c>
      <c r="C140" s="67">
        <v>10</v>
      </c>
      <c r="D140" s="68">
        <v>11</v>
      </c>
      <c r="E140" s="67" t="s">
        <v>124</v>
      </c>
      <c r="F140" s="67" t="s">
        <v>122</v>
      </c>
      <c r="G140" s="67" t="s">
        <v>123</v>
      </c>
      <c r="H140" s="69" t="s">
        <v>124</v>
      </c>
      <c r="I140" s="67" t="s">
        <v>125</v>
      </c>
      <c r="J140" s="67" t="s">
        <v>126</v>
      </c>
      <c r="K140" s="64">
        <v>0</v>
      </c>
      <c r="L140" s="64">
        <v>0</v>
      </c>
      <c r="M140" s="64">
        <v>0</v>
      </c>
      <c r="O140" s="66" t="s">
        <v>294</v>
      </c>
      <c r="P140" s="73" t="s">
        <v>59</v>
      </c>
      <c r="Q140" s="73" t="s">
        <v>59</v>
      </c>
      <c r="S140" s="66" t="str">
        <f t="shared" si="2"/>
        <v>Martinique</v>
      </c>
    </row>
    <row r="141" spans="2:19">
      <c r="B141" s="66" t="s">
        <v>286</v>
      </c>
      <c r="C141" s="67">
        <v>10</v>
      </c>
      <c r="D141" s="68">
        <v>11</v>
      </c>
      <c r="E141" s="67" t="s">
        <v>124</v>
      </c>
      <c r="F141" s="67" t="s">
        <v>122</v>
      </c>
      <c r="G141" s="67" t="s">
        <v>123</v>
      </c>
      <c r="H141" s="69" t="s">
        <v>135</v>
      </c>
      <c r="I141" s="67" t="s">
        <v>125</v>
      </c>
      <c r="J141" s="70" t="s">
        <v>126</v>
      </c>
      <c r="K141" s="64">
        <v>0</v>
      </c>
      <c r="L141" s="64">
        <v>0</v>
      </c>
      <c r="M141" s="64">
        <v>0</v>
      </c>
      <c r="O141" s="66" t="s">
        <v>295</v>
      </c>
      <c r="P141" s="73" t="s">
        <v>59</v>
      </c>
      <c r="Q141" s="73" t="s">
        <v>59</v>
      </c>
      <c r="S141" s="66" t="str">
        <f t="shared" si="2"/>
        <v>Mauritania</v>
      </c>
    </row>
    <row r="142" spans="2:19">
      <c r="B142" s="66" t="s">
        <v>287</v>
      </c>
      <c r="C142" s="67">
        <v>10</v>
      </c>
      <c r="D142" s="68">
        <v>11</v>
      </c>
      <c r="E142" s="67" t="s">
        <v>135</v>
      </c>
      <c r="F142" s="67" t="s">
        <v>122</v>
      </c>
      <c r="G142" s="67" t="s">
        <v>123</v>
      </c>
      <c r="H142" s="69" t="s">
        <v>135</v>
      </c>
      <c r="I142" s="67" t="s">
        <v>125</v>
      </c>
      <c r="J142" s="70" t="s">
        <v>126</v>
      </c>
      <c r="K142" s="64">
        <v>0</v>
      </c>
      <c r="L142" s="64">
        <v>0</v>
      </c>
      <c r="M142" s="64">
        <v>0</v>
      </c>
      <c r="O142" s="66" t="s">
        <v>296</v>
      </c>
      <c r="P142" s="73" t="s">
        <v>59</v>
      </c>
      <c r="Q142" s="73" t="s">
        <v>59</v>
      </c>
      <c r="S142" s="66" t="str">
        <f t="shared" si="2"/>
        <v>Mauritius</v>
      </c>
    </row>
    <row r="143" spans="2:19">
      <c r="B143" s="66" t="s">
        <v>288</v>
      </c>
      <c r="C143" s="67">
        <v>10</v>
      </c>
      <c r="D143" s="68">
        <v>11</v>
      </c>
      <c r="E143" s="67" t="s">
        <v>146</v>
      </c>
      <c r="F143" s="67" t="s">
        <v>122</v>
      </c>
      <c r="G143" s="67" t="s">
        <v>123</v>
      </c>
      <c r="H143" s="69" t="s">
        <v>147</v>
      </c>
      <c r="I143" s="67" t="s">
        <v>125</v>
      </c>
      <c r="J143" s="70" t="s">
        <v>126</v>
      </c>
      <c r="K143" s="64">
        <v>0</v>
      </c>
      <c r="L143" s="64">
        <v>0</v>
      </c>
      <c r="M143" s="64">
        <v>0</v>
      </c>
      <c r="O143" s="66" t="s">
        <v>297</v>
      </c>
      <c r="P143" s="73" t="s">
        <v>59</v>
      </c>
      <c r="Q143" s="73" t="s">
        <v>59</v>
      </c>
      <c r="S143" s="66" t="str">
        <f t="shared" si="2"/>
        <v>Mayotte</v>
      </c>
    </row>
    <row r="144" spans="2:19">
      <c r="B144" s="66" t="s">
        <v>289</v>
      </c>
      <c r="C144" s="67">
        <v>7</v>
      </c>
      <c r="D144" s="68">
        <v>8</v>
      </c>
      <c r="E144" s="67" t="s">
        <v>135</v>
      </c>
      <c r="F144" s="67" t="s">
        <v>122</v>
      </c>
      <c r="G144" s="67" t="s">
        <v>123</v>
      </c>
      <c r="H144" s="69" t="s">
        <v>135</v>
      </c>
      <c r="I144" s="67" t="s">
        <v>130</v>
      </c>
      <c r="J144" s="70" t="s">
        <v>126</v>
      </c>
      <c r="K144" s="64">
        <v>0</v>
      </c>
      <c r="L144" s="64">
        <v>0</v>
      </c>
      <c r="M144" s="64">
        <v>0</v>
      </c>
      <c r="O144" s="66" t="s">
        <v>298</v>
      </c>
      <c r="P144" s="73" t="s">
        <v>59</v>
      </c>
      <c r="Q144" s="73" t="s">
        <v>59</v>
      </c>
      <c r="S144" s="66" t="str">
        <f t="shared" si="2"/>
        <v>Mexico</v>
      </c>
    </row>
    <row r="145" spans="2:19">
      <c r="B145" s="66" t="s">
        <v>290</v>
      </c>
      <c r="C145" s="67">
        <v>10</v>
      </c>
      <c r="D145" s="68">
        <v>11</v>
      </c>
      <c r="E145" s="67" t="s">
        <v>147</v>
      </c>
      <c r="F145" s="67" t="s">
        <v>122</v>
      </c>
      <c r="G145" s="67" t="s">
        <v>123</v>
      </c>
      <c r="H145" s="69" t="s">
        <v>135</v>
      </c>
      <c r="I145" s="67" t="s">
        <v>125</v>
      </c>
      <c r="J145" s="70" t="s">
        <v>126</v>
      </c>
      <c r="K145" s="64">
        <v>0</v>
      </c>
      <c r="L145" s="64">
        <v>0</v>
      </c>
      <c r="M145" s="64">
        <v>0</v>
      </c>
      <c r="O145" s="66" t="s">
        <v>299</v>
      </c>
      <c r="P145" s="73" t="s">
        <v>59</v>
      </c>
      <c r="Q145" s="73" t="s">
        <v>59</v>
      </c>
      <c r="S145" s="66" t="str">
        <f t="shared" si="2"/>
        <v>Micronesia, Fed States Of</v>
      </c>
    </row>
    <row r="146" spans="2:19">
      <c r="B146" s="66" t="s">
        <v>291</v>
      </c>
      <c r="C146" s="67">
        <v>5</v>
      </c>
      <c r="D146" s="68">
        <v>6</v>
      </c>
      <c r="E146" s="67" t="s">
        <v>135</v>
      </c>
      <c r="F146" s="67" t="s">
        <v>122</v>
      </c>
      <c r="G146" s="67" t="s">
        <v>123</v>
      </c>
      <c r="H146" s="69" t="s">
        <v>135</v>
      </c>
      <c r="I146" s="67" t="s">
        <v>130</v>
      </c>
      <c r="J146" s="70" t="s">
        <v>131</v>
      </c>
      <c r="K146" s="64">
        <v>0</v>
      </c>
      <c r="L146" s="64">
        <v>0</v>
      </c>
      <c r="M146" s="64">
        <v>0</v>
      </c>
      <c r="O146" s="66" t="s">
        <v>300</v>
      </c>
      <c r="P146" s="73" t="s">
        <v>59</v>
      </c>
      <c r="Q146" s="73" t="s">
        <v>59</v>
      </c>
      <c r="S146" s="66" t="str">
        <f t="shared" si="2"/>
        <v>Moldova, Rep of</v>
      </c>
    </row>
    <row r="147" spans="2:19">
      <c r="B147" s="66" t="s">
        <v>292</v>
      </c>
      <c r="C147" s="67">
        <v>2</v>
      </c>
      <c r="D147" s="68">
        <v>3</v>
      </c>
      <c r="E147" s="67">
        <v>1</v>
      </c>
      <c r="F147" s="67" t="s">
        <v>122</v>
      </c>
      <c r="G147" s="67" t="s">
        <v>123</v>
      </c>
      <c r="H147" s="69">
        <v>1</v>
      </c>
      <c r="I147" s="67" t="s">
        <v>125</v>
      </c>
      <c r="J147" s="70" t="s">
        <v>126</v>
      </c>
      <c r="K147" s="64">
        <v>0</v>
      </c>
      <c r="L147" s="64">
        <v>0</v>
      </c>
      <c r="M147" s="64">
        <v>0</v>
      </c>
      <c r="O147" s="66" t="s">
        <v>178</v>
      </c>
      <c r="P147" s="73" t="s">
        <v>59</v>
      </c>
      <c r="Q147" s="73" t="s">
        <v>59</v>
      </c>
      <c r="S147" s="66" t="str">
        <f t="shared" si="2"/>
        <v>Monaco</v>
      </c>
    </row>
    <row r="148" spans="2:19">
      <c r="B148" s="66" t="s">
        <v>293</v>
      </c>
      <c r="C148" s="67">
        <v>10</v>
      </c>
      <c r="D148" s="68">
        <v>11</v>
      </c>
      <c r="E148" s="67" t="s">
        <v>147</v>
      </c>
      <c r="F148" s="67" t="s">
        <v>122</v>
      </c>
      <c r="G148" s="67" t="s">
        <v>123</v>
      </c>
      <c r="H148" s="69" t="s">
        <v>147</v>
      </c>
      <c r="I148" s="67" t="s">
        <v>125</v>
      </c>
      <c r="J148" s="70" t="s">
        <v>126</v>
      </c>
      <c r="K148" s="64">
        <v>0</v>
      </c>
      <c r="L148" s="64">
        <v>0</v>
      </c>
      <c r="M148" s="64">
        <v>0</v>
      </c>
      <c r="O148" s="66" t="s">
        <v>301</v>
      </c>
      <c r="P148" s="73" t="s">
        <v>59</v>
      </c>
      <c r="Q148" s="73" t="s">
        <v>59</v>
      </c>
      <c r="S148" s="66" t="str">
        <f t="shared" si="2"/>
        <v>Mongolia</v>
      </c>
    </row>
    <row r="149" spans="2:19">
      <c r="B149" s="66" t="s">
        <v>294</v>
      </c>
      <c r="C149" s="67">
        <v>5</v>
      </c>
      <c r="D149" s="68">
        <v>6</v>
      </c>
      <c r="E149" s="67" t="s">
        <v>135</v>
      </c>
      <c r="F149" s="67" t="s">
        <v>122</v>
      </c>
      <c r="G149" s="67" t="s">
        <v>123</v>
      </c>
      <c r="H149" s="69" t="s">
        <v>129</v>
      </c>
      <c r="I149" s="67" t="s">
        <v>130</v>
      </c>
      <c r="J149" s="70" t="s">
        <v>131</v>
      </c>
      <c r="K149" s="64">
        <v>0</v>
      </c>
      <c r="L149" s="64">
        <v>0</v>
      </c>
      <c r="M149" s="64">
        <v>0</v>
      </c>
      <c r="O149" s="66" t="s">
        <v>302</v>
      </c>
      <c r="P149" s="73" t="s">
        <v>59</v>
      </c>
      <c r="Q149" s="73" t="s">
        <v>59</v>
      </c>
      <c r="S149" s="66" t="str">
        <f t="shared" si="2"/>
        <v>Montenegro</v>
      </c>
    </row>
    <row r="150" spans="2:19">
      <c r="B150" s="66" t="s">
        <v>295</v>
      </c>
      <c r="C150" s="67">
        <v>10</v>
      </c>
      <c r="D150" s="68">
        <v>11</v>
      </c>
      <c r="E150" s="67" t="s">
        <v>121</v>
      </c>
      <c r="F150" s="67" t="s">
        <v>122</v>
      </c>
      <c r="G150" s="67" t="s">
        <v>123</v>
      </c>
      <c r="H150" s="69" t="s">
        <v>147</v>
      </c>
      <c r="I150" s="67" t="s">
        <v>130</v>
      </c>
      <c r="J150" s="70" t="s">
        <v>126</v>
      </c>
      <c r="K150" s="64">
        <v>0</v>
      </c>
      <c r="L150" s="64">
        <v>0</v>
      </c>
      <c r="M150" s="64">
        <v>0</v>
      </c>
      <c r="O150" s="66" t="s">
        <v>303</v>
      </c>
      <c r="P150" s="73" t="s">
        <v>59</v>
      </c>
      <c r="Q150" s="73" t="s">
        <v>59</v>
      </c>
      <c r="S150" s="66" t="str">
        <f t="shared" si="2"/>
        <v>Montserrat</v>
      </c>
    </row>
    <row r="151" spans="2:19">
      <c r="B151" s="66" t="s">
        <v>296</v>
      </c>
      <c r="C151" s="67">
        <v>10</v>
      </c>
      <c r="D151" s="68">
        <v>11</v>
      </c>
      <c r="E151" s="67" t="s">
        <v>129</v>
      </c>
      <c r="F151" s="67" t="s">
        <v>122</v>
      </c>
      <c r="G151" s="67" t="s">
        <v>123</v>
      </c>
      <c r="H151" s="69" t="s">
        <v>129</v>
      </c>
      <c r="I151" s="67" t="s">
        <v>130</v>
      </c>
      <c r="J151" s="70" t="s">
        <v>131</v>
      </c>
      <c r="K151" s="64">
        <v>0</v>
      </c>
      <c r="L151" s="64">
        <v>0</v>
      </c>
      <c r="M151" s="64">
        <v>0</v>
      </c>
      <c r="O151" s="66" t="s">
        <v>304</v>
      </c>
      <c r="P151" s="73" t="s">
        <v>59</v>
      </c>
      <c r="Q151" s="73" t="s">
        <v>59</v>
      </c>
      <c r="S151" s="66" t="str">
        <f t="shared" si="2"/>
        <v>Morocco</v>
      </c>
    </row>
    <row r="152" spans="2:19">
      <c r="B152" s="66" t="s">
        <v>297</v>
      </c>
      <c r="C152" s="67">
        <v>10</v>
      </c>
      <c r="D152" s="68">
        <v>11</v>
      </c>
      <c r="E152" s="67" t="s">
        <v>135</v>
      </c>
      <c r="F152" s="67" t="s">
        <v>122</v>
      </c>
      <c r="G152" s="67" t="s">
        <v>123</v>
      </c>
      <c r="H152" s="69" t="s">
        <v>135</v>
      </c>
      <c r="I152" s="67" t="s">
        <v>125</v>
      </c>
      <c r="J152" s="70" t="s">
        <v>126</v>
      </c>
      <c r="K152" s="64">
        <v>0</v>
      </c>
      <c r="L152" s="64">
        <v>0</v>
      </c>
      <c r="M152" s="64">
        <v>0</v>
      </c>
      <c r="O152" s="66" t="s">
        <v>305</v>
      </c>
      <c r="P152" s="73" t="s">
        <v>59</v>
      </c>
      <c r="Q152" s="73" t="s">
        <v>59</v>
      </c>
      <c r="S152" s="66" t="str">
        <f t="shared" si="2"/>
        <v>Mozambique</v>
      </c>
    </row>
    <row r="153" spans="2:19">
      <c r="B153" s="66" t="s">
        <v>306</v>
      </c>
      <c r="C153" s="67">
        <v>8</v>
      </c>
      <c r="D153" s="68">
        <v>9</v>
      </c>
      <c r="E153" s="67" t="s">
        <v>135</v>
      </c>
      <c r="F153" s="67" t="s">
        <v>142</v>
      </c>
      <c r="G153" s="67" t="s">
        <v>123</v>
      </c>
      <c r="H153" s="64" t="s">
        <v>116</v>
      </c>
      <c r="I153" s="64" t="s">
        <v>116</v>
      </c>
      <c r="J153" s="75" t="s">
        <v>116</v>
      </c>
      <c r="K153" s="64">
        <v>0</v>
      </c>
      <c r="L153" s="64">
        <v>0</v>
      </c>
      <c r="M153" s="64">
        <v>0</v>
      </c>
      <c r="O153" s="66" t="s">
        <v>307</v>
      </c>
      <c r="P153" s="73" t="s">
        <v>59</v>
      </c>
      <c r="Q153" s="73" t="s">
        <v>59</v>
      </c>
      <c r="S153" s="66" t="str">
        <f t="shared" si="2"/>
        <v>Myanmar (Burma)</v>
      </c>
    </row>
    <row r="154" spans="2:19">
      <c r="B154" s="66" t="s">
        <v>298</v>
      </c>
      <c r="C154" s="67">
        <v>10</v>
      </c>
      <c r="D154" s="68">
        <v>11</v>
      </c>
      <c r="E154" s="67" t="s">
        <v>135</v>
      </c>
      <c r="F154" s="67" t="s">
        <v>122</v>
      </c>
      <c r="G154" s="67" t="s">
        <v>123</v>
      </c>
      <c r="H154" s="69" t="s">
        <v>135</v>
      </c>
      <c r="I154" s="67" t="s">
        <v>125</v>
      </c>
      <c r="J154" s="70" t="s">
        <v>126</v>
      </c>
      <c r="K154" s="64">
        <v>0</v>
      </c>
      <c r="L154" s="64">
        <v>0</v>
      </c>
      <c r="M154" s="64">
        <v>0</v>
      </c>
      <c r="O154" s="66" t="s">
        <v>308</v>
      </c>
      <c r="P154" s="73" t="s">
        <v>59</v>
      </c>
      <c r="Q154" s="73" t="s">
        <v>59</v>
      </c>
      <c r="S154" s="66" t="str">
        <f t="shared" si="2"/>
        <v>Namibia</v>
      </c>
    </row>
    <row r="155" spans="2:19">
      <c r="B155" s="66" t="s">
        <v>299</v>
      </c>
      <c r="C155" s="67">
        <v>10</v>
      </c>
      <c r="D155" s="68">
        <v>11</v>
      </c>
      <c r="E155" s="67">
        <v>6</v>
      </c>
      <c r="F155" s="67" t="s">
        <v>122</v>
      </c>
      <c r="G155" s="67" t="s">
        <v>123</v>
      </c>
      <c r="H155" s="69" t="s">
        <v>138</v>
      </c>
      <c r="I155" s="67" t="s">
        <v>125</v>
      </c>
      <c r="J155" s="70" t="s">
        <v>126</v>
      </c>
      <c r="K155" s="64">
        <v>0</v>
      </c>
      <c r="L155" s="64">
        <v>0</v>
      </c>
      <c r="M155" s="64">
        <v>0</v>
      </c>
      <c r="O155" s="66" t="s">
        <v>309</v>
      </c>
      <c r="P155" s="73" t="s">
        <v>59</v>
      </c>
      <c r="Q155" s="73" t="s">
        <v>59</v>
      </c>
      <c r="S155" s="66" t="str">
        <f t="shared" si="2"/>
        <v>Nauru, Rep of</v>
      </c>
    </row>
    <row r="156" spans="2:19">
      <c r="B156" s="66" t="s">
        <v>300</v>
      </c>
      <c r="C156" s="67">
        <v>8</v>
      </c>
      <c r="D156" s="68">
        <v>9</v>
      </c>
      <c r="E156" s="67" t="s">
        <v>147</v>
      </c>
      <c r="F156" s="67" t="s">
        <v>142</v>
      </c>
      <c r="G156" s="67" t="s">
        <v>123</v>
      </c>
      <c r="H156" s="69" t="s">
        <v>135</v>
      </c>
      <c r="I156" s="67" t="s">
        <v>130</v>
      </c>
      <c r="J156" s="70" t="s">
        <v>131</v>
      </c>
      <c r="K156" s="64">
        <v>0</v>
      </c>
      <c r="L156" s="64">
        <v>0</v>
      </c>
      <c r="M156" s="64">
        <v>0</v>
      </c>
      <c r="O156" s="66" t="s">
        <v>180</v>
      </c>
      <c r="P156" s="73" t="s">
        <v>59</v>
      </c>
      <c r="Q156" s="73" t="s">
        <v>59</v>
      </c>
      <c r="S156" s="66" t="str">
        <f t="shared" si="2"/>
        <v>Nepal</v>
      </c>
    </row>
    <row r="157" spans="2:19">
      <c r="B157" s="66" t="s">
        <v>178</v>
      </c>
      <c r="C157" s="67">
        <v>1</v>
      </c>
      <c r="D157" s="68">
        <v>2</v>
      </c>
      <c r="E157" s="67">
        <v>1</v>
      </c>
      <c r="F157" s="67" t="s">
        <v>142</v>
      </c>
      <c r="G157" s="67" t="s">
        <v>143</v>
      </c>
      <c r="H157" s="69">
        <v>1</v>
      </c>
      <c r="I157" s="67" t="s">
        <v>130</v>
      </c>
      <c r="J157" s="70" t="s">
        <v>131</v>
      </c>
      <c r="K157" s="68">
        <v>1</v>
      </c>
      <c r="L157" s="68">
        <v>2</v>
      </c>
      <c r="M157" s="67">
        <v>2</v>
      </c>
      <c r="O157" s="66" t="s">
        <v>310</v>
      </c>
      <c r="P157" s="73" t="s">
        <v>59</v>
      </c>
      <c r="Q157" s="73" t="s">
        <v>59</v>
      </c>
      <c r="S157" s="66" t="str">
        <f t="shared" si="2"/>
        <v>Netherlands</v>
      </c>
    </row>
    <row r="158" spans="2:19">
      <c r="B158" s="66" t="s">
        <v>301</v>
      </c>
      <c r="C158" s="67">
        <v>10</v>
      </c>
      <c r="D158" s="68">
        <v>11</v>
      </c>
      <c r="E158" s="67" t="s">
        <v>147</v>
      </c>
      <c r="F158" s="67" t="s">
        <v>122</v>
      </c>
      <c r="G158" s="67" t="s">
        <v>123</v>
      </c>
      <c r="H158" s="69" t="s">
        <v>147</v>
      </c>
      <c r="I158" s="67" t="s">
        <v>125</v>
      </c>
      <c r="J158" s="70" t="s">
        <v>126</v>
      </c>
      <c r="K158" s="64">
        <v>0</v>
      </c>
      <c r="L158" s="64">
        <v>0</v>
      </c>
      <c r="M158" s="64">
        <v>0</v>
      </c>
      <c r="O158" s="66" t="s">
        <v>311</v>
      </c>
      <c r="P158" s="73" t="s">
        <v>59</v>
      </c>
      <c r="Q158" s="73" t="s">
        <v>59</v>
      </c>
      <c r="S158" s="66" t="str">
        <f t="shared" si="2"/>
        <v>Netherlands Antilles</v>
      </c>
    </row>
    <row r="159" spans="2:19">
      <c r="B159" s="66" t="s">
        <v>302</v>
      </c>
      <c r="C159" s="67">
        <v>10</v>
      </c>
      <c r="D159" s="68">
        <v>11</v>
      </c>
      <c r="E159" s="67" t="s">
        <v>146</v>
      </c>
      <c r="F159" s="67" t="s">
        <v>122</v>
      </c>
      <c r="G159" s="67" t="s">
        <v>123</v>
      </c>
      <c r="H159" s="69" t="s">
        <v>135</v>
      </c>
      <c r="I159" s="67" t="s">
        <v>125</v>
      </c>
      <c r="J159" s="70" t="s">
        <v>126</v>
      </c>
      <c r="K159" s="64">
        <v>0</v>
      </c>
      <c r="L159" s="64">
        <v>0</v>
      </c>
      <c r="M159" s="64">
        <v>0</v>
      </c>
      <c r="O159" s="66" t="s">
        <v>312</v>
      </c>
      <c r="P159" s="73" t="s">
        <v>59</v>
      </c>
      <c r="Q159" s="73" t="s">
        <v>59</v>
      </c>
      <c r="S159" s="66" t="str">
        <f t="shared" si="2"/>
        <v>Nevis</v>
      </c>
    </row>
    <row r="160" spans="2:19">
      <c r="B160" s="66" t="s">
        <v>303</v>
      </c>
      <c r="C160" s="67">
        <v>10</v>
      </c>
      <c r="D160" s="68">
        <v>11</v>
      </c>
      <c r="E160" s="67" t="s">
        <v>121</v>
      </c>
      <c r="F160" s="67" t="s">
        <v>122</v>
      </c>
      <c r="G160" s="67" t="s">
        <v>123</v>
      </c>
      <c r="H160" s="69" t="s">
        <v>121</v>
      </c>
      <c r="I160" s="67" t="s">
        <v>125</v>
      </c>
      <c r="J160" s="70" t="s">
        <v>126</v>
      </c>
      <c r="K160" s="64">
        <v>0</v>
      </c>
      <c r="L160" s="64">
        <v>0</v>
      </c>
      <c r="M160" s="64">
        <v>0</v>
      </c>
      <c r="O160" s="66" t="s">
        <v>313</v>
      </c>
      <c r="P160" s="73" t="s">
        <v>59</v>
      </c>
      <c r="Q160" s="73" t="s">
        <v>59</v>
      </c>
      <c r="S160" s="66" t="str">
        <f t="shared" si="2"/>
        <v>New Caledonia</v>
      </c>
    </row>
    <row r="161" spans="2:19">
      <c r="B161" s="66" t="s">
        <v>304</v>
      </c>
      <c r="C161" s="67">
        <v>9</v>
      </c>
      <c r="D161" s="68">
        <v>10</v>
      </c>
      <c r="E161" s="67" t="s">
        <v>147</v>
      </c>
      <c r="F161" s="67" t="s">
        <v>122</v>
      </c>
      <c r="G161" s="67" t="s">
        <v>123</v>
      </c>
      <c r="H161" s="69" t="s">
        <v>135</v>
      </c>
      <c r="I161" s="67" t="s">
        <v>125</v>
      </c>
      <c r="J161" s="70" t="s">
        <v>126</v>
      </c>
      <c r="K161" s="64">
        <v>0</v>
      </c>
      <c r="L161" s="64">
        <v>0</v>
      </c>
      <c r="M161" s="64">
        <v>0</v>
      </c>
      <c r="O161" s="66" t="s">
        <v>314</v>
      </c>
      <c r="P161" s="73" t="s">
        <v>59</v>
      </c>
      <c r="Q161" s="73" t="s">
        <v>59</v>
      </c>
      <c r="S161" s="66" t="str">
        <f t="shared" si="2"/>
        <v>New Zealand</v>
      </c>
    </row>
    <row r="162" spans="2:19">
      <c r="B162" s="66" t="s">
        <v>305</v>
      </c>
      <c r="C162" s="67">
        <v>10</v>
      </c>
      <c r="D162" s="68">
        <v>11</v>
      </c>
      <c r="E162" s="67" t="s">
        <v>135</v>
      </c>
      <c r="F162" s="67" t="s">
        <v>122</v>
      </c>
      <c r="G162" s="67" t="s">
        <v>123</v>
      </c>
      <c r="H162" s="69" t="s">
        <v>147</v>
      </c>
      <c r="I162" s="67" t="s">
        <v>130</v>
      </c>
      <c r="J162" s="70" t="s">
        <v>131</v>
      </c>
      <c r="K162" s="64">
        <v>0</v>
      </c>
      <c r="L162" s="64">
        <v>0</v>
      </c>
      <c r="M162" s="64">
        <v>0</v>
      </c>
      <c r="O162" s="66" t="s">
        <v>315</v>
      </c>
      <c r="P162" s="73" t="s">
        <v>59</v>
      </c>
      <c r="Q162" s="73" t="s">
        <v>59</v>
      </c>
      <c r="S162" s="66" t="str">
        <f t="shared" si="2"/>
        <v>Nicaragua</v>
      </c>
    </row>
    <row r="163" spans="2:19">
      <c r="B163" s="66" t="s">
        <v>307</v>
      </c>
      <c r="C163" s="67">
        <v>10</v>
      </c>
      <c r="D163" s="68">
        <v>11</v>
      </c>
      <c r="E163" s="67" t="s">
        <v>124</v>
      </c>
      <c r="F163" s="67" t="s">
        <v>122</v>
      </c>
      <c r="G163" s="67" t="s">
        <v>123</v>
      </c>
      <c r="H163" s="69" t="s">
        <v>147</v>
      </c>
      <c r="I163" s="67" t="s">
        <v>125</v>
      </c>
      <c r="J163" s="70" t="s">
        <v>126</v>
      </c>
      <c r="K163" s="64">
        <v>0</v>
      </c>
      <c r="L163" s="64">
        <v>0</v>
      </c>
      <c r="M163" s="64">
        <v>0</v>
      </c>
      <c r="O163" s="66" t="s">
        <v>316</v>
      </c>
      <c r="P163" s="73" t="s">
        <v>59</v>
      </c>
      <c r="Q163" s="73" t="s">
        <v>59</v>
      </c>
      <c r="S163" s="66" t="str">
        <f t="shared" si="2"/>
        <v>Niger</v>
      </c>
    </row>
    <row r="164" spans="2:19">
      <c r="B164" s="66" t="s">
        <v>308</v>
      </c>
      <c r="C164" s="67">
        <v>10</v>
      </c>
      <c r="D164" s="68">
        <v>11</v>
      </c>
      <c r="E164" s="67" t="s">
        <v>135</v>
      </c>
      <c r="F164" s="67" t="s">
        <v>142</v>
      </c>
      <c r="G164" s="67" t="s">
        <v>123</v>
      </c>
      <c r="H164" s="69" t="s">
        <v>135</v>
      </c>
      <c r="I164" s="67" t="s">
        <v>130</v>
      </c>
      <c r="J164" s="67" t="s">
        <v>131</v>
      </c>
      <c r="K164" s="64">
        <v>0</v>
      </c>
      <c r="L164" s="64">
        <v>0</v>
      </c>
      <c r="M164" s="64">
        <v>0</v>
      </c>
      <c r="O164" s="66" t="s">
        <v>317</v>
      </c>
      <c r="P164" s="73" t="s">
        <v>59</v>
      </c>
      <c r="Q164" s="73" t="s">
        <v>59</v>
      </c>
      <c r="S164" s="66" t="str">
        <f t="shared" si="2"/>
        <v>Nigeria</v>
      </c>
    </row>
    <row r="165" spans="2:19">
      <c r="B165" s="66" t="s">
        <v>309</v>
      </c>
      <c r="C165" s="67">
        <v>10</v>
      </c>
      <c r="D165" s="68">
        <v>11</v>
      </c>
      <c r="E165" s="67">
        <v>6</v>
      </c>
      <c r="F165" s="67" t="s">
        <v>122</v>
      </c>
      <c r="G165" s="67" t="s">
        <v>123</v>
      </c>
      <c r="H165" s="69" t="s">
        <v>138</v>
      </c>
      <c r="I165" s="67" t="s">
        <v>125</v>
      </c>
      <c r="J165" s="70" t="s">
        <v>126</v>
      </c>
      <c r="K165" s="64">
        <v>0</v>
      </c>
      <c r="L165" s="64">
        <v>0</v>
      </c>
      <c r="M165" s="64">
        <v>0</v>
      </c>
      <c r="O165" s="66" t="s">
        <v>182</v>
      </c>
      <c r="P165" s="73" t="s">
        <v>59</v>
      </c>
      <c r="Q165" s="73" t="s">
        <v>59</v>
      </c>
      <c r="S165" s="66" t="str">
        <f t="shared" si="2"/>
        <v>Niue</v>
      </c>
    </row>
    <row r="166" spans="2:19">
      <c r="B166" s="66" t="s">
        <v>180</v>
      </c>
      <c r="C166" s="67">
        <v>5</v>
      </c>
      <c r="D166" s="68">
        <v>6</v>
      </c>
      <c r="E166" s="67" t="s">
        <v>129</v>
      </c>
      <c r="F166" s="67" t="s">
        <v>142</v>
      </c>
      <c r="G166" s="67" t="s">
        <v>143</v>
      </c>
      <c r="H166" s="69" t="s">
        <v>129</v>
      </c>
      <c r="I166" s="67" t="s">
        <v>130</v>
      </c>
      <c r="J166" s="70" t="s">
        <v>131</v>
      </c>
      <c r="K166" s="68">
        <v>5</v>
      </c>
      <c r="L166" s="68" t="s">
        <v>147</v>
      </c>
      <c r="M166" s="67" t="s">
        <v>135</v>
      </c>
      <c r="O166" s="66" t="s">
        <v>184</v>
      </c>
      <c r="P166" s="73" t="s">
        <v>59</v>
      </c>
      <c r="Q166" s="73" t="s">
        <v>59</v>
      </c>
      <c r="S166" s="66" t="str">
        <f t="shared" si="2"/>
        <v>Norway</v>
      </c>
    </row>
    <row r="167" spans="2:19">
      <c r="B167" s="66" t="s">
        <v>310</v>
      </c>
      <c r="C167" s="67">
        <v>9</v>
      </c>
      <c r="D167" s="68">
        <v>10</v>
      </c>
      <c r="E167" s="67" t="s">
        <v>135</v>
      </c>
      <c r="F167" s="67" t="s">
        <v>142</v>
      </c>
      <c r="G167" s="67" t="s">
        <v>143</v>
      </c>
      <c r="H167" s="69">
        <v>2</v>
      </c>
      <c r="I167" s="67" t="s">
        <v>130</v>
      </c>
      <c r="J167" s="70" t="s">
        <v>131</v>
      </c>
      <c r="K167" s="64">
        <v>0</v>
      </c>
      <c r="L167" s="64">
        <v>0</v>
      </c>
      <c r="M167" s="64">
        <v>0</v>
      </c>
      <c r="O167" s="66" t="s">
        <v>318</v>
      </c>
      <c r="P167" s="73" t="s">
        <v>59</v>
      </c>
      <c r="Q167" s="73" t="s">
        <v>59</v>
      </c>
      <c r="S167" s="66" t="str">
        <f t="shared" si="2"/>
        <v>Oman</v>
      </c>
    </row>
    <row r="168" spans="2:19">
      <c r="B168" s="66" t="s">
        <v>311</v>
      </c>
      <c r="C168" s="67">
        <v>10</v>
      </c>
      <c r="D168" s="68">
        <v>11</v>
      </c>
      <c r="E168" s="67" t="s">
        <v>135</v>
      </c>
      <c r="F168" s="67" t="s">
        <v>122</v>
      </c>
      <c r="G168" s="67" t="s">
        <v>123</v>
      </c>
      <c r="H168" s="69">
        <v>2</v>
      </c>
      <c r="I168" s="67" t="s">
        <v>130</v>
      </c>
      <c r="J168" s="70" t="s">
        <v>131</v>
      </c>
      <c r="K168" s="64">
        <v>0</v>
      </c>
      <c r="L168" s="64">
        <v>0</v>
      </c>
      <c r="M168" s="64">
        <v>0</v>
      </c>
      <c r="O168" s="66" t="s">
        <v>319</v>
      </c>
      <c r="P168" s="73" t="s">
        <v>59</v>
      </c>
      <c r="Q168" s="73" t="s">
        <v>59</v>
      </c>
      <c r="S168" s="66" t="str">
        <f t="shared" si="2"/>
        <v>Pakistan</v>
      </c>
    </row>
    <row r="169" spans="2:19">
      <c r="B169" s="66" t="s">
        <v>312</v>
      </c>
      <c r="C169" s="67">
        <v>10</v>
      </c>
      <c r="D169" s="68">
        <v>11</v>
      </c>
      <c r="E169" s="67" t="s">
        <v>147</v>
      </c>
      <c r="F169" s="67" t="s">
        <v>122</v>
      </c>
      <c r="G169" s="67" t="s">
        <v>123</v>
      </c>
      <c r="H169" s="69" t="s">
        <v>147</v>
      </c>
      <c r="I169" s="67" t="s">
        <v>125</v>
      </c>
      <c r="J169" s="70" t="s">
        <v>126</v>
      </c>
      <c r="K169" s="64">
        <v>0</v>
      </c>
      <c r="L169" s="64">
        <v>0</v>
      </c>
      <c r="M169" s="64">
        <v>0</v>
      </c>
      <c r="O169" s="66" t="s">
        <v>320</v>
      </c>
      <c r="P169" s="73" t="s">
        <v>59</v>
      </c>
      <c r="Q169" s="73" t="s">
        <v>59</v>
      </c>
      <c r="S169" s="66" t="str">
        <f t="shared" si="2"/>
        <v>Palau</v>
      </c>
    </row>
    <row r="170" spans="2:19">
      <c r="B170" s="66" t="s">
        <v>313</v>
      </c>
      <c r="C170" s="67">
        <v>10</v>
      </c>
      <c r="D170" s="68">
        <v>11</v>
      </c>
      <c r="E170" s="67" t="s">
        <v>135</v>
      </c>
      <c r="F170" s="67" t="s">
        <v>122</v>
      </c>
      <c r="G170" s="67" t="s">
        <v>123</v>
      </c>
      <c r="H170" s="69">
        <v>3</v>
      </c>
      <c r="I170" s="67" t="s">
        <v>130</v>
      </c>
      <c r="J170" s="70" t="s">
        <v>131</v>
      </c>
      <c r="K170" s="64">
        <v>0</v>
      </c>
      <c r="L170" s="64">
        <v>0</v>
      </c>
      <c r="M170" s="64">
        <v>0</v>
      </c>
      <c r="O170" s="66" t="s">
        <v>186</v>
      </c>
      <c r="P170" s="73" t="s">
        <v>59</v>
      </c>
      <c r="Q170" s="73" t="s">
        <v>59</v>
      </c>
      <c r="S170" s="66" t="str">
        <f t="shared" si="2"/>
        <v>Panama</v>
      </c>
    </row>
    <row r="171" spans="2:19">
      <c r="B171" s="66" t="s">
        <v>314</v>
      </c>
      <c r="C171" s="67">
        <v>10</v>
      </c>
      <c r="D171" s="68">
        <v>11</v>
      </c>
      <c r="E171" s="67" t="s">
        <v>138</v>
      </c>
      <c r="F171" s="67" t="s">
        <v>122</v>
      </c>
      <c r="G171" s="67" t="s">
        <v>123</v>
      </c>
      <c r="H171" s="69" t="s">
        <v>147</v>
      </c>
      <c r="I171" s="67" t="s">
        <v>125</v>
      </c>
      <c r="J171" s="70" t="s">
        <v>126</v>
      </c>
      <c r="K171" s="64">
        <v>0</v>
      </c>
      <c r="L171" s="64">
        <v>0</v>
      </c>
      <c r="M171" s="64">
        <v>0</v>
      </c>
      <c r="O171" s="66" t="s">
        <v>321</v>
      </c>
      <c r="P171" s="73" t="s">
        <v>59</v>
      </c>
      <c r="Q171" s="73" t="s">
        <v>59</v>
      </c>
      <c r="S171" s="66" t="str">
        <f t="shared" si="2"/>
        <v>Papua New Guinea</v>
      </c>
    </row>
    <row r="172" spans="2:19">
      <c r="B172" s="66" t="s">
        <v>315</v>
      </c>
      <c r="C172" s="67">
        <v>10</v>
      </c>
      <c r="D172" s="68">
        <v>11</v>
      </c>
      <c r="E172" s="67" t="s">
        <v>124</v>
      </c>
      <c r="F172" s="67" t="s">
        <v>122</v>
      </c>
      <c r="G172" s="67" t="s">
        <v>123</v>
      </c>
      <c r="H172" s="69" t="s">
        <v>147</v>
      </c>
      <c r="I172" s="67" t="s">
        <v>130</v>
      </c>
      <c r="J172" s="70" t="s">
        <v>131</v>
      </c>
      <c r="K172" s="64">
        <v>0</v>
      </c>
      <c r="L172" s="64">
        <v>0</v>
      </c>
      <c r="M172" s="64">
        <v>0</v>
      </c>
      <c r="O172" s="66" t="s">
        <v>322</v>
      </c>
      <c r="P172" s="73" t="s">
        <v>59</v>
      </c>
      <c r="Q172" s="73" t="s">
        <v>59</v>
      </c>
      <c r="S172" s="66" t="str">
        <f t="shared" si="2"/>
        <v>Paraguay</v>
      </c>
    </row>
    <row r="173" spans="2:19">
      <c r="B173" s="66" t="s">
        <v>316</v>
      </c>
      <c r="C173" s="67">
        <v>10</v>
      </c>
      <c r="D173" s="68">
        <v>11</v>
      </c>
      <c r="E173" s="67" t="s">
        <v>135</v>
      </c>
      <c r="F173" s="67" t="s">
        <v>122</v>
      </c>
      <c r="G173" s="67" t="s">
        <v>123</v>
      </c>
      <c r="H173" s="69" t="s">
        <v>147</v>
      </c>
      <c r="I173" s="67" t="s">
        <v>130</v>
      </c>
      <c r="J173" s="70" t="s">
        <v>131</v>
      </c>
      <c r="K173" s="64">
        <v>0</v>
      </c>
      <c r="L173" s="64">
        <v>0</v>
      </c>
      <c r="M173" s="64">
        <v>0</v>
      </c>
      <c r="O173" s="66" t="s">
        <v>323</v>
      </c>
      <c r="P173" s="73" t="s">
        <v>59</v>
      </c>
      <c r="Q173" s="73" t="s">
        <v>59</v>
      </c>
      <c r="S173" s="66" t="str">
        <f t="shared" si="2"/>
        <v>Peru</v>
      </c>
    </row>
    <row r="174" spans="2:19">
      <c r="B174" s="66" t="s">
        <v>317</v>
      </c>
      <c r="C174" s="67">
        <v>8</v>
      </c>
      <c r="D174" s="68">
        <v>9</v>
      </c>
      <c r="E174" s="67" t="s">
        <v>124</v>
      </c>
      <c r="F174" s="67" t="s">
        <v>142</v>
      </c>
      <c r="G174" s="67" t="s">
        <v>143</v>
      </c>
      <c r="H174" s="69" t="s">
        <v>135</v>
      </c>
      <c r="I174" s="67" t="s">
        <v>130</v>
      </c>
      <c r="J174" s="70" t="s">
        <v>131</v>
      </c>
      <c r="K174" s="64">
        <v>0</v>
      </c>
      <c r="L174" s="64">
        <v>0</v>
      </c>
      <c r="M174" s="64">
        <v>0</v>
      </c>
      <c r="O174" s="66" t="s">
        <v>324</v>
      </c>
      <c r="P174" s="73" t="s">
        <v>59</v>
      </c>
      <c r="Q174" s="73" t="s">
        <v>59</v>
      </c>
      <c r="S174" s="66" t="str">
        <f t="shared" si="2"/>
        <v>Philippines</v>
      </c>
    </row>
    <row r="175" spans="2:19">
      <c r="B175" s="66" t="s">
        <v>182</v>
      </c>
      <c r="C175" s="67">
        <v>4</v>
      </c>
      <c r="D175" s="68">
        <v>5</v>
      </c>
      <c r="E175" s="67" t="s">
        <v>129</v>
      </c>
      <c r="F175" s="67" t="s">
        <v>142</v>
      </c>
      <c r="G175" s="67" t="s">
        <v>143</v>
      </c>
      <c r="H175" s="69">
        <v>1</v>
      </c>
      <c r="I175" s="67" t="s">
        <v>130</v>
      </c>
      <c r="J175" s="70" t="s">
        <v>131</v>
      </c>
      <c r="K175" s="68">
        <v>4</v>
      </c>
      <c r="L175" s="68">
        <v>3</v>
      </c>
      <c r="M175" s="67">
        <v>3</v>
      </c>
      <c r="O175" s="66" t="s">
        <v>195</v>
      </c>
      <c r="P175" s="73" t="s">
        <v>59</v>
      </c>
      <c r="Q175" s="73" t="s">
        <v>59</v>
      </c>
      <c r="S175" s="66" t="str">
        <f t="shared" si="2"/>
        <v>Poland</v>
      </c>
    </row>
    <row r="176" spans="2:19">
      <c r="B176" s="66" t="s">
        <v>184</v>
      </c>
      <c r="C176" s="67">
        <v>3</v>
      </c>
      <c r="D176" s="68">
        <v>4</v>
      </c>
      <c r="E176" s="67" t="s">
        <v>129</v>
      </c>
      <c r="F176" s="67" t="s">
        <v>142</v>
      </c>
      <c r="G176" s="67" t="s">
        <v>143</v>
      </c>
      <c r="H176" s="69" t="s">
        <v>129</v>
      </c>
      <c r="I176" s="67" t="s">
        <v>130</v>
      </c>
      <c r="J176" s="70" t="s">
        <v>131</v>
      </c>
      <c r="K176" s="68">
        <v>3</v>
      </c>
      <c r="L176" s="68">
        <v>3</v>
      </c>
      <c r="M176" s="67" t="s">
        <v>147</v>
      </c>
      <c r="O176" s="66" t="s">
        <v>325</v>
      </c>
      <c r="P176" s="73" t="s">
        <v>59</v>
      </c>
      <c r="Q176" s="73" t="s">
        <v>59</v>
      </c>
      <c r="S176" s="66" t="str">
        <f t="shared" si="2"/>
        <v>Portugal</v>
      </c>
    </row>
    <row r="177" spans="2:19">
      <c r="B177" s="66" t="s">
        <v>318</v>
      </c>
      <c r="C177" s="67">
        <v>10</v>
      </c>
      <c r="D177" s="68">
        <v>11</v>
      </c>
      <c r="E177" s="67" t="s">
        <v>135</v>
      </c>
      <c r="F177" s="67" t="s">
        <v>122</v>
      </c>
      <c r="G177" s="67" t="s">
        <v>123</v>
      </c>
      <c r="H177" s="69">
        <v>2</v>
      </c>
      <c r="I177" s="67" t="s">
        <v>125</v>
      </c>
      <c r="J177" s="70" t="s">
        <v>126</v>
      </c>
      <c r="K177" s="64">
        <v>0</v>
      </c>
      <c r="L177" s="64">
        <v>0</v>
      </c>
      <c r="M177" s="64">
        <v>0</v>
      </c>
      <c r="O177" s="66" t="s">
        <v>326</v>
      </c>
      <c r="P177" s="73" t="s">
        <v>59</v>
      </c>
      <c r="Q177" s="73" t="s">
        <v>59</v>
      </c>
      <c r="S177" s="66" t="str">
        <f t="shared" si="2"/>
        <v>Puerto Rico</v>
      </c>
    </row>
    <row r="178" spans="2:19">
      <c r="B178" s="66" t="s">
        <v>319</v>
      </c>
      <c r="C178" s="67">
        <v>9</v>
      </c>
      <c r="D178" s="68">
        <v>10</v>
      </c>
      <c r="E178" s="67" t="s">
        <v>135</v>
      </c>
      <c r="F178" s="67" t="s">
        <v>142</v>
      </c>
      <c r="G178" s="67" t="s">
        <v>143</v>
      </c>
      <c r="H178" s="69" t="s">
        <v>135</v>
      </c>
      <c r="I178" s="67" t="s">
        <v>130</v>
      </c>
      <c r="J178" s="70" t="s">
        <v>131</v>
      </c>
      <c r="K178" s="64">
        <v>0</v>
      </c>
      <c r="L178" s="64">
        <v>0</v>
      </c>
      <c r="M178" s="64">
        <v>0</v>
      </c>
      <c r="O178" s="66" t="s">
        <v>327</v>
      </c>
      <c r="P178" s="73" t="s">
        <v>59</v>
      </c>
      <c r="Q178" s="73" t="s">
        <v>59</v>
      </c>
      <c r="S178" s="66" t="str">
        <f t="shared" si="2"/>
        <v>Qatar</v>
      </c>
    </row>
    <row r="179" spans="2:19">
      <c r="B179" s="66" t="s">
        <v>320</v>
      </c>
      <c r="C179" s="67">
        <v>10</v>
      </c>
      <c r="D179" s="68">
        <v>11</v>
      </c>
      <c r="E179" s="67" t="s">
        <v>147</v>
      </c>
      <c r="F179" s="67" t="s">
        <v>122</v>
      </c>
      <c r="G179" s="67" t="s">
        <v>123</v>
      </c>
      <c r="H179" s="69" t="s">
        <v>124</v>
      </c>
      <c r="I179" s="67" t="s">
        <v>130</v>
      </c>
      <c r="J179" s="70" t="s">
        <v>131</v>
      </c>
      <c r="K179" s="64">
        <v>0</v>
      </c>
      <c r="L179" s="64">
        <v>0</v>
      </c>
      <c r="M179" s="64">
        <v>0</v>
      </c>
      <c r="O179" s="66" t="s">
        <v>328</v>
      </c>
      <c r="P179" s="73" t="s">
        <v>59</v>
      </c>
      <c r="Q179" s="73" t="s">
        <v>59</v>
      </c>
      <c r="S179" s="66" t="str">
        <f t="shared" si="2"/>
        <v>Reunion, Island of</v>
      </c>
    </row>
    <row r="180" spans="2:19">
      <c r="B180" s="66" t="s">
        <v>186</v>
      </c>
      <c r="C180" s="67">
        <v>4</v>
      </c>
      <c r="D180" s="68">
        <v>5</v>
      </c>
      <c r="E180" s="67" t="s">
        <v>129</v>
      </c>
      <c r="F180" s="67" t="s">
        <v>142</v>
      </c>
      <c r="G180" s="67" t="s">
        <v>143</v>
      </c>
      <c r="H180" s="69" t="s">
        <v>129</v>
      </c>
      <c r="I180" s="67" t="s">
        <v>130</v>
      </c>
      <c r="J180" s="70" t="s">
        <v>131</v>
      </c>
      <c r="K180" s="68">
        <v>4</v>
      </c>
      <c r="L180" s="68">
        <v>4</v>
      </c>
      <c r="M180" s="67">
        <v>4</v>
      </c>
      <c r="O180" s="66" t="s">
        <v>329</v>
      </c>
      <c r="P180" s="73" t="s">
        <v>59</v>
      </c>
      <c r="Q180" s="73" t="s">
        <v>59</v>
      </c>
      <c r="S180" s="66" t="str">
        <f t="shared" si="2"/>
        <v>Romania</v>
      </c>
    </row>
    <row r="181" spans="2:19">
      <c r="B181" s="66" t="s">
        <v>321</v>
      </c>
      <c r="C181" s="67">
        <v>7</v>
      </c>
      <c r="D181" s="68">
        <v>8</v>
      </c>
      <c r="E181" s="67" t="s">
        <v>129</v>
      </c>
      <c r="F181" s="67" t="s">
        <v>122</v>
      </c>
      <c r="G181" s="67" t="s">
        <v>123</v>
      </c>
      <c r="H181" s="69" t="s">
        <v>134</v>
      </c>
      <c r="I181" s="67" t="s">
        <v>130</v>
      </c>
      <c r="J181" s="70" t="s">
        <v>131</v>
      </c>
      <c r="K181" s="64">
        <v>0</v>
      </c>
      <c r="L181" s="64">
        <v>0</v>
      </c>
      <c r="M181" s="64">
        <v>0</v>
      </c>
      <c r="O181" s="66" t="s">
        <v>189</v>
      </c>
      <c r="P181" s="73" t="s">
        <v>59</v>
      </c>
      <c r="Q181" s="73" t="s">
        <v>59</v>
      </c>
      <c r="S181" s="66" t="str">
        <f t="shared" si="2"/>
        <v>Russian Federation</v>
      </c>
    </row>
    <row r="182" spans="2:19">
      <c r="B182" s="66" t="s">
        <v>322</v>
      </c>
      <c r="C182" s="67">
        <v>10</v>
      </c>
      <c r="D182" s="68">
        <v>11</v>
      </c>
      <c r="E182" s="67" t="s">
        <v>135</v>
      </c>
      <c r="F182" s="67" t="s">
        <v>122</v>
      </c>
      <c r="G182" s="67" t="s">
        <v>123</v>
      </c>
      <c r="H182" s="69" t="s">
        <v>124</v>
      </c>
      <c r="I182" s="67" t="s">
        <v>125</v>
      </c>
      <c r="J182" s="70" t="s">
        <v>126</v>
      </c>
      <c r="K182" s="64">
        <v>0</v>
      </c>
      <c r="L182" s="64">
        <v>0</v>
      </c>
      <c r="M182" s="64">
        <v>0</v>
      </c>
      <c r="O182" s="66" t="s">
        <v>191</v>
      </c>
      <c r="P182" s="73" t="s">
        <v>59</v>
      </c>
      <c r="Q182" s="73" t="s">
        <v>59</v>
      </c>
      <c r="S182" s="66" t="str">
        <f t="shared" si="2"/>
        <v>Rwanda</v>
      </c>
    </row>
    <row r="183" spans="2:19">
      <c r="B183" s="66" t="s">
        <v>323</v>
      </c>
      <c r="C183" s="67">
        <v>10</v>
      </c>
      <c r="D183" s="68">
        <v>11</v>
      </c>
      <c r="E183" s="67">
        <v>3</v>
      </c>
      <c r="F183" s="67" t="s">
        <v>122</v>
      </c>
      <c r="G183" s="67" t="s">
        <v>123</v>
      </c>
      <c r="H183" s="69" t="s">
        <v>124</v>
      </c>
      <c r="I183" s="67" t="s">
        <v>125</v>
      </c>
      <c r="J183" s="70" t="s">
        <v>126</v>
      </c>
      <c r="K183" s="64">
        <v>0</v>
      </c>
      <c r="L183" s="64">
        <v>0</v>
      </c>
      <c r="M183" s="64">
        <v>0</v>
      </c>
      <c r="O183" s="66" t="s">
        <v>330</v>
      </c>
      <c r="P183" s="73" t="s">
        <v>59</v>
      </c>
      <c r="Q183" s="73" t="s">
        <v>59</v>
      </c>
      <c r="S183" s="66" t="str">
        <f t="shared" si="2"/>
        <v>Saipan</v>
      </c>
    </row>
    <row r="184" spans="2:19">
      <c r="B184" s="66" t="s">
        <v>324</v>
      </c>
      <c r="C184" s="67">
        <v>10</v>
      </c>
      <c r="D184" s="68">
        <v>11</v>
      </c>
      <c r="E184" s="67" t="s">
        <v>146</v>
      </c>
      <c r="F184" s="67" t="s">
        <v>122</v>
      </c>
      <c r="G184" s="67" t="s">
        <v>123</v>
      </c>
      <c r="H184" s="69" t="s">
        <v>121</v>
      </c>
      <c r="I184" s="67" t="s">
        <v>125</v>
      </c>
      <c r="J184" s="70" t="s">
        <v>126</v>
      </c>
      <c r="K184" s="64">
        <v>0</v>
      </c>
      <c r="L184" s="64">
        <v>0</v>
      </c>
      <c r="M184" s="64">
        <v>0</v>
      </c>
      <c r="O184" s="66" t="s">
        <v>331</v>
      </c>
      <c r="P184" s="73" t="s">
        <v>59</v>
      </c>
      <c r="Q184" s="73" t="s">
        <v>59</v>
      </c>
      <c r="S184" s="66" t="str">
        <f t="shared" si="2"/>
        <v>Samoa</v>
      </c>
    </row>
    <row r="185" spans="2:19">
      <c r="B185" s="66" t="s">
        <v>195</v>
      </c>
      <c r="C185" s="67">
        <v>3</v>
      </c>
      <c r="D185" s="68">
        <v>4</v>
      </c>
      <c r="E185" s="67">
        <v>1</v>
      </c>
      <c r="F185" s="67" t="s">
        <v>142</v>
      </c>
      <c r="G185" s="67" t="s">
        <v>143</v>
      </c>
      <c r="H185" s="69">
        <v>1</v>
      </c>
      <c r="I185" s="67" t="s">
        <v>130</v>
      </c>
      <c r="J185" s="70" t="s">
        <v>131</v>
      </c>
      <c r="K185" s="68">
        <v>3</v>
      </c>
      <c r="L185" s="68" t="s">
        <v>135</v>
      </c>
      <c r="M185" s="67" t="s">
        <v>135</v>
      </c>
      <c r="O185" s="66" t="s">
        <v>332</v>
      </c>
      <c r="P185" s="73" t="s">
        <v>59</v>
      </c>
      <c r="Q185" s="73" t="s">
        <v>59</v>
      </c>
      <c r="S185" s="66" t="str">
        <f t="shared" si="2"/>
        <v>San Marino</v>
      </c>
    </row>
    <row r="186" spans="2:19">
      <c r="B186" s="66" t="s">
        <v>333</v>
      </c>
      <c r="C186" s="67">
        <v>10</v>
      </c>
      <c r="D186" s="68">
        <v>11</v>
      </c>
      <c r="E186" s="67">
        <v>6</v>
      </c>
      <c r="F186" s="67" t="s">
        <v>122</v>
      </c>
      <c r="G186" s="67" t="s">
        <v>123</v>
      </c>
      <c r="H186" s="64" t="s">
        <v>116</v>
      </c>
      <c r="I186" s="64" t="s">
        <v>116</v>
      </c>
      <c r="J186" s="75" t="s">
        <v>116</v>
      </c>
      <c r="K186" s="64">
        <v>0</v>
      </c>
      <c r="L186" s="64">
        <v>0</v>
      </c>
      <c r="M186" s="64">
        <v>0</v>
      </c>
      <c r="O186" s="66" t="s">
        <v>334</v>
      </c>
      <c r="P186" s="73" t="s">
        <v>59</v>
      </c>
      <c r="Q186" s="73" t="s">
        <v>59</v>
      </c>
      <c r="S186" s="66" t="str">
        <f t="shared" si="2"/>
        <v>Sao Tome &amp; Principe</v>
      </c>
    </row>
    <row r="187" spans="2:19">
      <c r="B187" s="66" t="s">
        <v>325</v>
      </c>
      <c r="C187" s="67">
        <v>9</v>
      </c>
      <c r="D187" s="68">
        <v>10</v>
      </c>
      <c r="E187" s="67" t="s">
        <v>135</v>
      </c>
      <c r="F187" s="67" t="s">
        <v>142</v>
      </c>
      <c r="G187" s="67" t="s">
        <v>143</v>
      </c>
      <c r="H187" s="69">
        <v>2</v>
      </c>
      <c r="I187" s="67" t="s">
        <v>130</v>
      </c>
      <c r="J187" s="70" t="s">
        <v>131</v>
      </c>
      <c r="K187" s="64">
        <v>0</v>
      </c>
      <c r="L187" s="64">
        <v>0</v>
      </c>
      <c r="M187" s="64">
        <v>0</v>
      </c>
      <c r="O187" s="66" t="s">
        <v>193</v>
      </c>
      <c r="P187" s="73" t="s">
        <v>59</v>
      </c>
      <c r="Q187" s="73" t="s">
        <v>59</v>
      </c>
      <c r="S187" s="66" t="str">
        <f t="shared" si="2"/>
        <v>Saudi Arabia</v>
      </c>
    </row>
    <row r="188" spans="2:19">
      <c r="B188" s="66" t="s">
        <v>326</v>
      </c>
      <c r="C188" s="67">
        <v>10</v>
      </c>
      <c r="D188" s="68">
        <v>11</v>
      </c>
      <c r="E188" s="67" t="s">
        <v>135</v>
      </c>
      <c r="F188" s="67" t="s">
        <v>142</v>
      </c>
      <c r="G188" s="67" t="s">
        <v>123</v>
      </c>
      <c r="H188" s="69" t="s">
        <v>135</v>
      </c>
      <c r="I188" s="67" t="s">
        <v>130</v>
      </c>
      <c r="J188" s="70" t="s">
        <v>131</v>
      </c>
      <c r="K188" s="64">
        <v>0</v>
      </c>
      <c r="L188" s="64">
        <v>0</v>
      </c>
      <c r="M188" s="64">
        <v>0</v>
      </c>
      <c r="O188" s="66" t="s">
        <v>335</v>
      </c>
      <c r="P188" s="73" t="s">
        <v>59</v>
      </c>
      <c r="Q188" s="73" t="s">
        <v>59</v>
      </c>
      <c r="S188" s="66" t="str">
        <f t="shared" si="2"/>
        <v>Senegal</v>
      </c>
    </row>
    <row r="189" spans="2:19">
      <c r="B189" s="66" t="s">
        <v>327</v>
      </c>
      <c r="C189" s="67">
        <v>5</v>
      </c>
      <c r="D189" s="68">
        <v>6</v>
      </c>
      <c r="E189" s="67" t="s">
        <v>129</v>
      </c>
      <c r="F189" s="67" t="s">
        <v>122</v>
      </c>
      <c r="G189" s="67" t="s">
        <v>123</v>
      </c>
      <c r="H189" s="69" t="s">
        <v>129</v>
      </c>
      <c r="I189" s="67" t="s">
        <v>130</v>
      </c>
      <c r="J189" s="70" t="s">
        <v>131</v>
      </c>
      <c r="K189" s="64">
        <v>0</v>
      </c>
      <c r="L189" s="64">
        <v>0</v>
      </c>
      <c r="M189" s="64">
        <v>0</v>
      </c>
      <c r="O189" s="66" t="s">
        <v>336</v>
      </c>
      <c r="P189" s="73" t="s">
        <v>59</v>
      </c>
      <c r="Q189" s="73" t="s">
        <v>59</v>
      </c>
      <c r="S189" s="66" t="str">
        <f t="shared" si="2"/>
        <v>Serbia</v>
      </c>
    </row>
    <row r="190" spans="2:19">
      <c r="B190" s="66" t="s">
        <v>328</v>
      </c>
      <c r="C190" s="67">
        <v>10</v>
      </c>
      <c r="D190" s="68">
        <v>11</v>
      </c>
      <c r="E190" s="67" t="s">
        <v>146</v>
      </c>
      <c r="F190" s="67" t="s">
        <v>122</v>
      </c>
      <c r="G190" s="67" t="s">
        <v>123</v>
      </c>
      <c r="H190" s="69" t="s">
        <v>147</v>
      </c>
      <c r="I190" s="67" t="s">
        <v>125</v>
      </c>
      <c r="J190" s="70" t="s">
        <v>126</v>
      </c>
      <c r="K190" s="64">
        <v>0</v>
      </c>
      <c r="L190" s="64">
        <v>0</v>
      </c>
      <c r="M190" s="64">
        <v>0</v>
      </c>
      <c r="O190" s="66" t="s">
        <v>337</v>
      </c>
      <c r="P190" s="73" t="s">
        <v>59</v>
      </c>
      <c r="Q190" s="73" t="s">
        <v>59</v>
      </c>
      <c r="S190" s="66" t="str">
        <f t="shared" si="2"/>
        <v>Seychelles</v>
      </c>
    </row>
    <row r="191" spans="2:19">
      <c r="B191" s="66" t="s">
        <v>338</v>
      </c>
      <c r="C191" s="67">
        <v>10</v>
      </c>
      <c r="D191" s="68">
        <v>11</v>
      </c>
      <c r="E191" s="67" t="s">
        <v>124</v>
      </c>
      <c r="F191" s="67" t="s">
        <v>122</v>
      </c>
      <c r="G191" s="67" t="s">
        <v>123</v>
      </c>
      <c r="H191" s="64" t="s">
        <v>116</v>
      </c>
      <c r="I191" s="64" t="s">
        <v>116</v>
      </c>
      <c r="J191" s="75" t="s">
        <v>116</v>
      </c>
      <c r="K191" s="64">
        <v>0</v>
      </c>
      <c r="L191" s="64">
        <v>0</v>
      </c>
      <c r="M191" s="64">
        <v>0</v>
      </c>
      <c r="O191" s="66" t="s">
        <v>339</v>
      </c>
      <c r="P191" s="73" t="s">
        <v>59</v>
      </c>
      <c r="Q191" s="73" t="s">
        <v>59</v>
      </c>
      <c r="S191" s="66" t="str">
        <f t="shared" si="2"/>
        <v>Sierra Leone</v>
      </c>
    </row>
    <row r="192" spans="2:19">
      <c r="B192" s="66" t="s">
        <v>329</v>
      </c>
      <c r="C192" s="67">
        <v>8</v>
      </c>
      <c r="D192" s="68">
        <v>9</v>
      </c>
      <c r="E192" s="67">
        <v>2</v>
      </c>
      <c r="F192" s="67" t="s">
        <v>142</v>
      </c>
      <c r="G192" s="67" t="s">
        <v>143</v>
      </c>
      <c r="H192" s="69" t="s">
        <v>129</v>
      </c>
      <c r="I192" s="67" t="s">
        <v>130</v>
      </c>
      <c r="J192" s="67" t="s">
        <v>131</v>
      </c>
      <c r="K192" s="64">
        <v>0</v>
      </c>
      <c r="L192" s="64">
        <v>0</v>
      </c>
      <c r="M192" s="64">
        <v>0</v>
      </c>
      <c r="O192" s="66" t="s">
        <v>340</v>
      </c>
      <c r="P192" s="73" t="s">
        <v>59</v>
      </c>
      <c r="Q192" s="73" t="s">
        <v>59</v>
      </c>
      <c r="S192" s="66" t="str">
        <f t="shared" si="2"/>
        <v>Singapore</v>
      </c>
    </row>
    <row r="193" spans="2:19">
      <c r="B193" s="66" t="s">
        <v>189</v>
      </c>
      <c r="C193" s="67">
        <v>4</v>
      </c>
      <c r="D193" s="68">
        <v>5</v>
      </c>
      <c r="E193" s="67" t="s">
        <v>129</v>
      </c>
      <c r="F193" s="67" t="s">
        <v>142</v>
      </c>
      <c r="G193" s="67" t="s">
        <v>143</v>
      </c>
      <c r="H193" s="69">
        <v>1</v>
      </c>
      <c r="I193" s="67" t="s">
        <v>130</v>
      </c>
      <c r="J193" s="70" t="s">
        <v>131</v>
      </c>
      <c r="K193" s="68">
        <v>4</v>
      </c>
      <c r="L193" s="68">
        <v>3</v>
      </c>
      <c r="M193" s="67">
        <v>3</v>
      </c>
      <c r="O193" s="66" t="s">
        <v>341</v>
      </c>
      <c r="P193" s="73" t="s">
        <v>59</v>
      </c>
      <c r="Q193" s="73" t="s">
        <v>59</v>
      </c>
      <c r="S193" s="66" t="str">
        <f t="shared" si="2"/>
        <v>Slovakia</v>
      </c>
    </row>
    <row r="194" spans="2:19">
      <c r="B194" s="66" t="s">
        <v>191</v>
      </c>
      <c r="C194" s="67">
        <v>4</v>
      </c>
      <c r="D194" s="68">
        <v>5</v>
      </c>
      <c r="E194" s="67" t="s">
        <v>129</v>
      </c>
      <c r="F194" s="67" t="s">
        <v>142</v>
      </c>
      <c r="G194" s="67" t="s">
        <v>123</v>
      </c>
      <c r="H194" s="69">
        <v>1</v>
      </c>
      <c r="I194" s="67" t="s">
        <v>130</v>
      </c>
      <c r="J194" s="70" t="s">
        <v>131</v>
      </c>
      <c r="K194" s="68">
        <v>4</v>
      </c>
      <c r="L194" s="68">
        <v>3</v>
      </c>
      <c r="M194" s="67">
        <v>3</v>
      </c>
      <c r="O194" s="66" t="s">
        <v>342</v>
      </c>
      <c r="P194" s="73" t="s">
        <v>59</v>
      </c>
      <c r="Q194" s="73" t="s">
        <v>59</v>
      </c>
      <c r="S194" s="66" t="str">
        <f t="shared" si="2"/>
        <v>Slovenia</v>
      </c>
    </row>
    <row r="195" spans="2:19">
      <c r="B195" s="66" t="s">
        <v>330</v>
      </c>
      <c r="C195" s="67">
        <v>9</v>
      </c>
      <c r="D195" s="68">
        <v>10</v>
      </c>
      <c r="E195" s="67" t="s">
        <v>121</v>
      </c>
      <c r="F195" s="67" t="s">
        <v>122</v>
      </c>
      <c r="G195" s="67" t="s">
        <v>123</v>
      </c>
      <c r="H195" s="69" t="s">
        <v>138</v>
      </c>
      <c r="I195" s="67" t="s">
        <v>125</v>
      </c>
      <c r="J195" s="70" t="s">
        <v>126</v>
      </c>
      <c r="K195" s="64">
        <v>0</v>
      </c>
      <c r="L195" s="64">
        <v>0</v>
      </c>
      <c r="M195" s="64">
        <v>0</v>
      </c>
      <c r="O195" s="66" t="s">
        <v>343</v>
      </c>
      <c r="P195" s="73" t="s">
        <v>59</v>
      </c>
      <c r="Q195" s="73" t="s">
        <v>59</v>
      </c>
      <c r="S195" s="66" t="str">
        <f t="shared" si="2"/>
        <v>Solomon Islands</v>
      </c>
    </row>
    <row r="196" spans="2:19">
      <c r="B196" s="66" t="s">
        <v>331</v>
      </c>
      <c r="C196" s="67">
        <v>10</v>
      </c>
      <c r="D196" s="68">
        <v>11</v>
      </c>
      <c r="E196" s="67">
        <v>6</v>
      </c>
      <c r="F196" s="67" t="s">
        <v>122</v>
      </c>
      <c r="G196" s="67" t="s">
        <v>123</v>
      </c>
      <c r="H196" s="69" t="s">
        <v>147</v>
      </c>
      <c r="I196" s="67" t="s">
        <v>125</v>
      </c>
      <c r="J196" s="70" t="s">
        <v>126</v>
      </c>
      <c r="K196" s="64">
        <v>0</v>
      </c>
      <c r="L196" s="64">
        <v>0</v>
      </c>
      <c r="M196" s="64">
        <v>0</v>
      </c>
      <c r="O196" s="66" t="s">
        <v>344</v>
      </c>
      <c r="P196" s="73" t="s">
        <v>59</v>
      </c>
      <c r="Q196" s="73" t="s">
        <v>59</v>
      </c>
      <c r="S196" s="66" t="str">
        <f t="shared" si="2"/>
        <v>Somalia</v>
      </c>
    </row>
    <row r="197" spans="2:19">
      <c r="B197" s="66" t="s">
        <v>345</v>
      </c>
      <c r="C197" s="67">
        <v>10</v>
      </c>
      <c r="D197" s="68">
        <v>11</v>
      </c>
      <c r="E197" s="67" t="s">
        <v>188</v>
      </c>
      <c r="F197" s="67" t="s">
        <v>122</v>
      </c>
      <c r="G197" s="67" t="s">
        <v>123</v>
      </c>
      <c r="H197" s="64" t="s">
        <v>116</v>
      </c>
      <c r="I197" s="64" t="s">
        <v>116</v>
      </c>
      <c r="J197" s="64" t="s">
        <v>116</v>
      </c>
      <c r="K197" s="64">
        <v>0</v>
      </c>
      <c r="L197" s="64">
        <v>0</v>
      </c>
      <c r="M197" s="64">
        <v>0</v>
      </c>
      <c r="O197" s="66" t="s">
        <v>196</v>
      </c>
      <c r="P197" s="73" t="s">
        <v>59</v>
      </c>
      <c r="Q197" s="73" t="s">
        <v>59</v>
      </c>
      <c r="S197" s="66" t="str">
        <f t="shared" si="2"/>
        <v>Somaliland Rep. Of</v>
      </c>
    </row>
    <row r="198" spans="2:19">
      <c r="B198" s="66" t="s">
        <v>332</v>
      </c>
      <c r="C198" s="67">
        <v>9</v>
      </c>
      <c r="D198" s="68">
        <v>10</v>
      </c>
      <c r="E198" s="67" t="s">
        <v>135</v>
      </c>
      <c r="F198" s="67" t="s">
        <v>122</v>
      </c>
      <c r="G198" s="67" t="s">
        <v>123</v>
      </c>
      <c r="H198" s="69" t="s">
        <v>135</v>
      </c>
      <c r="I198" s="67" t="s">
        <v>130</v>
      </c>
      <c r="J198" s="70" t="s">
        <v>131</v>
      </c>
      <c r="K198" s="64">
        <v>0</v>
      </c>
      <c r="L198" s="64">
        <v>0</v>
      </c>
      <c r="M198" s="64">
        <v>0</v>
      </c>
      <c r="O198" s="66" t="s">
        <v>198</v>
      </c>
      <c r="P198" s="73" t="s">
        <v>59</v>
      </c>
      <c r="Q198" s="73" t="s">
        <v>59</v>
      </c>
      <c r="S198" s="66" t="str">
        <f t="shared" si="2"/>
        <v>South Africa</v>
      </c>
    </row>
    <row r="199" spans="2:19">
      <c r="B199" s="66" t="s">
        <v>334</v>
      </c>
      <c r="C199" s="67">
        <v>10</v>
      </c>
      <c r="D199" s="68">
        <v>11</v>
      </c>
      <c r="E199" s="67">
        <v>2</v>
      </c>
      <c r="F199" s="67" t="s">
        <v>122</v>
      </c>
      <c r="G199" s="67" t="s">
        <v>123</v>
      </c>
      <c r="H199" s="77">
        <v>2</v>
      </c>
      <c r="I199" s="67" t="s">
        <v>125</v>
      </c>
      <c r="J199" s="70" t="s">
        <v>126</v>
      </c>
      <c r="K199" s="64">
        <v>0</v>
      </c>
      <c r="L199" s="64">
        <v>0</v>
      </c>
      <c r="M199" s="64">
        <v>0</v>
      </c>
      <c r="O199" s="66" t="s">
        <v>346</v>
      </c>
      <c r="P199" s="73" t="s">
        <v>59</v>
      </c>
      <c r="Q199" s="73" t="s">
        <v>59</v>
      </c>
      <c r="S199" s="66" t="str">
        <f t="shared" ref="S199:S240" si="3">IF($S$4=2,O199,B199)</f>
        <v>South Sudan</v>
      </c>
    </row>
    <row r="200" spans="2:19">
      <c r="B200" s="66" t="s">
        <v>193</v>
      </c>
      <c r="C200" s="67">
        <v>3</v>
      </c>
      <c r="D200" s="68">
        <v>4</v>
      </c>
      <c r="E200" s="67" t="s">
        <v>129</v>
      </c>
      <c r="F200" s="67" t="s">
        <v>142</v>
      </c>
      <c r="G200" s="67" t="s">
        <v>143</v>
      </c>
      <c r="H200" s="69" t="s">
        <v>129</v>
      </c>
      <c r="I200" s="67" t="s">
        <v>130</v>
      </c>
      <c r="J200" s="70" t="s">
        <v>131</v>
      </c>
      <c r="K200" s="68">
        <v>3</v>
      </c>
      <c r="L200" s="68" t="s">
        <v>135</v>
      </c>
      <c r="M200" s="67" t="s">
        <v>135</v>
      </c>
      <c r="O200" s="66" t="s">
        <v>347</v>
      </c>
      <c r="P200" s="73" t="s">
        <v>59</v>
      </c>
      <c r="Q200" s="73" t="s">
        <v>59</v>
      </c>
      <c r="S200" s="66" t="str">
        <f t="shared" si="3"/>
        <v>Spain</v>
      </c>
    </row>
    <row r="201" spans="2:19">
      <c r="B201" s="66" t="s">
        <v>335</v>
      </c>
      <c r="C201" s="67">
        <v>8</v>
      </c>
      <c r="D201" s="68">
        <v>9</v>
      </c>
      <c r="E201" s="67" t="s">
        <v>135</v>
      </c>
      <c r="F201" s="67" t="s">
        <v>142</v>
      </c>
      <c r="G201" s="67" t="s">
        <v>123</v>
      </c>
      <c r="H201" s="69">
        <v>2</v>
      </c>
      <c r="I201" s="67" t="s">
        <v>130</v>
      </c>
      <c r="J201" s="70" t="s">
        <v>126</v>
      </c>
      <c r="K201" s="64">
        <v>0</v>
      </c>
      <c r="L201" s="64">
        <v>0</v>
      </c>
      <c r="M201" s="64">
        <v>0</v>
      </c>
      <c r="O201" s="66" t="s">
        <v>348</v>
      </c>
      <c r="P201" s="73" t="s">
        <v>59</v>
      </c>
      <c r="Q201" s="73" t="s">
        <v>59</v>
      </c>
      <c r="S201" s="66" t="str">
        <f t="shared" si="3"/>
        <v>Sri Lanka</v>
      </c>
    </row>
    <row r="202" spans="2:19">
      <c r="B202" s="66" t="s">
        <v>336</v>
      </c>
      <c r="C202" s="67">
        <v>10</v>
      </c>
      <c r="D202" s="68">
        <v>11</v>
      </c>
      <c r="E202" s="67" t="s">
        <v>210</v>
      </c>
      <c r="F202" s="67" t="s">
        <v>122</v>
      </c>
      <c r="G202" s="67" t="s">
        <v>123</v>
      </c>
      <c r="H202" s="69">
        <v>2</v>
      </c>
      <c r="I202" s="67" t="s">
        <v>130</v>
      </c>
      <c r="J202" s="67" t="s">
        <v>131</v>
      </c>
      <c r="K202" s="64">
        <v>0</v>
      </c>
      <c r="L202" s="64">
        <v>0</v>
      </c>
      <c r="M202" s="64">
        <v>0</v>
      </c>
      <c r="O202" s="66" t="s">
        <v>349</v>
      </c>
      <c r="P202" s="73" t="s">
        <v>59</v>
      </c>
      <c r="Q202" s="73" t="s">
        <v>59</v>
      </c>
      <c r="S202" s="66" t="str">
        <f t="shared" si="3"/>
        <v>St Barthelemy</v>
      </c>
    </row>
    <row r="203" spans="2:19">
      <c r="B203" s="66" t="s">
        <v>337</v>
      </c>
      <c r="C203" s="67">
        <v>10</v>
      </c>
      <c r="D203" s="68">
        <v>11</v>
      </c>
      <c r="E203" s="67" t="s">
        <v>121</v>
      </c>
      <c r="F203" s="67" t="s">
        <v>122</v>
      </c>
      <c r="G203" s="67" t="s">
        <v>123</v>
      </c>
      <c r="H203" s="69" t="s">
        <v>147</v>
      </c>
      <c r="I203" s="67" t="s">
        <v>125</v>
      </c>
      <c r="J203" s="70" t="s">
        <v>126</v>
      </c>
      <c r="K203" s="64">
        <v>0</v>
      </c>
      <c r="L203" s="64">
        <v>0</v>
      </c>
      <c r="M203" s="64">
        <v>0</v>
      </c>
      <c r="O203" s="66" t="s">
        <v>350</v>
      </c>
      <c r="P203" s="73" t="s">
        <v>59</v>
      </c>
      <c r="Q203" s="73" t="s">
        <v>59</v>
      </c>
      <c r="S203" s="66" t="str">
        <f t="shared" si="3"/>
        <v>St Eustatius</v>
      </c>
    </row>
    <row r="204" spans="2:19">
      <c r="B204" s="66" t="s">
        <v>351</v>
      </c>
      <c r="C204" s="67">
        <v>10</v>
      </c>
      <c r="D204" s="68">
        <v>11</v>
      </c>
      <c r="E204" s="78" t="s">
        <v>352</v>
      </c>
      <c r="F204" s="67" t="s">
        <v>122</v>
      </c>
      <c r="G204" s="67" t="s">
        <v>123</v>
      </c>
      <c r="H204" s="69"/>
      <c r="I204" s="67" t="s">
        <v>125</v>
      </c>
      <c r="J204" s="70" t="s">
        <v>126</v>
      </c>
      <c r="K204" s="64">
        <v>0</v>
      </c>
      <c r="L204" s="64">
        <v>0</v>
      </c>
      <c r="M204" s="64">
        <v>0</v>
      </c>
      <c r="O204" s="66" t="s">
        <v>353</v>
      </c>
      <c r="P204" s="73" t="s">
        <v>59</v>
      </c>
      <c r="Q204" s="73" t="s">
        <v>59</v>
      </c>
      <c r="S204" s="66" t="str">
        <f t="shared" si="3"/>
        <v>St Helena</v>
      </c>
    </row>
    <row r="205" spans="2:19">
      <c r="B205" s="66" t="s">
        <v>339</v>
      </c>
      <c r="C205" s="67">
        <v>10</v>
      </c>
      <c r="D205" s="68">
        <v>11</v>
      </c>
      <c r="E205" s="67" t="s">
        <v>146</v>
      </c>
      <c r="F205" s="67" t="s">
        <v>122</v>
      </c>
      <c r="G205" s="67" t="s">
        <v>123</v>
      </c>
      <c r="H205" s="69" t="s">
        <v>135</v>
      </c>
      <c r="I205" s="67" t="s">
        <v>125</v>
      </c>
      <c r="J205" s="70" t="s">
        <v>126</v>
      </c>
      <c r="K205" s="64">
        <v>0</v>
      </c>
      <c r="L205" s="64">
        <v>0</v>
      </c>
      <c r="M205" s="64">
        <v>0</v>
      </c>
      <c r="O205" s="66" t="s">
        <v>354</v>
      </c>
      <c r="P205" s="73" t="s">
        <v>59</v>
      </c>
      <c r="Q205" s="73" t="s">
        <v>59</v>
      </c>
      <c r="S205" s="66" t="str">
        <f t="shared" si="3"/>
        <v>St Kitts</v>
      </c>
    </row>
    <row r="206" spans="2:19">
      <c r="B206" s="66" t="s">
        <v>340</v>
      </c>
      <c r="C206" s="67">
        <v>10</v>
      </c>
      <c r="D206" s="68">
        <v>11</v>
      </c>
      <c r="E206" s="67" t="s">
        <v>147</v>
      </c>
      <c r="F206" s="67" t="s">
        <v>122</v>
      </c>
      <c r="G206" s="67" t="s">
        <v>123</v>
      </c>
      <c r="H206" s="69" t="s">
        <v>147</v>
      </c>
      <c r="I206" s="67" t="s">
        <v>125</v>
      </c>
      <c r="J206" s="70" t="s">
        <v>126</v>
      </c>
      <c r="K206" s="64">
        <v>0</v>
      </c>
      <c r="L206" s="64">
        <v>0</v>
      </c>
      <c r="M206" s="64">
        <v>0</v>
      </c>
      <c r="O206" s="66" t="s">
        <v>355</v>
      </c>
      <c r="P206" s="73" t="s">
        <v>59</v>
      </c>
      <c r="Q206" s="73" t="s">
        <v>59</v>
      </c>
      <c r="S206" s="66" t="str">
        <f t="shared" si="3"/>
        <v>St Lucia</v>
      </c>
    </row>
    <row r="207" spans="2:19">
      <c r="B207" s="66" t="s">
        <v>341</v>
      </c>
      <c r="C207" s="67">
        <v>10</v>
      </c>
      <c r="D207" s="68">
        <v>11</v>
      </c>
      <c r="E207" s="67" t="s">
        <v>135</v>
      </c>
      <c r="F207" s="67" t="s">
        <v>122</v>
      </c>
      <c r="G207" s="67" t="s">
        <v>123</v>
      </c>
      <c r="H207" s="69" t="s">
        <v>135</v>
      </c>
      <c r="I207" s="67" t="s">
        <v>130</v>
      </c>
      <c r="J207" s="70" t="s">
        <v>131</v>
      </c>
      <c r="K207" s="64">
        <v>0</v>
      </c>
      <c r="L207" s="64">
        <v>0</v>
      </c>
      <c r="M207" s="64">
        <v>0</v>
      </c>
      <c r="O207" s="66" t="s">
        <v>356</v>
      </c>
      <c r="P207" s="73" t="s">
        <v>59</v>
      </c>
      <c r="Q207" s="73" t="s">
        <v>59</v>
      </c>
      <c r="S207" s="66" t="str">
        <f t="shared" si="3"/>
        <v>St Maarten</v>
      </c>
    </row>
    <row r="208" spans="2:19">
      <c r="B208" s="66" t="s">
        <v>342</v>
      </c>
      <c r="C208" s="67">
        <v>10</v>
      </c>
      <c r="D208" s="68">
        <v>11</v>
      </c>
      <c r="E208" s="67" t="s">
        <v>135</v>
      </c>
      <c r="F208" s="67" t="s">
        <v>122</v>
      </c>
      <c r="G208" s="67" t="s">
        <v>123</v>
      </c>
      <c r="H208" s="69" t="s">
        <v>147</v>
      </c>
      <c r="I208" s="67" t="s">
        <v>125</v>
      </c>
      <c r="J208" s="70" t="s">
        <v>126</v>
      </c>
      <c r="K208" s="64">
        <v>0</v>
      </c>
      <c r="L208" s="64">
        <v>0</v>
      </c>
      <c r="M208" s="64">
        <v>0</v>
      </c>
      <c r="O208" s="66" t="s">
        <v>357</v>
      </c>
      <c r="P208" s="73" t="s">
        <v>59</v>
      </c>
      <c r="Q208" s="73" t="s">
        <v>59</v>
      </c>
      <c r="S208" s="66" t="str">
        <f t="shared" si="3"/>
        <v>St Vincent</v>
      </c>
    </row>
    <row r="209" spans="2:19">
      <c r="B209" s="66" t="s">
        <v>358</v>
      </c>
      <c r="C209" s="67">
        <v>10</v>
      </c>
      <c r="D209" s="68">
        <v>11</v>
      </c>
      <c r="E209" s="67" t="s">
        <v>124</v>
      </c>
      <c r="F209" s="67" t="s">
        <v>122</v>
      </c>
      <c r="G209" s="67" t="s">
        <v>123</v>
      </c>
      <c r="H209" s="64" t="s">
        <v>116</v>
      </c>
      <c r="I209" s="64" t="s">
        <v>116</v>
      </c>
      <c r="J209" s="75" t="s">
        <v>116</v>
      </c>
      <c r="K209" s="64">
        <v>0</v>
      </c>
      <c r="L209" s="64">
        <v>0</v>
      </c>
      <c r="M209" s="64">
        <v>0</v>
      </c>
      <c r="O209" s="66" t="s">
        <v>359</v>
      </c>
      <c r="P209" s="73" t="s">
        <v>59</v>
      </c>
      <c r="Q209" s="73" t="s">
        <v>59</v>
      </c>
      <c r="S209" s="66" t="str">
        <f t="shared" si="3"/>
        <v>Sudan</v>
      </c>
    </row>
    <row r="210" spans="2:19">
      <c r="B210" s="66" t="s">
        <v>343</v>
      </c>
      <c r="C210" s="67">
        <v>10</v>
      </c>
      <c r="D210" s="68">
        <v>11</v>
      </c>
      <c r="E210" s="67" t="s">
        <v>146</v>
      </c>
      <c r="F210" s="67" t="s">
        <v>122</v>
      </c>
      <c r="G210" s="67" t="s">
        <v>123</v>
      </c>
      <c r="H210" s="69">
        <v>3</v>
      </c>
      <c r="I210" s="67" t="s">
        <v>125</v>
      </c>
      <c r="J210" s="70" t="s">
        <v>126</v>
      </c>
      <c r="K210" s="64">
        <v>0</v>
      </c>
      <c r="L210" s="64">
        <v>0</v>
      </c>
      <c r="M210" s="64">
        <v>0</v>
      </c>
      <c r="O210" s="66" t="s">
        <v>360</v>
      </c>
      <c r="P210" s="73" t="s">
        <v>59</v>
      </c>
      <c r="Q210" s="73" t="s">
        <v>59</v>
      </c>
      <c r="S210" s="66" t="str">
        <f t="shared" si="3"/>
        <v>Suriname</v>
      </c>
    </row>
    <row r="211" spans="2:19">
      <c r="B211" s="66" t="s">
        <v>344</v>
      </c>
      <c r="C211" s="67">
        <v>10</v>
      </c>
      <c r="D211" s="68">
        <v>11</v>
      </c>
      <c r="E211" s="67" t="s">
        <v>124</v>
      </c>
      <c r="F211" s="67" t="s">
        <v>122</v>
      </c>
      <c r="G211" s="67" t="s">
        <v>123</v>
      </c>
      <c r="H211" s="69" t="s">
        <v>135</v>
      </c>
      <c r="I211" s="67" t="s">
        <v>130</v>
      </c>
      <c r="J211" s="70" t="s">
        <v>131</v>
      </c>
      <c r="K211" s="64">
        <v>0</v>
      </c>
      <c r="L211" s="64">
        <v>0</v>
      </c>
      <c r="M211" s="64">
        <v>0</v>
      </c>
      <c r="O211" s="66" t="s">
        <v>361</v>
      </c>
      <c r="P211" s="73" t="s">
        <v>59</v>
      </c>
      <c r="Q211" s="73" t="s">
        <v>59</v>
      </c>
      <c r="S211" s="66" t="str">
        <f t="shared" si="3"/>
        <v>Swaziland</v>
      </c>
    </row>
    <row r="212" spans="2:19">
      <c r="B212" s="66" t="s">
        <v>196</v>
      </c>
      <c r="C212" s="67">
        <v>3</v>
      </c>
      <c r="D212" s="68">
        <v>4</v>
      </c>
      <c r="E212" s="67" t="s">
        <v>129</v>
      </c>
      <c r="F212" s="67" t="s">
        <v>142</v>
      </c>
      <c r="G212" s="67" t="s">
        <v>143</v>
      </c>
      <c r="H212" s="69">
        <v>1</v>
      </c>
      <c r="I212" s="67" t="s">
        <v>130</v>
      </c>
      <c r="J212" s="67" t="s">
        <v>131</v>
      </c>
      <c r="K212" s="68">
        <v>3</v>
      </c>
      <c r="L212" s="68" t="s">
        <v>362</v>
      </c>
      <c r="M212" s="67" t="s">
        <v>138</v>
      </c>
      <c r="O212" s="66" t="s">
        <v>363</v>
      </c>
      <c r="P212" s="73" t="s">
        <v>59</v>
      </c>
      <c r="Q212" s="73" t="s">
        <v>59</v>
      </c>
      <c r="S212" s="66" t="str">
        <f t="shared" si="3"/>
        <v>Sweden</v>
      </c>
    </row>
    <row r="213" spans="2:19">
      <c r="B213" s="66" t="s">
        <v>198</v>
      </c>
      <c r="C213" s="67">
        <v>5</v>
      </c>
      <c r="D213" s="68">
        <v>6</v>
      </c>
      <c r="E213" s="67" t="s">
        <v>129</v>
      </c>
      <c r="F213" s="67" t="s">
        <v>142</v>
      </c>
      <c r="G213" s="67" t="s">
        <v>143</v>
      </c>
      <c r="H213" s="69">
        <v>1</v>
      </c>
      <c r="I213" s="67" t="s">
        <v>130</v>
      </c>
      <c r="J213" s="70" t="s">
        <v>131</v>
      </c>
      <c r="K213" s="68">
        <v>5</v>
      </c>
      <c r="L213" s="68">
        <v>3</v>
      </c>
      <c r="M213" s="67">
        <v>3</v>
      </c>
      <c r="O213" s="66" t="s">
        <v>364</v>
      </c>
      <c r="P213" s="73" t="s">
        <v>59</v>
      </c>
      <c r="Q213" s="73" t="s">
        <v>59</v>
      </c>
      <c r="S213" s="66" t="str">
        <f t="shared" si="3"/>
        <v>Switzerland</v>
      </c>
    </row>
    <row r="214" spans="2:19">
      <c r="B214" s="66" t="s">
        <v>346</v>
      </c>
      <c r="C214" s="67">
        <v>10</v>
      </c>
      <c r="D214" s="68">
        <v>11</v>
      </c>
      <c r="E214" s="67" t="s">
        <v>135</v>
      </c>
      <c r="F214" s="67" t="s">
        <v>122</v>
      </c>
      <c r="G214" s="67" t="s">
        <v>123</v>
      </c>
      <c r="H214" s="69" t="s">
        <v>135</v>
      </c>
      <c r="I214" s="67" t="s">
        <v>130</v>
      </c>
      <c r="J214" s="70" t="s">
        <v>131</v>
      </c>
      <c r="K214" s="64">
        <v>0</v>
      </c>
      <c r="L214" s="64">
        <v>0</v>
      </c>
      <c r="M214" s="64">
        <v>0</v>
      </c>
      <c r="O214" s="66" t="s">
        <v>365</v>
      </c>
      <c r="P214" s="73" t="s">
        <v>59</v>
      </c>
      <c r="Q214" s="73" t="s">
        <v>59</v>
      </c>
      <c r="S214" s="66" t="str">
        <f t="shared" si="3"/>
        <v>Syria</v>
      </c>
    </row>
    <row r="215" spans="2:19">
      <c r="B215" s="66" t="s">
        <v>347</v>
      </c>
      <c r="C215" s="67">
        <v>10</v>
      </c>
      <c r="D215" s="68">
        <v>11</v>
      </c>
      <c r="E215" s="67" t="s">
        <v>147</v>
      </c>
      <c r="F215" s="67" t="s">
        <v>122</v>
      </c>
      <c r="G215" s="67" t="s">
        <v>123</v>
      </c>
      <c r="H215" s="69" t="s">
        <v>146</v>
      </c>
      <c r="I215" s="67" t="s">
        <v>125</v>
      </c>
      <c r="J215" s="70" t="s">
        <v>126</v>
      </c>
      <c r="K215" s="64">
        <v>0</v>
      </c>
      <c r="L215" s="64">
        <v>0</v>
      </c>
      <c r="M215" s="64">
        <v>0</v>
      </c>
      <c r="O215" s="66" t="s">
        <v>366</v>
      </c>
      <c r="P215" s="73" t="s">
        <v>59</v>
      </c>
      <c r="Q215" s="73" t="s">
        <v>59</v>
      </c>
      <c r="S215" s="66" t="str">
        <f t="shared" si="3"/>
        <v>Tahiti</v>
      </c>
    </row>
    <row r="216" spans="2:19">
      <c r="B216" s="66" t="s">
        <v>348</v>
      </c>
      <c r="C216" s="67">
        <v>8</v>
      </c>
      <c r="D216" s="68">
        <v>9</v>
      </c>
      <c r="E216" s="67">
        <v>2</v>
      </c>
      <c r="F216" s="67" t="s">
        <v>142</v>
      </c>
      <c r="G216" s="67" t="s">
        <v>143</v>
      </c>
      <c r="H216" s="69">
        <v>2</v>
      </c>
      <c r="I216" s="67" t="s">
        <v>130</v>
      </c>
      <c r="J216" s="70" t="s">
        <v>131</v>
      </c>
      <c r="K216" s="64">
        <v>0</v>
      </c>
      <c r="L216" s="64">
        <v>0</v>
      </c>
      <c r="M216" s="64">
        <v>0</v>
      </c>
      <c r="O216" s="66" t="s">
        <v>367</v>
      </c>
      <c r="P216" s="73" t="s">
        <v>59</v>
      </c>
      <c r="Q216" s="73" t="s">
        <v>59</v>
      </c>
      <c r="S216" s="66" t="str">
        <f t="shared" si="3"/>
        <v>Taiwan</v>
      </c>
    </row>
    <row r="217" spans="2:19">
      <c r="B217" s="66" t="s">
        <v>349</v>
      </c>
      <c r="C217" s="67">
        <v>10</v>
      </c>
      <c r="D217" s="68">
        <v>11</v>
      </c>
      <c r="E217" s="67" t="s">
        <v>124</v>
      </c>
      <c r="F217" s="67" t="s">
        <v>122</v>
      </c>
      <c r="G217" s="67" t="s">
        <v>123</v>
      </c>
      <c r="H217" s="69">
        <v>3</v>
      </c>
      <c r="I217" s="67" t="s">
        <v>125</v>
      </c>
      <c r="J217" s="70" t="s">
        <v>126</v>
      </c>
      <c r="K217" s="64">
        <v>0</v>
      </c>
      <c r="L217" s="64">
        <v>0</v>
      </c>
      <c r="M217" s="64">
        <v>0</v>
      </c>
      <c r="O217" s="66" t="s">
        <v>368</v>
      </c>
      <c r="P217" s="73" t="s">
        <v>59</v>
      </c>
      <c r="Q217" s="73" t="s">
        <v>59</v>
      </c>
      <c r="S217" s="66" t="str">
        <f t="shared" si="3"/>
        <v>Tajikistan</v>
      </c>
    </row>
    <row r="218" spans="2:19">
      <c r="B218" s="66" t="s">
        <v>350</v>
      </c>
      <c r="C218" s="67">
        <v>10</v>
      </c>
      <c r="D218" s="68">
        <v>11</v>
      </c>
      <c r="E218" s="67" t="s">
        <v>135</v>
      </c>
      <c r="F218" s="67" t="s">
        <v>122</v>
      </c>
      <c r="G218" s="67" t="s">
        <v>123</v>
      </c>
      <c r="H218" s="69" t="s">
        <v>135</v>
      </c>
      <c r="I218" s="67" t="s">
        <v>130</v>
      </c>
      <c r="J218" s="70" t="s">
        <v>131</v>
      </c>
      <c r="K218" s="64">
        <v>0</v>
      </c>
      <c r="L218" s="64">
        <v>0</v>
      </c>
      <c r="M218" s="64">
        <v>0</v>
      </c>
      <c r="O218" s="66" t="s">
        <v>369</v>
      </c>
      <c r="P218" s="73" t="s">
        <v>59</v>
      </c>
      <c r="Q218" s="73" t="s">
        <v>59</v>
      </c>
      <c r="S218" s="66" t="str">
        <f t="shared" si="3"/>
        <v>Tanzania</v>
      </c>
    </row>
    <row r="219" spans="2:19">
      <c r="B219" s="66" t="s">
        <v>353</v>
      </c>
      <c r="C219" s="67">
        <v>8</v>
      </c>
      <c r="D219" s="68">
        <v>9</v>
      </c>
      <c r="E219" s="67" t="s">
        <v>135</v>
      </c>
      <c r="F219" s="67" t="s">
        <v>142</v>
      </c>
      <c r="G219" s="67" t="s">
        <v>143</v>
      </c>
      <c r="H219" s="69">
        <v>2</v>
      </c>
      <c r="I219" s="67" t="s">
        <v>130</v>
      </c>
      <c r="J219" s="70" t="s">
        <v>131</v>
      </c>
      <c r="K219" s="64">
        <v>0</v>
      </c>
      <c r="L219" s="64">
        <v>0</v>
      </c>
      <c r="M219" s="64">
        <v>0</v>
      </c>
      <c r="O219" s="66" t="s">
        <v>370</v>
      </c>
      <c r="P219" s="73" t="s">
        <v>59</v>
      </c>
      <c r="Q219" s="73" t="s">
        <v>59</v>
      </c>
      <c r="S219" s="66" t="str">
        <f t="shared" si="3"/>
        <v>Thailand</v>
      </c>
    </row>
    <row r="220" spans="2:19">
      <c r="B220" s="66" t="s">
        <v>354</v>
      </c>
      <c r="C220" s="67">
        <v>10</v>
      </c>
      <c r="D220" s="68">
        <v>11</v>
      </c>
      <c r="E220" s="67" t="s">
        <v>135</v>
      </c>
      <c r="F220" s="67" t="s">
        <v>122</v>
      </c>
      <c r="G220" s="67" t="s">
        <v>123</v>
      </c>
      <c r="H220" s="69">
        <v>2</v>
      </c>
      <c r="I220" s="67" t="s">
        <v>130</v>
      </c>
      <c r="J220" s="70" t="s">
        <v>131</v>
      </c>
      <c r="K220" s="64">
        <v>0</v>
      </c>
      <c r="L220" s="64">
        <v>0</v>
      </c>
      <c r="M220" s="64">
        <v>0</v>
      </c>
      <c r="O220" s="66" t="s">
        <v>371</v>
      </c>
      <c r="P220" s="73" t="s">
        <v>59</v>
      </c>
      <c r="Q220" s="73" t="s">
        <v>59</v>
      </c>
      <c r="S220" s="66" t="str">
        <f t="shared" si="3"/>
        <v>Togo</v>
      </c>
    </row>
    <row r="221" spans="2:19">
      <c r="B221" s="66" t="s">
        <v>355</v>
      </c>
      <c r="C221" s="67">
        <v>10</v>
      </c>
      <c r="D221" s="68">
        <v>11</v>
      </c>
      <c r="E221" s="67" t="s">
        <v>138</v>
      </c>
      <c r="F221" s="67" t="s">
        <v>122</v>
      </c>
      <c r="G221" s="67" t="s">
        <v>123</v>
      </c>
      <c r="H221" s="69" t="s">
        <v>147</v>
      </c>
      <c r="I221" s="67" t="s">
        <v>125</v>
      </c>
      <c r="J221" s="70" t="s">
        <v>126</v>
      </c>
      <c r="K221" s="64">
        <v>0</v>
      </c>
      <c r="L221" s="64">
        <v>0</v>
      </c>
      <c r="M221" s="64">
        <v>0</v>
      </c>
      <c r="O221" s="66" t="s">
        <v>372</v>
      </c>
      <c r="P221" s="73" t="s">
        <v>59</v>
      </c>
      <c r="Q221" s="73" t="s">
        <v>59</v>
      </c>
      <c r="S221" s="66" t="str">
        <f t="shared" si="3"/>
        <v>Tonga</v>
      </c>
    </row>
    <row r="222" spans="2:19">
      <c r="B222" s="66" t="s">
        <v>356</v>
      </c>
      <c r="C222" s="67">
        <v>10</v>
      </c>
      <c r="D222" s="68">
        <v>11</v>
      </c>
      <c r="E222" s="67" t="s">
        <v>135</v>
      </c>
      <c r="F222" s="67" t="s">
        <v>122</v>
      </c>
      <c r="G222" s="67" t="s">
        <v>123</v>
      </c>
      <c r="H222" s="69" t="s">
        <v>147</v>
      </c>
      <c r="I222" s="67" t="s">
        <v>130</v>
      </c>
      <c r="J222" s="70" t="s">
        <v>131</v>
      </c>
      <c r="K222" s="64">
        <v>0</v>
      </c>
      <c r="L222" s="64">
        <v>0</v>
      </c>
      <c r="M222" s="64">
        <v>0</v>
      </c>
      <c r="O222" s="56" t="s">
        <v>373</v>
      </c>
      <c r="P222" s="73" t="s">
        <v>59</v>
      </c>
      <c r="Q222" s="73" t="s">
        <v>59</v>
      </c>
      <c r="S222" s="66" t="str">
        <f t="shared" si="3"/>
        <v>Trinidad &amp; Tobago</v>
      </c>
    </row>
    <row r="223" spans="2:19">
      <c r="B223" s="66" t="s">
        <v>374</v>
      </c>
      <c r="C223" s="67">
        <v>10</v>
      </c>
      <c r="D223" s="68">
        <v>11</v>
      </c>
      <c r="E223" s="67" t="s">
        <v>134</v>
      </c>
      <c r="F223" s="67" t="s">
        <v>122</v>
      </c>
      <c r="G223" s="67" t="s">
        <v>123</v>
      </c>
      <c r="H223" s="64" t="s">
        <v>116</v>
      </c>
      <c r="I223" s="64" t="s">
        <v>116</v>
      </c>
      <c r="J223" s="75" t="s">
        <v>116</v>
      </c>
      <c r="K223" s="64">
        <v>0</v>
      </c>
      <c r="L223" s="64">
        <v>0</v>
      </c>
      <c r="M223" s="64">
        <v>0</v>
      </c>
      <c r="O223" s="56" t="s">
        <v>375</v>
      </c>
      <c r="P223" s="73" t="s">
        <v>59</v>
      </c>
      <c r="Q223" s="73" t="s">
        <v>59</v>
      </c>
      <c r="S223" s="66" t="str">
        <f t="shared" si="3"/>
        <v>Tunisia</v>
      </c>
    </row>
    <row r="224" spans="2:19">
      <c r="B224" s="66" t="s">
        <v>357</v>
      </c>
      <c r="C224" s="67">
        <v>5</v>
      </c>
      <c r="D224" s="68">
        <v>6</v>
      </c>
      <c r="E224" s="67" t="s">
        <v>129</v>
      </c>
      <c r="F224" s="67" t="s">
        <v>142</v>
      </c>
      <c r="G224" s="67" t="s">
        <v>123</v>
      </c>
      <c r="H224" s="69" t="s">
        <v>129</v>
      </c>
      <c r="I224" s="67" t="s">
        <v>130</v>
      </c>
      <c r="J224" s="67" t="s">
        <v>131</v>
      </c>
      <c r="K224" s="64">
        <v>0</v>
      </c>
      <c r="L224" s="64">
        <v>0</v>
      </c>
      <c r="M224" s="64">
        <v>0</v>
      </c>
      <c r="O224" s="56" t="s">
        <v>376</v>
      </c>
      <c r="P224" s="73" t="s">
        <v>59</v>
      </c>
      <c r="Q224" s="73" t="s">
        <v>59</v>
      </c>
      <c r="S224" s="66" t="str">
        <f t="shared" si="3"/>
        <v>Turkey</v>
      </c>
    </row>
    <row r="225" spans="2:19">
      <c r="B225" s="66" t="s">
        <v>359</v>
      </c>
      <c r="C225" s="67">
        <v>10</v>
      </c>
      <c r="D225" s="68">
        <v>11</v>
      </c>
      <c r="E225" s="67" t="s">
        <v>146</v>
      </c>
      <c r="F225" s="67" t="s">
        <v>122</v>
      </c>
      <c r="G225" s="67" t="s">
        <v>123</v>
      </c>
      <c r="H225" s="69" t="s">
        <v>135</v>
      </c>
      <c r="I225" s="67" t="s">
        <v>130</v>
      </c>
      <c r="J225" s="70" t="s">
        <v>131</v>
      </c>
      <c r="K225" s="64">
        <v>0</v>
      </c>
      <c r="L225" s="64">
        <v>0</v>
      </c>
      <c r="M225" s="64">
        <v>0</v>
      </c>
      <c r="O225" s="73" t="s">
        <v>59</v>
      </c>
      <c r="P225" s="73" t="s">
        <v>59</v>
      </c>
      <c r="Q225" s="73" t="s">
        <v>59</v>
      </c>
      <c r="S225" s="66" t="str">
        <f t="shared" si="3"/>
        <v>Turks &amp; Caicos Islands</v>
      </c>
    </row>
    <row r="226" spans="2:19">
      <c r="B226" s="66" t="s">
        <v>360</v>
      </c>
      <c r="C226" s="67">
        <v>10</v>
      </c>
      <c r="D226" s="68">
        <v>11</v>
      </c>
      <c r="E226" s="67">
        <v>6</v>
      </c>
      <c r="F226" s="67" t="s">
        <v>122</v>
      </c>
      <c r="G226" s="67" t="s">
        <v>123</v>
      </c>
      <c r="H226" s="69">
        <v>5</v>
      </c>
      <c r="I226" s="67" t="s">
        <v>125</v>
      </c>
      <c r="J226" s="70" t="s">
        <v>126</v>
      </c>
      <c r="K226" s="64">
        <v>0</v>
      </c>
      <c r="L226" s="64">
        <v>0</v>
      </c>
      <c r="M226" s="64">
        <v>0</v>
      </c>
      <c r="O226" s="73" t="s">
        <v>59</v>
      </c>
      <c r="P226" s="73" t="s">
        <v>59</v>
      </c>
      <c r="Q226" s="73" t="s">
        <v>59</v>
      </c>
      <c r="S226" s="66" t="str">
        <f t="shared" si="3"/>
        <v>Tuvalu</v>
      </c>
    </row>
    <row r="227" spans="2:19">
      <c r="B227" s="66" t="s">
        <v>361</v>
      </c>
      <c r="C227" s="67">
        <v>10</v>
      </c>
      <c r="D227" s="68">
        <v>11</v>
      </c>
      <c r="E227" s="67" t="s">
        <v>377</v>
      </c>
      <c r="F227" s="67" t="s">
        <v>122</v>
      </c>
      <c r="G227" s="67" t="s">
        <v>123</v>
      </c>
      <c r="H227" s="69" t="s">
        <v>135</v>
      </c>
      <c r="I227" s="67" t="s">
        <v>130</v>
      </c>
      <c r="J227" s="70" t="s">
        <v>131</v>
      </c>
      <c r="K227" s="64">
        <v>0</v>
      </c>
      <c r="L227" s="64">
        <v>0</v>
      </c>
      <c r="M227" s="64">
        <v>0</v>
      </c>
      <c r="O227" s="73" t="s">
        <v>59</v>
      </c>
      <c r="P227" s="73" t="s">
        <v>59</v>
      </c>
      <c r="Q227" s="73" t="s">
        <v>59</v>
      </c>
      <c r="S227" s="66" t="str">
        <f t="shared" si="3"/>
        <v>Uganda</v>
      </c>
    </row>
    <row r="228" spans="2:19">
      <c r="B228" s="66" t="s">
        <v>363</v>
      </c>
      <c r="C228" s="67">
        <v>7</v>
      </c>
      <c r="D228" s="68">
        <v>8</v>
      </c>
      <c r="E228" s="67" t="s">
        <v>134</v>
      </c>
      <c r="F228" s="67" t="s">
        <v>122</v>
      </c>
      <c r="G228" s="67" t="s">
        <v>123</v>
      </c>
      <c r="H228" s="69" t="s">
        <v>129</v>
      </c>
      <c r="I228" s="67" t="s">
        <v>130</v>
      </c>
      <c r="J228" s="70" t="s">
        <v>131</v>
      </c>
      <c r="K228" s="64">
        <v>0</v>
      </c>
      <c r="L228" s="64">
        <v>0</v>
      </c>
      <c r="M228" s="64">
        <v>0</v>
      </c>
      <c r="O228" s="73" t="s">
        <v>59</v>
      </c>
      <c r="P228" s="73" t="s">
        <v>59</v>
      </c>
      <c r="Q228" s="73" t="s">
        <v>59</v>
      </c>
      <c r="S228" s="66" t="str">
        <f t="shared" si="3"/>
        <v>Ukraine</v>
      </c>
    </row>
    <row r="229" spans="2:19">
      <c r="B229" s="66" t="s">
        <v>364</v>
      </c>
      <c r="C229" s="67">
        <v>8</v>
      </c>
      <c r="D229" s="68">
        <v>9</v>
      </c>
      <c r="E229" s="67">
        <v>2</v>
      </c>
      <c r="F229" s="67" t="s">
        <v>142</v>
      </c>
      <c r="G229" s="67" t="s">
        <v>143</v>
      </c>
      <c r="H229" s="69">
        <v>2</v>
      </c>
      <c r="I229" s="67" t="s">
        <v>130</v>
      </c>
      <c r="J229" s="70" t="s">
        <v>131</v>
      </c>
      <c r="K229" s="64">
        <v>0</v>
      </c>
      <c r="L229" s="64">
        <v>0</v>
      </c>
      <c r="M229" s="64">
        <v>0</v>
      </c>
      <c r="O229" s="73" t="s">
        <v>59</v>
      </c>
      <c r="P229" s="73" t="s">
        <v>59</v>
      </c>
      <c r="Q229" s="73" t="s">
        <v>59</v>
      </c>
      <c r="S229" s="66" t="str">
        <f t="shared" si="3"/>
        <v>United Arab Emirates</v>
      </c>
    </row>
    <row r="230" spans="2:19">
      <c r="B230" s="66" t="s">
        <v>365</v>
      </c>
      <c r="C230" s="67">
        <v>10</v>
      </c>
      <c r="D230" s="68">
        <v>11</v>
      </c>
      <c r="E230" s="67" t="s">
        <v>135</v>
      </c>
      <c r="F230" s="67" t="s">
        <v>122</v>
      </c>
      <c r="G230" s="67" t="s">
        <v>123</v>
      </c>
      <c r="H230" s="69" t="s">
        <v>147</v>
      </c>
      <c r="I230" s="67" t="s">
        <v>130</v>
      </c>
      <c r="J230" s="70" t="s">
        <v>131</v>
      </c>
      <c r="K230" s="64">
        <v>0</v>
      </c>
      <c r="L230" s="64">
        <v>0</v>
      </c>
      <c r="M230" s="64">
        <v>0</v>
      </c>
      <c r="O230" s="73" t="s">
        <v>59</v>
      </c>
      <c r="P230" s="73" t="s">
        <v>59</v>
      </c>
      <c r="Q230" s="73" t="s">
        <v>59</v>
      </c>
      <c r="S230" s="66" t="str">
        <f t="shared" si="3"/>
        <v>Uruguay</v>
      </c>
    </row>
    <row r="231" spans="2:19">
      <c r="B231" s="66" t="s">
        <v>366</v>
      </c>
      <c r="C231" s="67">
        <v>6</v>
      </c>
      <c r="D231" s="68">
        <v>7</v>
      </c>
      <c r="E231" s="67" t="s">
        <v>129</v>
      </c>
      <c r="F231" s="67" t="s">
        <v>142</v>
      </c>
      <c r="G231" s="67" t="s">
        <v>143</v>
      </c>
      <c r="H231" s="69">
        <v>2</v>
      </c>
      <c r="I231" s="67" t="s">
        <v>130</v>
      </c>
      <c r="J231" s="70" t="s">
        <v>131</v>
      </c>
      <c r="K231" s="64">
        <v>0</v>
      </c>
      <c r="L231" s="64">
        <v>0</v>
      </c>
      <c r="M231" s="64">
        <v>0</v>
      </c>
      <c r="O231" s="73" t="s">
        <v>59</v>
      </c>
      <c r="P231" s="73" t="s">
        <v>59</v>
      </c>
      <c r="Q231" s="73" t="s">
        <v>59</v>
      </c>
      <c r="S231" s="66" t="str">
        <f t="shared" si="3"/>
        <v>USA</v>
      </c>
    </row>
    <row r="232" spans="2:19">
      <c r="B232" s="66" t="s">
        <v>367</v>
      </c>
      <c r="C232" s="67">
        <v>10</v>
      </c>
      <c r="D232" s="68">
        <v>11</v>
      </c>
      <c r="E232" s="67" t="s">
        <v>146</v>
      </c>
      <c r="F232" s="67" t="s">
        <v>122</v>
      </c>
      <c r="G232" s="67" t="s">
        <v>123</v>
      </c>
      <c r="H232" s="69" t="s">
        <v>135</v>
      </c>
      <c r="I232" s="67" t="s">
        <v>130</v>
      </c>
      <c r="J232" s="70" t="s">
        <v>131</v>
      </c>
      <c r="K232" s="64">
        <v>0</v>
      </c>
      <c r="L232" s="64">
        <v>0</v>
      </c>
      <c r="M232" s="64">
        <v>0</v>
      </c>
      <c r="O232" s="73" t="s">
        <v>59</v>
      </c>
      <c r="P232" s="73" t="s">
        <v>59</v>
      </c>
      <c r="Q232" s="73" t="s">
        <v>59</v>
      </c>
      <c r="S232" s="66" t="str">
        <f t="shared" si="3"/>
        <v>Uzbekistan</v>
      </c>
    </row>
    <row r="233" spans="2:19">
      <c r="B233" s="66" t="s">
        <v>368</v>
      </c>
      <c r="C233" s="67">
        <v>10</v>
      </c>
      <c r="D233" s="68">
        <v>11</v>
      </c>
      <c r="E233" s="67" t="s">
        <v>121</v>
      </c>
      <c r="F233" s="67" t="s">
        <v>122</v>
      </c>
      <c r="G233" s="67" t="s">
        <v>123</v>
      </c>
      <c r="H233" s="69">
        <v>3</v>
      </c>
      <c r="I233" s="67" t="s">
        <v>125</v>
      </c>
      <c r="J233" s="70" t="s">
        <v>126</v>
      </c>
      <c r="K233" s="64">
        <v>0</v>
      </c>
      <c r="L233" s="64">
        <v>0</v>
      </c>
      <c r="M233" s="64">
        <v>0</v>
      </c>
      <c r="O233" s="73" t="s">
        <v>59</v>
      </c>
      <c r="P233" s="73" t="s">
        <v>59</v>
      </c>
      <c r="Q233" s="73" t="s">
        <v>59</v>
      </c>
      <c r="S233" s="66" t="str">
        <f t="shared" si="3"/>
        <v>Vanuatu</v>
      </c>
    </row>
    <row r="234" spans="2:19">
      <c r="B234" s="66" t="s">
        <v>369</v>
      </c>
      <c r="C234" s="67">
        <v>10</v>
      </c>
      <c r="D234" s="68">
        <v>11</v>
      </c>
      <c r="E234" s="67" t="s">
        <v>135</v>
      </c>
      <c r="F234" s="67" t="s">
        <v>122</v>
      </c>
      <c r="G234" s="67" t="s">
        <v>123</v>
      </c>
      <c r="H234" s="69" t="s">
        <v>146</v>
      </c>
      <c r="I234" s="67" t="s">
        <v>125</v>
      </c>
      <c r="J234" s="70" t="s">
        <v>126</v>
      </c>
      <c r="K234" s="64">
        <v>0</v>
      </c>
      <c r="L234" s="64">
        <v>0</v>
      </c>
      <c r="M234" s="64">
        <v>0</v>
      </c>
      <c r="O234" s="73" t="s">
        <v>59</v>
      </c>
      <c r="P234" s="73" t="s">
        <v>59</v>
      </c>
      <c r="Q234" s="73" t="s">
        <v>59</v>
      </c>
      <c r="S234" s="66" t="str">
        <f t="shared" si="3"/>
        <v>Venezuela</v>
      </c>
    </row>
    <row r="235" spans="2:19">
      <c r="B235" s="66" t="s">
        <v>370</v>
      </c>
      <c r="C235" s="67">
        <v>8</v>
      </c>
      <c r="D235" s="68">
        <v>9</v>
      </c>
      <c r="E235" s="67" t="s">
        <v>135</v>
      </c>
      <c r="F235" s="67" t="s">
        <v>142</v>
      </c>
      <c r="G235" s="67" t="s">
        <v>123</v>
      </c>
      <c r="H235" s="69" t="s">
        <v>135</v>
      </c>
      <c r="I235" s="67" t="s">
        <v>130</v>
      </c>
      <c r="J235" s="70" t="s">
        <v>131</v>
      </c>
      <c r="K235" s="64">
        <v>0</v>
      </c>
      <c r="L235" s="64">
        <v>0</v>
      </c>
      <c r="M235" s="64">
        <v>0</v>
      </c>
      <c r="O235" s="73" t="s">
        <v>59</v>
      </c>
      <c r="P235" s="73" t="s">
        <v>59</v>
      </c>
      <c r="Q235" s="73" t="s">
        <v>59</v>
      </c>
      <c r="S235" s="66" t="str">
        <f t="shared" si="3"/>
        <v>Vietnam</v>
      </c>
    </row>
    <row r="236" spans="2:19">
      <c r="B236" s="66" t="s">
        <v>371</v>
      </c>
      <c r="C236" s="67">
        <v>10</v>
      </c>
      <c r="D236" s="68">
        <v>11</v>
      </c>
      <c r="E236" s="67" t="s">
        <v>124</v>
      </c>
      <c r="F236" s="67" t="s">
        <v>122</v>
      </c>
      <c r="G236" s="67" t="s">
        <v>123</v>
      </c>
      <c r="H236" s="69" t="s">
        <v>135</v>
      </c>
      <c r="I236" s="67" t="s">
        <v>130</v>
      </c>
      <c r="J236" s="70" t="s">
        <v>131</v>
      </c>
      <c r="K236" s="64">
        <v>0</v>
      </c>
      <c r="L236" s="64">
        <v>0</v>
      </c>
      <c r="M236" s="64">
        <v>0</v>
      </c>
      <c r="O236" s="73" t="s">
        <v>59</v>
      </c>
      <c r="P236" s="73" t="s">
        <v>59</v>
      </c>
      <c r="Q236" s="73" t="s">
        <v>59</v>
      </c>
      <c r="S236" s="66" t="str">
        <f t="shared" si="3"/>
        <v>Virgin Islands, British</v>
      </c>
    </row>
    <row r="237" spans="2:19">
      <c r="B237" s="66" t="s">
        <v>372</v>
      </c>
      <c r="C237" s="67">
        <v>10</v>
      </c>
      <c r="D237" s="68">
        <v>11</v>
      </c>
      <c r="E237" s="67" t="s">
        <v>135</v>
      </c>
      <c r="F237" s="67" t="s">
        <v>122</v>
      </c>
      <c r="G237" s="67" t="s">
        <v>123</v>
      </c>
      <c r="H237" s="69" t="s">
        <v>135</v>
      </c>
      <c r="I237" s="67" t="s">
        <v>130</v>
      </c>
      <c r="J237" s="70" t="s">
        <v>131</v>
      </c>
      <c r="K237" s="64">
        <v>0</v>
      </c>
      <c r="L237" s="64">
        <v>0</v>
      </c>
      <c r="M237" s="64">
        <v>0</v>
      </c>
      <c r="O237" s="73" t="s">
        <v>59</v>
      </c>
      <c r="P237" s="73" t="s">
        <v>59</v>
      </c>
      <c r="Q237" s="73" t="s">
        <v>59</v>
      </c>
      <c r="S237" s="66" t="str">
        <f t="shared" si="3"/>
        <v>Virgin Islands, US</v>
      </c>
    </row>
    <row r="238" spans="2:19">
      <c r="B238" s="56" t="s">
        <v>373</v>
      </c>
      <c r="C238" s="68">
        <v>9</v>
      </c>
      <c r="D238" s="68">
        <v>10</v>
      </c>
      <c r="E238" s="68" t="s">
        <v>147</v>
      </c>
      <c r="F238" s="67" t="s">
        <v>122</v>
      </c>
      <c r="G238" s="67" t="s">
        <v>123</v>
      </c>
      <c r="H238" s="69">
        <v>3</v>
      </c>
      <c r="I238" s="67" t="s">
        <v>130</v>
      </c>
      <c r="J238" s="70" t="s">
        <v>131</v>
      </c>
      <c r="K238" s="64">
        <v>0</v>
      </c>
      <c r="L238" s="64">
        <v>0</v>
      </c>
      <c r="M238" s="64">
        <v>0</v>
      </c>
      <c r="O238" s="73"/>
      <c r="P238" s="73"/>
      <c r="Q238" s="73"/>
      <c r="S238" s="66" t="str">
        <f t="shared" si="3"/>
        <v>Yemen</v>
      </c>
    </row>
    <row r="239" spans="2:19">
      <c r="B239" s="56" t="s">
        <v>375</v>
      </c>
      <c r="C239" s="68">
        <v>10</v>
      </c>
      <c r="D239" s="68">
        <v>11</v>
      </c>
      <c r="E239" s="68" t="s">
        <v>124</v>
      </c>
      <c r="F239" s="67" t="s">
        <v>122</v>
      </c>
      <c r="G239" s="67" t="s">
        <v>123</v>
      </c>
      <c r="H239" s="69" t="s">
        <v>135</v>
      </c>
      <c r="I239" s="67" t="s">
        <v>130</v>
      </c>
      <c r="J239" s="70" t="s">
        <v>131</v>
      </c>
      <c r="K239" s="64">
        <v>0</v>
      </c>
      <c r="L239" s="64">
        <v>0</v>
      </c>
      <c r="M239" s="64">
        <v>0</v>
      </c>
      <c r="O239" s="73" t="s">
        <v>59</v>
      </c>
      <c r="P239" s="73" t="s">
        <v>59</v>
      </c>
      <c r="Q239" s="73" t="s">
        <v>59</v>
      </c>
      <c r="S239" s="66" t="str">
        <f t="shared" si="3"/>
        <v>Zambia</v>
      </c>
    </row>
    <row r="240" spans="2:19">
      <c r="B240" s="56" t="s">
        <v>376</v>
      </c>
      <c r="C240" s="68">
        <v>10</v>
      </c>
      <c r="D240" s="68">
        <v>11</v>
      </c>
      <c r="E240" s="68" t="s">
        <v>124</v>
      </c>
      <c r="F240" s="67" t="s">
        <v>122</v>
      </c>
      <c r="G240" s="67" t="s">
        <v>123</v>
      </c>
      <c r="H240" s="69" t="s">
        <v>135</v>
      </c>
      <c r="I240" s="67" t="s">
        <v>125</v>
      </c>
      <c r="J240" s="70" t="s">
        <v>126</v>
      </c>
      <c r="K240" s="64">
        <v>0</v>
      </c>
      <c r="L240" s="64">
        <v>0</v>
      </c>
      <c r="M240" s="64">
        <v>0</v>
      </c>
      <c r="O240" s="73" t="s">
        <v>59</v>
      </c>
      <c r="P240" s="73" t="s">
        <v>59</v>
      </c>
      <c r="Q240" s="73" t="s">
        <v>59</v>
      </c>
      <c r="S240" s="66" t="str">
        <f t="shared" si="3"/>
        <v>Zimbabwe</v>
      </c>
    </row>
    <row r="241" spans="3:13">
      <c r="C241" s="58" t="s">
        <v>104</v>
      </c>
      <c r="D241" s="59" t="s">
        <v>105</v>
      </c>
      <c r="E241" s="79" t="s">
        <v>378</v>
      </c>
      <c r="F241" s="79" t="s">
        <v>107</v>
      </c>
      <c r="G241" s="79" t="s">
        <v>108</v>
      </c>
      <c r="H241" s="79" t="s">
        <v>106</v>
      </c>
      <c r="I241" s="80" t="s">
        <v>109</v>
      </c>
      <c r="J241" s="80" t="s">
        <v>110</v>
      </c>
      <c r="K241" s="81" t="s">
        <v>111</v>
      </c>
      <c r="L241" s="62" t="s">
        <v>112</v>
      </c>
      <c r="M241" s="62" t="s">
        <v>113</v>
      </c>
    </row>
    <row r="242" spans="3:13">
      <c r="C242" s="82">
        <f>VLOOKUP('Shipping Calculator'!C3,'Country Tables'!B6:C240,2,0)</f>
        <v>10</v>
      </c>
      <c r="D242" s="82">
        <f>VLOOKUP('Shipping Calculator'!C3,'Country Tables'!B6:D240,3,0)</f>
        <v>11</v>
      </c>
      <c r="E242" s="82" t="str">
        <f>VLOOKUP('Shipping Calculator'!C3,'Country Tables'!B6:E240,4,0)</f>
        <v>2-3</v>
      </c>
      <c r="F242" s="82" t="str">
        <f>VLOOKUP('Shipping Calculator'!C3,'Country Tables'!B6:F240,5,0)</f>
        <v>No OB12</v>
      </c>
      <c r="G242" s="82" t="str">
        <f>VLOOKUP('Shipping Calculator'!C3,'Country Tables'!B6:G240,6,0)</f>
        <v>No OB9</v>
      </c>
      <c r="H242" s="82">
        <f>VLOOKUP('Shipping Calculator'!C3,'Country Tables'!B6:H240,7,0)</f>
        <v>2</v>
      </c>
      <c r="I242" s="82" t="str">
        <f>VLOOKUP('Shipping Calculator'!C3,'Country Tables'!B6:I240,8,0)</f>
        <v>Yes IB12</v>
      </c>
      <c r="J242" s="82" t="str">
        <f>VLOOKUP('Shipping Calculator'!C3,'Country Tables'!B6:J240,9,0)</f>
        <v>Yes IB9</v>
      </c>
      <c r="K242" s="82">
        <f>VLOOKUP('Shipping Calculator'!C3,'Country Tables'!B6:K240,10,0)</f>
        <v>0</v>
      </c>
      <c r="L242" s="82">
        <f>VLOOKUP('Shipping Calculator'!C3,'Country Tables'!B6:L240,11,0)</f>
        <v>0</v>
      </c>
      <c r="M242" s="82">
        <f>VLOOKUP('Shipping Calculator'!C3,'Country Tables'!B6:M240,12,0)</f>
        <v>0</v>
      </c>
    </row>
    <row r="243" spans="3:13">
      <c r="D243" s="83" t="s">
        <v>102</v>
      </c>
      <c r="K243" s="67">
        <f>K242-C242</f>
        <v>-10</v>
      </c>
    </row>
    <row r="244" spans="3:13">
      <c r="K244" s="84" t="s">
        <v>379</v>
      </c>
    </row>
    <row r="245" spans="3:13">
      <c r="K245" s="85" t="s">
        <v>380</v>
      </c>
    </row>
    <row r="246" spans="3:13">
      <c r="K246" s="86">
        <f>IF(K242=0,0,K242+1)</f>
        <v>0</v>
      </c>
    </row>
    <row r="247" spans="3:13">
      <c r="K247" s="55"/>
    </row>
  </sheetData>
  <pageMargins left="0.75" right="0.75" top="1" bottom="1" header="0.5" footer="0.5"/>
  <headerFooter alignWithMargins="0"/>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FFFF00"/>
    <pageSetUpPr autoPageBreaks="0" fitToPage="1"/>
  </sheetPr>
  <dimension ref="A1:DC692"/>
  <sheetViews>
    <sheetView showGridLines="0" topLeftCell="A9" zoomScale="130" zoomScaleNormal="130" zoomScalePageLayoutView="130" workbookViewId="0">
      <selection activeCell="BK24" sqref="BK24"/>
    </sheetView>
  </sheetViews>
  <sheetFormatPr baseColWidth="10" defaultColWidth="2.6640625" defaultRowHeight="15" x14ac:dyDescent="0"/>
  <cols>
    <col min="1" max="1" width="2.6640625" style="87" customWidth="1"/>
    <col min="2" max="58" width="2.6640625" style="87" hidden="1" customWidth="1"/>
    <col min="59" max="61" width="7.5" style="88" customWidth="1"/>
    <col min="62" max="62" width="11.5" style="240" customWidth="1"/>
    <col min="63" max="63" width="8.5" style="240" bestFit="1" customWidth="1"/>
    <col min="64" max="64" width="8.1640625" style="240" bestFit="1" customWidth="1"/>
    <col min="65" max="71" width="7.5" style="240" customWidth="1"/>
    <col min="72" max="72" width="9.5" style="240" customWidth="1"/>
    <col min="73" max="73" width="9.83203125" style="240" customWidth="1"/>
    <col min="74" max="74" width="10.33203125" style="240" customWidth="1"/>
    <col min="75" max="77" width="7.5" style="240" customWidth="1"/>
    <col min="78" max="78" width="9.5" style="240" customWidth="1"/>
    <col min="79" max="79" width="9.6640625" style="240" customWidth="1"/>
    <col min="80" max="80" width="2.5" style="88" customWidth="1"/>
    <col min="81" max="82" width="3.1640625" style="88" customWidth="1"/>
    <col min="83" max="83" width="12.5" style="88" customWidth="1"/>
    <col min="84" max="84" width="9.1640625" style="89" customWidth="1"/>
    <col min="85" max="85" width="11.33203125" style="90" customWidth="1"/>
    <col min="86" max="86" width="6.1640625" style="90" customWidth="1"/>
    <col min="87" max="102" width="5.5" style="90" customWidth="1"/>
    <col min="103" max="103" width="6" style="90" customWidth="1"/>
    <col min="104" max="104" width="2.6640625" style="90" customWidth="1"/>
    <col min="105" max="105" width="16.5" style="90" customWidth="1"/>
    <col min="106" max="106" width="4.83203125" style="91" customWidth="1"/>
    <col min="107" max="107" width="2.6640625" style="91"/>
    <col min="108" max="257" width="2.6640625" style="87"/>
    <col min="258" max="314" width="0" style="87" hidden="1" customWidth="1"/>
    <col min="315" max="317" width="7.5" style="87" customWidth="1"/>
    <col min="318" max="318" width="11.5" style="87" customWidth="1"/>
    <col min="319" max="319" width="8.1640625" style="87" customWidth="1"/>
    <col min="320" max="327" width="7.5" style="87" customWidth="1"/>
    <col min="328" max="328" width="9.5" style="87" customWidth="1"/>
    <col min="329" max="329" width="9.83203125" style="87" customWidth="1"/>
    <col min="330" max="330" width="10.33203125" style="87" customWidth="1"/>
    <col min="331" max="333" width="7.5" style="87" customWidth="1"/>
    <col min="334" max="334" width="9.5" style="87" customWidth="1"/>
    <col min="335" max="335" width="9.6640625" style="87" customWidth="1"/>
    <col min="336" max="336" width="2.5" style="87" customWidth="1"/>
    <col min="337" max="338" width="3.1640625" style="87" customWidth="1"/>
    <col min="339" max="339" width="12.5" style="87" customWidth="1"/>
    <col min="340" max="340" width="9.1640625" style="87" customWidth="1"/>
    <col min="341" max="341" width="11.33203125" style="87" customWidth="1"/>
    <col min="342" max="342" width="6.1640625" style="87" customWidth="1"/>
    <col min="343" max="358" width="5.5" style="87" customWidth="1"/>
    <col min="359" max="359" width="6" style="87" customWidth="1"/>
    <col min="360" max="360" width="2.6640625" style="87"/>
    <col min="361" max="361" width="16.5" style="87" customWidth="1"/>
    <col min="362" max="362" width="4.83203125" style="87" customWidth="1"/>
    <col min="363" max="513" width="2.6640625" style="87"/>
    <col min="514" max="570" width="0" style="87" hidden="1" customWidth="1"/>
    <col min="571" max="573" width="7.5" style="87" customWidth="1"/>
    <col min="574" max="574" width="11.5" style="87" customWidth="1"/>
    <col min="575" max="575" width="8.1640625" style="87" customWidth="1"/>
    <col min="576" max="583" width="7.5" style="87" customWidth="1"/>
    <col min="584" max="584" width="9.5" style="87" customWidth="1"/>
    <col min="585" max="585" width="9.83203125" style="87" customWidth="1"/>
    <col min="586" max="586" width="10.33203125" style="87" customWidth="1"/>
    <col min="587" max="589" width="7.5" style="87" customWidth="1"/>
    <col min="590" max="590" width="9.5" style="87" customWidth="1"/>
    <col min="591" max="591" width="9.6640625" style="87" customWidth="1"/>
    <col min="592" max="592" width="2.5" style="87" customWidth="1"/>
    <col min="593" max="594" width="3.1640625" style="87" customWidth="1"/>
    <col min="595" max="595" width="12.5" style="87" customWidth="1"/>
    <col min="596" max="596" width="9.1640625" style="87" customWidth="1"/>
    <col min="597" max="597" width="11.33203125" style="87" customWidth="1"/>
    <col min="598" max="598" width="6.1640625" style="87" customWidth="1"/>
    <col min="599" max="614" width="5.5" style="87" customWidth="1"/>
    <col min="615" max="615" width="6" style="87" customWidth="1"/>
    <col min="616" max="616" width="2.6640625" style="87"/>
    <col min="617" max="617" width="16.5" style="87" customWidth="1"/>
    <col min="618" max="618" width="4.83203125" style="87" customWidth="1"/>
    <col min="619" max="769" width="2.6640625" style="87"/>
    <col min="770" max="826" width="0" style="87" hidden="1" customWidth="1"/>
    <col min="827" max="829" width="7.5" style="87" customWidth="1"/>
    <col min="830" max="830" width="11.5" style="87" customWidth="1"/>
    <col min="831" max="831" width="8.1640625" style="87" customWidth="1"/>
    <col min="832" max="839" width="7.5" style="87" customWidth="1"/>
    <col min="840" max="840" width="9.5" style="87" customWidth="1"/>
    <col min="841" max="841" width="9.83203125" style="87" customWidth="1"/>
    <col min="842" max="842" width="10.33203125" style="87" customWidth="1"/>
    <col min="843" max="845" width="7.5" style="87" customWidth="1"/>
    <col min="846" max="846" width="9.5" style="87" customWidth="1"/>
    <col min="847" max="847" width="9.6640625" style="87" customWidth="1"/>
    <col min="848" max="848" width="2.5" style="87" customWidth="1"/>
    <col min="849" max="850" width="3.1640625" style="87" customWidth="1"/>
    <col min="851" max="851" width="12.5" style="87" customWidth="1"/>
    <col min="852" max="852" width="9.1640625" style="87" customWidth="1"/>
    <col min="853" max="853" width="11.33203125" style="87" customWidth="1"/>
    <col min="854" max="854" width="6.1640625" style="87" customWidth="1"/>
    <col min="855" max="870" width="5.5" style="87" customWidth="1"/>
    <col min="871" max="871" width="6" style="87" customWidth="1"/>
    <col min="872" max="872" width="2.6640625" style="87"/>
    <col min="873" max="873" width="16.5" style="87" customWidth="1"/>
    <col min="874" max="874" width="4.83203125" style="87" customWidth="1"/>
    <col min="875" max="1025" width="2.6640625" style="87"/>
    <col min="1026" max="1082" width="0" style="87" hidden="1" customWidth="1"/>
    <col min="1083" max="1085" width="7.5" style="87" customWidth="1"/>
    <col min="1086" max="1086" width="11.5" style="87" customWidth="1"/>
    <col min="1087" max="1087" width="8.1640625" style="87" customWidth="1"/>
    <col min="1088" max="1095" width="7.5" style="87" customWidth="1"/>
    <col min="1096" max="1096" width="9.5" style="87" customWidth="1"/>
    <col min="1097" max="1097" width="9.83203125" style="87" customWidth="1"/>
    <col min="1098" max="1098" width="10.33203125" style="87" customWidth="1"/>
    <col min="1099" max="1101" width="7.5" style="87" customWidth="1"/>
    <col min="1102" max="1102" width="9.5" style="87" customWidth="1"/>
    <col min="1103" max="1103" width="9.6640625" style="87" customWidth="1"/>
    <col min="1104" max="1104" width="2.5" style="87" customWidth="1"/>
    <col min="1105" max="1106" width="3.1640625" style="87" customWidth="1"/>
    <col min="1107" max="1107" width="12.5" style="87" customWidth="1"/>
    <col min="1108" max="1108" width="9.1640625" style="87" customWidth="1"/>
    <col min="1109" max="1109" width="11.33203125" style="87" customWidth="1"/>
    <col min="1110" max="1110" width="6.1640625" style="87" customWidth="1"/>
    <col min="1111" max="1126" width="5.5" style="87" customWidth="1"/>
    <col min="1127" max="1127" width="6" style="87" customWidth="1"/>
    <col min="1128" max="1128" width="2.6640625" style="87"/>
    <col min="1129" max="1129" width="16.5" style="87" customWidth="1"/>
    <col min="1130" max="1130" width="4.83203125" style="87" customWidth="1"/>
    <col min="1131" max="1281" width="2.6640625" style="87"/>
    <col min="1282" max="1338" width="0" style="87" hidden="1" customWidth="1"/>
    <col min="1339" max="1341" width="7.5" style="87" customWidth="1"/>
    <col min="1342" max="1342" width="11.5" style="87" customWidth="1"/>
    <col min="1343" max="1343" width="8.1640625" style="87" customWidth="1"/>
    <col min="1344" max="1351" width="7.5" style="87" customWidth="1"/>
    <col min="1352" max="1352" width="9.5" style="87" customWidth="1"/>
    <col min="1353" max="1353" width="9.83203125" style="87" customWidth="1"/>
    <col min="1354" max="1354" width="10.33203125" style="87" customWidth="1"/>
    <col min="1355" max="1357" width="7.5" style="87" customWidth="1"/>
    <col min="1358" max="1358" width="9.5" style="87" customWidth="1"/>
    <col min="1359" max="1359" width="9.6640625" style="87" customWidth="1"/>
    <col min="1360" max="1360" width="2.5" style="87" customWidth="1"/>
    <col min="1361" max="1362" width="3.1640625" style="87" customWidth="1"/>
    <col min="1363" max="1363" width="12.5" style="87" customWidth="1"/>
    <col min="1364" max="1364" width="9.1640625" style="87" customWidth="1"/>
    <col min="1365" max="1365" width="11.33203125" style="87" customWidth="1"/>
    <col min="1366" max="1366" width="6.1640625" style="87" customWidth="1"/>
    <col min="1367" max="1382" width="5.5" style="87" customWidth="1"/>
    <col min="1383" max="1383" width="6" style="87" customWidth="1"/>
    <col min="1384" max="1384" width="2.6640625" style="87"/>
    <col min="1385" max="1385" width="16.5" style="87" customWidth="1"/>
    <col min="1386" max="1386" width="4.83203125" style="87" customWidth="1"/>
    <col min="1387" max="1537" width="2.6640625" style="87"/>
    <col min="1538" max="1594" width="0" style="87" hidden="1" customWidth="1"/>
    <col min="1595" max="1597" width="7.5" style="87" customWidth="1"/>
    <col min="1598" max="1598" width="11.5" style="87" customWidth="1"/>
    <col min="1599" max="1599" width="8.1640625" style="87" customWidth="1"/>
    <col min="1600" max="1607" width="7.5" style="87" customWidth="1"/>
    <col min="1608" max="1608" width="9.5" style="87" customWidth="1"/>
    <col min="1609" max="1609" width="9.83203125" style="87" customWidth="1"/>
    <col min="1610" max="1610" width="10.33203125" style="87" customWidth="1"/>
    <col min="1611" max="1613" width="7.5" style="87" customWidth="1"/>
    <col min="1614" max="1614" width="9.5" style="87" customWidth="1"/>
    <col min="1615" max="1615" width="9.6640625" style="87" customWidth="1"/>
    <col min="1616" max="1616" width="2.5" style="87" customWidth="1"/>
    <col min="1617" max="1618" width="3.1640625" style="87" customWidth="1"/>
    <col min="1619" max="1619" width="12.5" style="87" customWidth="1"/>
    <col min="1620" max="1620" width="9.1640625" style="87" customWidth="1"/>
    <col min="1621" max="1621" width="11.33203125" style="87" customWidth="1"/>
    <col min="1622" max="1622" width="6.1640625" style="87" customWidth="1"/>
    <col min="1623" max="1638" width="5.5" style="87" customWidth="1"/>
    <col min="1639" max="1639" width="6" style="87" customWidth="1"/>
    <col min="1640" max="1640" width="2.6640625" style="87"/>
    <col min="1641" max="1641" width="16.5" style="87" customWidth="1"/>
    <col min="1642" max="1642" width="4.83203125" style="87" customWidth="1"/>
    <col min="1643" max="1793" width="2.6640625" style="87"/>
    <col min="1794" max="1850" width="0" style="87" hidden="1" customWidth="1"/>
    <col min="1851" max="1853" width="7.5" style="87" customWidth="1"/>
    <col min="1854" max="1854" width="11.5" style="87" customWidth="1"/>
    <col min="1855" max="1855" width="8.1640625" style="87" customWidth="1"/>
    <col min="1856" max="1863" width="7.5" style="87" customWidth="1"/>
    <col min="1864" max="1864" width="9.5" style="87" customWidth="1"/>
    <col min="1865" max="1865" width="9.83203125" style="87" customWidth="1"/>
    <col min="1866" max="1866" width="10.33203125" style="87" customWidth="1"/>
    <col min="1867" max="1869" width="7.5" style="87" customWidth="1"/>
    <col min="1870" max="1870" width="9.5" style="87" customWidth="1"/>
    <col min="1871" max="1871" width="9.6640625" style="87" customWidth="1"/>
    <col min="1872" max="1872" width="2.5" style="87" customWidth="1"/>
    <col min="1873" max="1874" width="3.1640625" style="87" customWidth="1"/>
    <col min="1875" max="1875" width="12.5" style="87" customWidth="1"/>
    <col min="1876" max="1876" width="9.1640625" style="87" customWidth="1"/>
    <col min="1877" max="1877" width="11.33203125" style="87" customWidth="1"/>
    <col min="1878" max="1878" width="6.1640625" style="87" customWidth="1"/>
    <col min="1879" max="1894" width="5.5" style="87" customWidth="1"/>
    <col min="1895" max="1895" width="6" style="87" customWidth="1"/>
    <col min="1896" max="1896" width="2.6640625" style="87"/>
    <col min="1897" max="1897" width="16.5" style="87" customWidth="1"/>
    <col min="1898" max="1898" width="4.83203125" style="87" customWidth="1"/>
    <col min="1899" max="2049" width="2.6640625" style="87"/>
    <col min="2050" max="2106" width="0" style="87" hidden="1" customWidth="1"/>
    <col min="2107" max="2109" width="7.5" style="87" customWidth="1"/>
    <col min="2110" max="2110" width="11.5" style="87" customWidth="1"/>
    <col min="2111" max="2111" width="8.1640625" style="87" customWidth="1"/>
    <col min="2112" max="2119" width="7.5" style="87" customWidth="1"/>
    <col min="2120" max="2120" width="9.5" style="87" customWidth="1"/>
    <col min="2121" max="2121" width="9.83203125" style="87" customWidth="1"/>
    <col min="2122" max="2122" width="10.33203125" style="87" customWidth="1"/>
    <col min="2123" max="2125" width="7.5" style="87" customWidth="1"/>
    <col min="2126" max="2126" width="9.5" style="87" customWidth="1"/>
    <col min="2127" max="2127" width="9.6640625" style="87" customWidth="1"/>
    <col min="2128" max="2128" width="2.5" style="87" customWidth="1"/>
    <col min="2129" max="2130" width="3.1640625" style="87" customWidth="1"/>
    <col min="2131" max="2131" width="12.5" style="87" customWidth="1"/>
    <col min="2132" max="2132" width="9.1640625" style="87" customWidth="1"/>
    <col min="2133" max="2133" width="11.33203125" style="87" customWidth="1"/>
    <col min="2134" max="2134" width="6.1640625" style="87" customWidth="1"/>
    <col min="2135" max="2150" width="5.5" style="87" customWidth="1"/>
    <col min="2151" max="2151" width="6" style="87" customWidth="1"/>
    <col min="2152" max="2152" width="2.6640625" style="87"/>
    <col min="2153" max="2153" width="16.5" style="87" customWidth="1"/>
    <col min="2154" max="2154" width="4.83203125" style="87" customWidth="1"/>
    <col min="2155" max="2305" width="2.6640625" style="87"/>
    <col min="2306" max="2362" width="0" style="87" hidden="1" customWidth="1"/>
    <col min="2363" max="2365" width="7.5" style="87" customWidth="1"/>
    <col min="2366" max="2366" width="11.5" style="87" customWidth="1"/>
    <col min="2367" max="2367" width="8.1640625" style="87" customWidth="1"/>
    <col min="2368" max="2375" width="7.5" style="87" customWidth="1"/>
    <col min="2376" max="2376" width="9.5" style="87" customWidth="1"/>
    <col min="2377" max="2377" width="9.83203125" style="87" customWidth="1"/>
    <col min="2378" max="2378" width="10.33203125" style="87" customWidth="1"/>
    <col min="2379" max="2381" width="7.5" style="87" customWidth="1"/>
    <col min="2382" max="2382" width="9.5" style="87" customWidth="1"/>
    <col min="2383" max="2383" width="9.6640625" style="87" customWidth="1"/>
    <col min="2384" max="2384" width="2.5" style="87" customWidth="1"/>
    <col min="2385" max="2386" width="3.1640625" style="87" customWidth="1"/>
    <col min="2387" max="2387" width="12.5" style="87" customWidth="1"/>
    <col min="2388" max="2388" width="9.1640625" style="87" customWidth="1"/>
    <col min="2389" max="2389" width="11.33203125" style="87" customWidth="1"/>
    <col min="2390" max="2390" width="6.1640625" style="87" customWidth="1"/>
    <col min="2391" max="2406" width="5.5" style="87" customWidth="1"/>
    <col min="2407" max="2407" width="6" style="87" customWidth="1"/>
    <col min="2408" max="2408" width="2.6640625" style="87"/>
    <col min="2409" max="2409" width="16.5" style="87" customWidth="1"/>
    <col min="2410" max="2410" width="4.83203125" style="87" customWidth="1"/>
    <col min="2411" max="2561" width="2.6640625" style="87"/>
    <col min="2562" max="2618" width="0" style="87" hidden="1" customWidth="1"/>
    <col min="2619" max="2621" width="7.5" style="87" customWidth="1"/>
    <col min="2622" max="2622" width="11.5" style="87" customWidth="1"/>
    <col min="2623" max="2623" width="8.1640625" style="87" customWidth="1"/>
    <col min="2624" max="2631" width="7.5" style="87" customWidth="1"/>
    <col min="2632" max="2632" width="9.5" style="87" customWidth="1"/>
    <col min="2633" max="2633" width="9.83203125" style="87" customWidth="1"/>
    <col min="2634" max="2634" width="10.33203125" style="87" customWidth="1"/>
    <col min="2635" max="2637" width="7.5" style="87" customWidth="1"/>
    <col min="2638" max="2638" width="9.5" style="87" customWidth="1"/>
    <col min="2639" max="2639" width="9.6640625" style="87" customWidth="1"/>
    <col min="2640" max="2640" width="2.5" style="87" customWidth="1"/>
    <col min="2641" max="2642" width="3.1640625" style="87" customWidth="1"/>
    <col min="2643" max="2643" width="12.5" style="87" customWidth="1"/>
    <col min="2644" max="2644" width="9.1640625" style="87" customWidth="1"/>
    <col min="2645" max="2645" width="11.33203125" style="87" customWidth="1"/>
    <col min="2646" max="2646" width="6.1640625" style="87" customWidth="1"/>
    <col min="2647" max="2662" width="5.5" style="87" customWidth="1"/>
    <col min="2663" max="2663" width="6" style="87" customWidth="1"/>
    <col min="2664" max="2664" width="2.6640625" style="87"/>
    <col min="2665" max="2665" width="16.5" style="87" customWidth="1"/>
    <col min="2666" max="2666" width="4.83203125" style="87" customWidth="1"/>
    <col min="2667" max="2817" width="2.6640625" style="87"/>
    <col min="2818" max="2874" width="0" style="87" hidden="1" customWidth="1"/>
    <col min="2875" max="2877" width="7.5" style="87" customWidth="1"/>
    <col min="2878" max="2878" width="11.5" style="87" customWidth="1"/>
    <col min="2879" max="2879" width="8.1640625" style="87" customWidth="1"/>
    <col min="2880" max="2887" width="7.5" style="87" customWidth="1"/>
    <col min="2888" max="2888" width="9.5" style="87" customWidth="1"/>
    <col min="2889" max="2889" width="9.83203125" style="87" customWidth="1"/>
    <col min="2890" max="2890" width="10.33203125" style="87" customWidth="1"/>
    <col min="2891" max="2893" width="7.5" style="87" customWidth="1"/>
    <col min="2894" max="2894" width="9.5" style="87" customWidth="1"/>
    <col min="2895" max="2895" width="9.6640625" style="87" customWidth="1"/>
    <col min="2896" max="2896" width="2.5" style="87" customWidth="1"/>
    <col min="2897" max="2898" width="3.1640625" style="87" customWidth="1"/>
    <col min="2899" max="2899" width="12.5" style="87" customWidth="1"/>
    <col min="2900" max="2900" width="9.1640625" style="87" customWidth="1"/>
    <col min="2901" max="2901" width="11.33203125" style="87" customWidth="1"/>
    <col min="2902" max="2902" width="6.1640625" style="87" customWidth="1"/>
    <col min="2903" max="2918" width="5.5" style="87" customWidth="1"/>
    <col min="2919" max="2919" width="6" style="87" customWidth="1"/>
    <col min="2920" max="2920" width="2.6640625" style="87"/>
    <col min="2921" max="2921" width="16.5" style="87" customWidth="1"/>
    <col min="2922" max="2922" width="4.83203125" style="87" customWidth="1"/>
    <col min="2923" max="3073" width="2.6640625" style="87"/>
    <col min="3074" max="3130" width="0" style="87" hidden="1" customWidth="1"/>
    <col min="3131" max="3133" width="7.5" style="87" customWidth="1"/>
    <col min="3134" max="3134" width="11.5" style="87" customWidth="1"/>
    <col min="3135" max="3135" width="8.1640625" style="87" customWidth="1"/>
    <col min="3136" max="3143" width="7.5" style="87" customWidth="1"/>
    <col min="3144" max="3144" width="9.5" style="87" customWidth="1"/>
    <col min="3145" max="3145" width="9.83203125" style="87" customWidth="1"/>
    <col min="3146" max="3146" width="10.33203125" style="87" customWidth="1"/>
    <col min="3147" max="3149" width="7.5" style="87" customWidth="1"/>
    <col min="3150" max="3150" width="9.5" style="87" customWidth="1"/>
    <col min="3151" max="3151" width="9.6640625" style="87" customWidth="1"/>
    <col min="3152" max="3152" width="2.5" style="87" customWidth="1"/>
    <col min="3153" max="3154" width="3.1640625" style="87" customWidth="1"/>
    <col min="3155" max="3155" width="12.5" style="87" customWidth="1"/>
    <col min="3156" max="3156" width="9.1640625" style="87" customWidth="1"/>
    <col min="3157" max="3157" width="11.33203125" style="87" customWidth="1"/>
    <col min="3158" max="3158" width="6.1640625" style="87" customWidth="1"/>
    <col min="3159" max="3174" width="5.5" style="87" customWidth="1"/>
    <col min="3175" max="3175" width="6" style="87" customWidth="1"/>
    <col min="3176" max="3176" width="2.6640625" style="87"/>
    <col min="3177" max="3177" width="16.5" style="87" customWidth="1"/>
    <col min="3178" max="3178" width="4.83203125" style="87" customWidth="1"/>
    <col min="3179" max="3329" width="2.6640625" style="87"/>
    <col min="3330" max="3386" width="0" style="87" hidden="1" customWidth="1"/>
    <col min="3387" max="3389" width="7.5" style="87" customWidth="1"/>
    <col min="3390" max="3390" width="11.5" style="87" customWidth="1"/>
    <col min="3391" max="3391" width="8.1640625" style="87" customWidth="1"/>
    <col min="3392" max="3399" width="7.5" style="87" customWidth="1"/>
    <col min="3400" max="3400" width="9.5" style="87" customWidth="1"/>
    <col min="3401" max="3401" width="9.83203125" style="87" customWidth="1"/>
    <col min="3402" max="3402" width="10.33203125" style="87" customWidth="1"/>
    <col min="3403" max="3405" width="7.5" style="87" customWidth="1"/>
    <col min="3406" max="3406" width="9.5" style="87" customWidth="1"/>
    <col min="3407" max="3407" width="9.6640625" style="87" customWidth="1"/>
    <col min="3408" max="3408" width="2.5" style="87" customWidth="1"/>
    <col min="3409" max="3410" width="3.1640625" style="87" customWidth="1"/>
    <col min="3411" max="3411" width="12.5" style="87" customWidth="1"/>
    <col min="3412" max="3412" width="9.1640625" style="87" customWidth="1"/>
    <col min="3413" max="3413" width="11.33203125" style="87" customWidth="1"/>
    <col min="3414" max="3414" width="6.1640625" style="87" customWidth="1"/>
    <col min="3415" max="3430" width="5.5" style="87" customWidth="1"/>
    <col min="3431" max="3431" width="6" style="87" customWidth="1"/>
    <col min="3432" max="3432" width="2.6640625" style="87"/>
    <col min="3433" max="3433" width="16.5" style="87" customWidth="1"/>
    <col min="3434" max="3434" width="4.83203125" style="87" customWidth="1"/>
    <col min="3435" max="3585" width="2.6640625" style="87"/>
    <col min="3586" max="3642" width="0" style="87" hidden="1" customWidth="1"/>
    <col min="3643" max="3645" width="7.5" style="87" customWidth="1"/>
    <col min="3646" max="3646" width="11.5" style="87" customWidth="1"/>
    <col min="3647" max="3647" width="8.1640625" style="87" customWidth="1"/>
    <col min="3648" max="3655" width="7.5" style="87" customWidth="1"/>
    <col min="3656" max="3656" width="9.5" style="87" customWidth="1"/>
    <col min="3657" max="3657" width="9.83203125" style="87" customWidth="1"/>
    <col min="3658" max="3658" width="10.33203125" style="87" customWidth="1"/>
    <col min="3659" max="3661" width="7.5" style="87" customWidth="1"/>
    <col min="3662" max="3662" width="9.5" style="87" customWidth="1"/>
    <col min="3663" max="3663" width="9.6640625" style="87" customWidth="1"/>
    <col min="3664" max="3664" width="2.5" style="87" customWidth="1"/>
    <col min="3665" max="3666" width="3.1640625" style="87" customWidth="1"/>
    <col min="3667" max="3667" width="12.5" style="87" customWidth="1"/>
    <col min="3668" max="3668" width="9.1640625" style="87" customWidth="1"/>
    <col min="3669" max="3669" width="11.33203125" style="87" customWidth="1"/>
    <col min="3670" max="3670" width="6.1640625" style="87" customWidth="1"/>
    <col min="3671" max="3686" width="5.5" style="87" customWidth="1"/>
    <col min="3687" max="3687" width="6" style="87" customWidth="1"/>
    <col min="3688" max="3688" width="2.6640625" style="87"/>
    <col min="3689" max="3689" width="16.5" style="87" customWidth="1"/>
    <col min="3690" max="3690" width="4.83203125" style="87" customWidth="1"/>
    <col min="3691" max="3841" width="2.6640625" style="87"/>
    <col min="3842" max="3898" width="0" style="87" hidden="1" customWidth="1"/>
    <col min="3899" max="3901" width="7.5" style="87" customWidth="1"/>
    <col min="3902" max="3902" width="11.5" style="87" customWidth="1"/>
    <col min="3903" max="3903" width="8.1640625" style="87" customWidth="1"/>
    <col min="3904" max="3911" width="7.5" style="87" customWidth="1"/>
    <col min="3912" max="3912" width="9.5" style="87" customWidth="1"/>
    <col min="3913" max="3913" width="9.83203125" style="87" customWidth="1"/>
    <col min="3914" max="3914" width="10.33203125" style="87" customWidth="1"/>
    <col min="3915" max="3917" width="7.5" style="87" customWidth="1"/>
    <col min="3918" max="3918" width="9.5" style="87" customWidth="1"/>
    <col min="3919" max="3919" width="9.6640625" style="87" customWidth="1"/>
    <col min="3920" max="3920" width="2.5" style="87" customWidth="1"/>
    <col min="3921" max="3922" width="3.1640625" style="87" customWidth="1"/>
    <col min="3923" max="3923" width="12.5" style="87" customWidth="1"/>
    <col min="3924" max="3924" width="9.1640625" style="87" customWidth="1"/>
    <col min="3925" max="3925" width="11.33203125" style="87" customWidth="1"/>
    <col min="3926" max="3926" width="6.1640625" style="87" customWidth="1"/>
    <col min="3927" max="3942" width="5.5" style="87" customWidth="1"/>
    <col min="3943" max="3943" width="6" style="87" customWidth="1"/>
    <col min="3944" max="3944" width="2.6640625" style="87"/>
    <col min="3945" max="3945" width="16.5" style="87" customWidth="1"/>
    <col min="3946" max="3946" width="4.83203125" style="87" customWidth="1"/>
    <col min="3947" max="4097" width="2.6640625" style="87"/>
    <col min="4098" max="4154" width="0" style="87" hidden="1" customWidth="1"/>
    <col min="4155" max="4157" width="7.5" style="87" customWidth="1"/>
    <col min="4158" max="4158" width="11.5" style="87" customWidth="1"/>
    <col min="4159" max="4159" width="8.1640625" style="87" customWidth="1"/>
    <col min="4160" max="4167" width="7.5" style="87" customWidth="1"/>
    <col min="4168" max="4168" width="9.5" style="87" customWidth="1"/>
    <col min="4169" max="4169" width="9.83203125" style="87" customWidth="1"/>
    <col min="4170" max="4170" width="10.33203125" style="87" customWidth="1"/>
    <col min="4171" max="4173" width="7.5" style="87" customWidth="1"/>
    <col min="4174" max="4174" width="9.5" style="87" customWidth="1"/>
    <col min="4175" max="4175" width="9.6640625" style="87" customWidth="1"/>
    <col min="4176" max="4176" width="2.5" style="87" customWidth="1"/>
    <col min="4177" max="4178" width="3.1640625" style="87" customWidth="1"/>
    <col min="4179" max="4179" width="12.5" style="87" customWidth="1"/>
    <col min="4180" max="4180" width="9.1640625" style="87" customWidth="1"/>
    <col min="4181" max="4181" width="11.33203125" style="87" customWidth="1"/>
    <col min="4182" max="4182" width="6.1640625" style="87" customWidth="1"/>
    <col min="4183" max="4198" width="5.5" style="87" customWidth="1"/>
    <col min="4199" max="4199" width="6" style="87" customWidth="1"/>
    <col min="4200" max="4200" width="2.6640625" style="87"/>
    <col min="4201" max="4201" width="16.5" style="87" customWidth="1"/>
    <col min="4202" max="4202" width="4.83203125" style="87" customWidth="1"/>
    <col min="4203" max="4353" width="2.6640625" style="87"/>
    <col min="4354" max="4410" width="0" style="87" hidden="1" customWidth="1"/>
    <col min="4411" max="4413" width="7.5" style="87" customWidth="1"/>
    <col min="4414" max="4414" width="11.5" style="87" customWidth="1"/>
    <col min="4415" max="4415" width="8.1640625" style="87" customWidth="1"/>
    <col min="4416" max="4423" width="7.5" style="87" customWidth="1"/>
    <col min="4424" max="4424" width="9.5" style="87" customWidth="1"/>
    <col min="4425" max="4425" width="9.83203125" style="87" customWidth="1"/>
    <col min="4426" max="4426" width="10.33203125" style="87" customWidth="1"/>
    <col min="4427" max="4429" width="7.5" style="87" customWidth="1"/>
    <col min="4430" max="4430" width="9.5" style="87" customWidth="1"/>
    <col min="4431" max="4431" width="9.6640625" style="87" customWidth="1"/>
    <col min="4432" max="4432" width="2.5" style="87" customWidth="1"/>
    <col min="4433" max="4434" width="3.1640625" style="87" customWidth="1"/>
    <col min="4435" max="4435" width="12.5" style="87" customWidth="1"/>
    <col min="4436" max="4436" width="9.1640625" style="87" customWidth="1"/>
    <col min="4437" max="4437" width="11.33203125" style="87" customWidth="1"/>
    <col min="4438" max="4438" width="6.1640625" style="87" customWidth="1"/>
    <col min="4439" max="4454" width="5.5" style="87" customWidth="1"/>
    <col min="4455" max="4455" width="6" style="87" customWidth="1"/>
    <col min="4456" max="4456" width="2.6640625" style="87"/>
    <col min="4457" max="4457" width="16.5" style="87" customWidth="1"/>
    <col min="4458" max="4458" width="4.83203125" style="87" customWidth="1"/>
    <col min="4459" max="4609" width="2.6640625" style="87"/>
    <col min="4610" max="4666" width="0" style="87" hidden="1" customWidth="1"/>
    <col min="4667" max="4669" width="7.5" style="87" customWidth="1"/>
    <col min="4670" max="4670" width="11.5" style="87" customWidth="1"/>
    <col min="4671" max="4671" width="8.1640625" style="87" customWidth="1"/>
    <col min="4672" max="4679" width="7.5" style="87" customWidth="1"/>
    <col min="4680" max="4680" width="9.5" style="87" customWidth="1"/>
    <col min="4681" max="4681" width="9.83203125" style="87" customWidth="1"/>
    <col min="4682" max="4682" width="10.33203125" style="87" customWidth="1"/>
    <col min="4683" max="4685" width="7.5" style="87" customWidth="1"/>
    <col min="4686" max="4686" width="9.5" style="87" customWidth="1"/>
    <col min="4687" max="4687" width="9.6640625" style="87" customWidth="1"/>
    <col min="4688" max="4688" width="2.5" style="87" customWidth="1"/>
    <col min="4689" max="4690" width="3.1640625" style="87" customWidth="1"/>
    <col min="4691" max="4691" width="12.5" style="87" customWidth="1"/>
    <col min="4692" max="4692" width="9.1640625" style="87" customWidth="1"/>
    <col min="4693" max="4693" width="11.33203125" style="87" customWidth="1"/>
    <col min="4694" max="4694" width="6.1640625" style="87" customWidth="1"/>
    <col min="4695" max="4710" width="5.5" style="87" customWidth="1"/>
    <col min="4711" max="4711" width="6" style="87" customWidth="1"/>
    <col min="4712" max="4712" width="2.6640625" style="87"/>
    <col min="4713" max="4713" width="16.5" style="87" customWidth="1"/>
    <col min="4714" max="4714" width="4.83203125" style="87" customWidth="1"/>
    <col min="4715" max="4865" width="2.6640625" style="87"/>
    <col min="4866" max="4922" width="0" style="87" hidden="1" customWidth="1"/>
    <col min="4923" max="4925" width="7.5" style="87" customWidth="1"/>
    <col min="4926" max="4926" width="11.5" style="87" customWidth="1"/>
    <col min="4927" max="4927" width="8.1640625" style="87" customWidth="1"/>
    <col min="4928" max="4935" width="7.5" style="87" customWidth="1"/>
    <col min="4936" max="4936" width="9.5" style="87" customWidth="1"/>
    <col min="4937" max="4937" width="9.83203125" style="87" customWidth="1"/>
    <col min="4938" max="4938" width="10.33203125" style="87" customWidth="1"/>
    <col min="4939" max="4941" width="7.5" style="87" customWidth="1"/>
    <col min="4942" max="4942" width="9.5" style="87" customWidth="1"/>
    <col min="4943" max="4943" width="9.6640625" style="87" customWidth="1"/>
    <col min="4944" max="4944" width="2.5" style="87" customWidth="1"/>
    <col min="4945" max="4946" width="3.1640625" style="87" customWidth="1"/>
    <col min="4947" max="4947" width="12.5" style="87" customWidth="1"/>
    <col min="4948" max="4948" width="9.1640625" style="87" customWidth="1"/>
    <col min="4949" max="4949" width="11.33203125" style="87" customWidth="1"/>
    <col min="4950" max="4950" width="6.1640625" style="87" customWidth="1"/>
    <col min="4951" max="4966" width="5.5" style="87" customWidth="1"/>
    <col min="4967" max="4967" width="6" style="87" customWidth="1"/>
    <col min="4968" max="4968" width="2.6640625" style="87"/>
    <col min="4969" max="4969" width="16.5" style="87" customWidth="1"/>
    <col min="4970" max="4970" width="4.83203125" style="87" customWidth="1"/>
    <col min="4971" max="5121" width="2.6640625" style="87"/>
    <col min="5122" max="5178" width="0" style="87" hidden="1" customWidth="1"/>
    <col min="5179" max="5181" width="7.5" style="87" customWidth="1"/>
    <col min="5182" max="5182" width="11.5" style="87" customWidth="1"/>
    <col min="5183" max="5183" width="8.1640625" style="87" customWidth="1"/>
    <col min="5184" max="5191" width="7.5" style="87" customWidth="1"/>
    <col min="5192" max="5192" width="9.5" style="87" customWidth="1"/>
    <col min="5193" max="5193" width="9.83203125" style="87" customWidth="1"/>
    <col min="5194" max="5194" width="10.33203125" style="87" customWidth="1"/>
    <col min="5195" max="5197" width="7.5" style="87" customWidth="1"/>
    <col min="5198" max="5198" width="9.5" style="87" customWidth="1"/>
    <col min="5199" max="5199" width="9.6640625" style="87" customWidth="1"/>
    <col min="5200" max="5200" width="2.5" style="87" customWidth="1"/>
    <col min="5201" max="5202" width="3.1640625" style="87" customWidth="1"/>
    <col min="5203" max="5203" width="12.5" style="87" customWidth="1"/>
    <col min="5204" max="5204" width="9.1640625" style="87" customWidth="1"/>
    <col min="5205" max="5205" width="11.33203125" style="87" customWidth="1"/>
    <col min="5206" max="5206" width="6.1640625" style="87" customWidth="1"/>
    <col min="5207" max="5222" width="5.5" style="87" customWidth="1"/>
    <col min="5223" max="5223" width="6" style="87" customWidth="1"/>
    <col min="5224" max="5224" width="2.6640625" style="87"/>
    <col min="5225" max="5225" width="16.5" style="87" customWidth="1"/>
    <col min="5226" max="5226" width="4.83203125" style="87" customWidth="1"/>
    <col min="5227" max="5377" width="2.6640625" style="87"/>
    <col min="5378" max="5434" width="0" style="87" hidden="1" customWidth="1"/>
    <col min="5435" max="5437" width="7.5" style="87" customWidth="1"/>
    <col min="5438" max="5438" width="11.5" style="87" customWidth="1"/>
    <col min="5439" max="5439" width="8.1640625" style="87" customWidth="1"/>
    <col min="5440" max="5447" width="7.5" style="87" customWidth="1"/>
    <col min="5448" max="5448" width="9.5" style="87" customWidth="1"/>
    <col min="5449" max="5449" width="9.83203125" style="87" customWidth="1"/>
    <col min="5450" max="5450" width="10.33203125" style="87" customWidth="1"/>
    <col min="5451" max="5453" width="7.5" style="87" customWidth="1"/>
    <col min="5454" max="5454" width="9.5" style="87" customWidth="1"/>
    <col min="5455" max="5455" width="9.6640625" style="87" customWidth="1"/>
    <col min="5456" max="5456" width="2.5" style="87" customWidth="1"/>
    <col min="5457" max="5458" width="3.1640625" style="87" customWidth="1"/>
    <col min="5459" max="5459" width="12.5" style="87" customWidth="1"/>
    <col min="5460" max="5460" width="9.1640625" style="87" customWidth="1"/>
    <col min="5461" max="5461" width="11.33203125" style="87" customWidth="1"/>
    <col min="5462" max="5462" width="6.1640625" style="87" customWidth="1"/>
    <col min="5463" max="5478" width="5.5" style="87" customWidth="1"/>
    <col min="5479" max="5479" width="6" style="87" customWidth="1"/>
    <col min="5480" max="5480" width="2.6640625" style="87"/>
    <col min="5481" max="5481" width="16.5" style="87" customWidth="1"/>
    <col min="5482" max="5482" width="4.83203125" style="87" customWidth="1"/>
    <col min="5483" max="5633" width="2.6640625" style="87"/>
    <col min="5634" max="5690" width="0" style="87" hidden="1" customWidth="1"/>
    <col min="5691" max="5693" width="7.5" style="87" customWidth="1"/>
    <col min="5694" max="5694" width="11.5" style="87" customWidth="1"/>
    <col min="5695" max="5695" width="8.1640625" style="87" customWidth="1"/>
    <col min="5696" max="5703" width="7.5" style="87" customWidth="1"/>
    <col min="5704" max="5704" width="9.5" style="87" customWidth="1"/>
    <col min="5705" max="5705" width="9.83203125" style="87" customWidth="1"/>
    <col min="5706" max="5706" width="10.33203125" style="87" customWidth="1"/>
    <col min="5707" max="5709" width="7.5" style="87" customWidth="1"/>
    <col min="5710" max="5710" width="9.5" style="87" customWidth="1"/>
    <col min="5711" max="5711" width="9.6640625" style="87" customWidth="1"/>
    <col min="5712" max="5712" width="2.5" style="87" customWidth="1"/>
    <col min="5713" max="5714" width="3.1640625" style="87" customWidth="1"/>
    <col min="5715" max="5715" width="12.5" style="87" customWidth="1"/>
    <col min="5716" max="5716" width="9.1640625" style="87" customWidth="1"/>
    <col min="5717" max="5717" width="11.33203125" style="87" customWidth="1"/>
    <col min="5718" max="5718" width="6.1640625" style="87" customWidth="1"/>
    <col min="5719" max="5734" width="5.5" style="87" customWidth="1"/>
    <col min="5735" max="5735" width="6" style="87" customWidth="1"/>
    <col min="5736" max="5736" width="2.6640625" style="87"/>
    <col min="5737" max="5737" width="16.5" style="87" customWidth="1"/>
    <col min="5738" max="5738" width="4.83203125" style="87" customWidth="1"/>
    <col min="5739" max="5889" width="2.6640625" style="87"/>
    <col min="5890" max="5946" width="0" style="87" hidden="1" customWidth="1"/>
    <col min="5947" max="5949" width="7.5" style="87" customWidth="1"/>
    <col min="5950" max="5950" width="11.5" style="87" customWidth="1"/>
    <col min="5951" max="5951" width="8.1640625" style="87" customWidth="1"/>
    <col min="5952" max="5959" width="7.5" style="87" customWidth="1"/>
    <col min="5960" max="5960" width="9.5" style="87" customWidth="1"/>
    <col min="5961" max="5961" width="9.83203125" style="87" customWidth="1"/>
    <col min="5962" max="5962" width="10.33203125" style="87" customWidth="1"/>
    <col min="5963" max="5965" width="7.5" style="87" customWidth="1"/>
    <col min="5966" max="5966" width="9.5" style="87" customWidth="1"/>
    <col min="5967" max="5967" width="9.6640625" style="87" customWidth="1"/>
    <col min="5968" max="5968" width="2.5" style="87" customWidth="1"/>
    <col min="5969" max="5970" width="3.1640625" style="87" customWidth="1"/>
    <col min="5971" max="5971" width="12.5" style="87" customWidth="1"/>
    <col min="5972" max="5972" width="9.1640625" style="87" customWidth="1"/>
    <col min="5973" max="5973" width="11.33203125" style="87" customWidth="1"/>
    <col min="5974" max="5974" width="6.1640625" style="87" customWidth="1"/>
    <col min="5975" max="5990" width="5.5" style="87" customWidth="1"/>
    <col min="5991" max="5991" width="6" style="87" customWidth="1"/>
    <col min="5992" max="5992" width="2.6640625" style="87"/>
    <col min="5993" max="5993" width="16.5" style="87" customWidth="1"/>
    <col min="5994" max="5994" width="4.83203125" style="87" customWidth="1"/>
    <col min="5995" max="6145" width="2.6640625" style="87"/>
    <col min="6146" max="6202" width="0" style="87" hidden="1" customWidth="1"/>
    <col min="6203" max="6205" width="7.5" style="87" customWidth="1"/>
    <col min="6206" max="6206" width="11.5" style="87" customWidth="1"/>
    <col min="6207" max="6207" width="8.1640625" style="87" customWidth="1"/>
    <col min="6208" max="6215" width="7.5" style="87" customWidth="1"/>
    <col min="6216" max="6216" width="9.5" style="87" customWidth="1"/>
    <col min="6217" max="6217" width="9.83203125" style="87" customWidth="1"/>
    <col min="6218" max="6218" width="10.33203125" style="87" customWidth="1"/>
    <col min="6219" max="6221" width="7.5" style="87" customWidth="1"/>
    <col min="6222" max="6222" width="9.5" style="87" customWidth="1"/>
    <col min="6223" max="6223" width="9.6640625" style="87" customWidth="1"/>
    <col min="6224" max="6224" width="2.5" style="87" customWidth="1"/>
    <col min="6225" max="6226" width="3.1640625" style="87" customWidth="1"/>
    <col min="6227" max="6227" width="12.5" style="87" customWidth="1"/>
    <col min="6228" max="6228" width="9.1640625" style="87" customWidth="1"/>
    <col min="6229" max="6229" width="11.33203125" style="87" customWidth="1"/>
    <col min="6230" max="6230" width="6.1640625" style="87" customWidth="1"/>
    <col min="6231" max="6246" width="5.5" style="87" customWidth="1"/>
    <col min="6247" max="6247" width="6" style="87" customWidth="1"/>
    <col min="6248" max="6248" width="2.6640625" style="87"/>
    <col min="6249" max="6249" width="16.5" style="87" customWidth="1"/>
    <col min="6250" max="6250" width="4.83203125" style="87" customWidth="1"/>
    <col min="6251" max="6401" width="2.6640625" style="87"/>
    <col min="6402" max="6458" width="0" style="87" hidden="1" customWidth="1"/>
    <col min="6459" max="6461" width="7.5" style="87" customWidth="1"/>
    <col min="6462" max="6462" width="11.5" style="87" customWidth="1"/>
    <col min="6463" max="6463" width="8.1640625" style="87" customWidth="1"/>
    <col min="6464" max="6471" width="7.5" style="87" customWidth="1"/>
    <col min="6472" max="6472" width="9.5" style="87" customWidth="1"/>
    <col min="6473" max="6473" width="9.83203125" style="87" customWidth="1"/>
    <col min="6474" max="6474" width="10.33203125" style="87" customWidth="1"/>
    <col min="6475" max="6477" width="7.5" style="87" customWidth="1"/>
    <col min="6478" max="6478" width="9.5" style="87" customWidth="1"/>
    <col min="6479" max="6479" width="9.6640625" style="87" customWidth="1"/>
    <col min="6480" max="6480" width="2.5" style="87" customWidth="1"/>
    <col min="6481" max="6482" width="3.1640625" style="87" customWidth="1"/>
    <col min="6483" max="6483" width="12.5" style="87" customWidth="1"/>
    <col min="6484" max="6484" width="9.1640625" style="87" customWidth="1"/>
    <col min="6485" max="6485" width="11.33203125" style="87" customWidth="1"/>
    <col min="6486" max="6486" width="6.1640625" style="87" customWidth="1"/>
    <col min="6487" max="6502" width="5.5" style="87" customWidth="1"/>
    <col min="6503" max="6503" width="6" style="87" customWidth="1"/>
    <col min="6504" max="6504" width="2.6640625" style="87"/>
    <col min="6505" max="6505" width="16.5" style="87" customWidth="1"/>
    <col min="6506" max="6506" width="4.83203125" style="87" customWidth="1"/>
    <col min="6507" max="6657" width="2.6640625" style="87"/>
    <col min="6658" max="6714" width="0" style="87" hidden="1" customWidth="1"/>
    <col min="6715" max="6717" width="7.5" style="87" customWidth="1"/>
    <col min="6718" max="6718" width="11.5" style="87" customWidth="1"/>
    <col min="6719" max="6719" width="8.1640625" style="87" customWidth="1"/>
    <col min="6720" max="6727" width="7.5" style="87" customWidth="1"/>
    <col min="6728" max="6728" width="9.5" style="87" customWidth="1"/>
    <col min="6729" max="6729" width="9.83203125" style="87" customWidth="1"/>
    <col min="6730" max="6730" width="10.33203125" style="87" customWidth="1"/>
    <col min="6731" max="6733" width="7.5" style="87" customWidth="1"/>
    <col min="6734" max="6734" width="9.5" style="87" customWidth="1"/>
    <col min="6735" max="6735" width="9.6640625" style="87" customWidth="1"/>
    <col min="6736" max="6736" width="2.5" style="87" customWidth="1"/>
    <col min="6737" max="6738" width="3.1640625" style="87" customWidth="1"/>
    <col min="6739" max="6739" width="12.5" style="87" customWidth="1"/>
    <col min="6740" max="6740" width="9.1640625" style="87" customWidth="1"/>
    <col min="6741" max="6741" width="11.33203125" style="87" customWidth="1"/>
    <col min="6742" max="6742" width="6.1640625" style="87" customWidth="1"/>
    <col min="6743" max="6758" width="5.5" style="87" customWidth="1"/>
    <col min="6759" max="6759" width="6" style="87" customWidth="1"/>
    <col min="6760" max="6760" width="2.6640625" style="87"/>
    <col min="6761" max="6761" width="16.5" style="87" customWidth="1"/>
    <col min="6762" max="6762" width="4.83203125" style="87" customWidth="1"/>
    <col min="6763" max="6913" width="2.6640625" style="87"/>
    <col min="6914" max="6970" width="0" style="87" hidden="1" customWidth="1"/>
    <col min="6971" max="6973" width="7.5" style="87" customWidth="1"/>
    <col min="6974" max="6974" width="11.5" style="87" customWidth="1"/>
    <col min="6975" max="6975" width="8.1640625" style="87" customWidth="1"/>
    <col min="6976" max="6983" width="7.5" style="87" customWidth="1"/>
    <col min="6984" max="6984" width="9.5" style="87" customWidth="1"/>
    <col min="6985" max="6985" width="9.83203125" style="87" customWidth="1"/>
    <col min="6986" max="6986" width="10.33203125" style="87" customWidth="1"/>
    <col min="6987" max="6989" width="7.5" style="87" customWidth="1"/>
    <col min="6990" max="6990" width="9.5" style="87" customWidth="1"/>
    <col min="6991" max="6991" width="9.6640625" style="87" customWidth="1"/>
    <col min="6992" max="6992" width="2.5" style="87" customWidth="1"/>
    <col min="6993" max="6994" width="3.1640625" style="87" customWidth="1"/>
    <col min="6995" max="6995" width="12.5" style="87" customWidth="1"/>
    <col min="6996" max="6996" width="9.1640625" style="87" customWidth="1"/>
    <col min="6997" max="6997" width="11.33203125" style="87" customWidth="1"/>
    <col min="6998" max="6998" width="6.1640625" style="87" customWidth="1"/>
    <col min="6999" max="7014" width="5.5" style="87" customWidth="1"/>
    <col min="7015" max="7015" width="6" style="87" customWidth="1"/>
    <col min="7016" max="7016" width="2.6640625" style="87"/>
    <col min="7017" max="7017" width="16.5" style="87" customWidth="1"/>
    <col min="7018" max="7018" width="4.83203125" style="87" customWidth="1"/>
    <col min="7019" max="7169" width="2.6640625" style="87"/>
    <col min="7170" max="7226" width="0" style="87" hidden="1" customWidth="1"/>
    <col min="7227" max="7229" width="7.5" style="87" customWidth="1"/>
    <col min="7230" max="7230" width="11.5" style="87" customWidth="1"/>
    <col min="7231" max="7231" width="8.1640625" style="87" customWidth="1"/>
    <col min="7232" max="7239" width="7.5" style="87" customWidth="1"/>
    <col min="7240" max="7240" width="9.5" style="87" customWidth="1"/>
    <col min="7241" max="7241" width="9.83203125" style="87" customWidth="1"/>
    <col min="7242" max="7242" width="10.33203125" style="87" customWidth="1"/>
    <col min="7243" max="7245" width="7.5" style="87" customWidth="1"/>
    <col min="7246" max="7246" width="9.5" style="87" customWidth="1"/>
    <col min="7247" max="7247" width="9.6640625" style="87" customWidth="1"/>
    <col min="7248" max="7248" width="2.5" style="87" customWidth="1"/>
    <col min="7249" max="7250" width="3.1640625" style="87" customWidth="1"/>
    <col min="7251" max="7251" width="12.5" style="87" customWidth="1"/>
    <col min="7252" max="7252" width="9.1640625" style="87" customWidth="1"/>
    <col min="7253" max="7253" width="11.33203125" style="87" customWidth="1"/>
    <col min="7254" max="7254" width="6.1640625" style="87" customWidth="1"/>
    <col min="7255" max="7270" width="5.5" style="87" customWidth="1"/>
    <col min="7271" max="7271" width="6" style="87" customWidth="1"/>
    <col min="7272" max="7272" width="2.6640625" style="87"/>
    <col min="7273" max="7273" width="16.5" style="87" customWidth="1"/>
    <col min="7274" max="7274" width="4.83203125" style="87" customWidth="1"/>
    <col min="7275" max="7425" width="2.6640625" style="87"/>
    <col min="7426" max="7482" width="0" style="87" hidden="1" customWidth="1"/>
    <col min="7483" max="7485" width="7.5" style="87" customWidth="1"/>
    <col min="7486" max="7486" width="11.5" style="87" customWidth="1"/>
    <col min="7487" max="7487" width="8.1640625" style="87" customWidth="1"/>
    <col min="7488" max="7495" width="7.5" style="87" customWidth="1"/>
    <col min="7496" max="7496" width="9.5" style="87" customWidth="1"/>
    <col min="7497" max="7497" width="9.83203125" style="87" customWidth="1"/>
    <col min="7498" max="7498" width="10.33203125" style="87" customWidth="1"/>
    <col min="7499" max="7501" width="7.5" style="87" customWidth="1"/>
    <col min="7502" max="7502" width="9.5" style="87" customWidth="1"/>
    <col min="7503" max="7503" width="9.6640625" style="87" customWidth="1"/>
    <col min="7504" max="7504" width="2.5" style="87" customWidth="1"/>
    <col min="7505" max="7506" width="3.1640625" style="87" customWidth="1"/>
    <col min="7507" max="7507" width="12.5" style="87" customWidth="1"/>
    <col min="7508" max="7508" width="9.1640625" style="87" customWidth="1"/>
    <col min="7509" max="7509" width="11.33203125" style="87" customWidth="1"/>
    <col min="7510" max="7510" width="6.1640625" style="87" customWidth="1"/>
    <col min="7511" max="7526" width="5.5" style="87" customWidth="1"/>
    <col min="7527" max="7527" width="6" style="87" customWidth="1"/>
    <col min="7528" max="7528" width="2.6640625" style="87"/>
    <col min="7529" max="7529" width="16.5" style="87" customWidth="1"/>
    <col min="7530" max="7530" width="4.83203125" style="87" customWidth="1"/>
    <col min="7531" max="7681" width="2.6640625" style="87"/>
    <col min="7682" max="7738" width="0" style="87" hidden="1" customWidth="1"/>
    <col min="7739" max="7741" width="7.5" style="87" customWidth="1"/>
    <col min="7742" max="7742" width="11.5" style="87" customWidth="1"/>
    <col min="7743" max="7743" width="8.1640625" style="87" customWidth="1"/>
    <col min="7744" max="7751" width="7.5" style="87" customWidth="1"/>
    <col min="7752" max="7752" width="9.5" style="87" customWidth="1"/>
    <col min="7753" max="7753" width="9.83203125" style="87" customWidth="1"/>
    <col min="7754" max="7754" width="10.33203125" style="87" customWidth="1"/>
    <col min="7755" max="7757" width="7.5" style="87" customWidth="1"/>
    <col min="7758" max="7758" width="9.5" style="87" customWidth="1"/>
    <col min="7759" max="7759" width="9.6640625" style="87" customWidth="1"/>
    <col min="7760" max="7760" width="2.5" style="87" customWidth="1"/>
    <col min="7761" max="7762" width="3.1640625" style="87" customWidth="1"/>
    <col min="7763" max="7763" width="12.5" style="87" customWidth="1"/>
    <col min="7764" max="7764" width="9.1640625" style="87" customWidth="1"/>
    <col min="7765" max="7765" width="11.33203125" style="87" customWidth="1"/>
    <col min="7766" max="7766" width="6.1640625" style="87" customWidth="1"/>
    <col min="7767" max="7782" width="5.5" style="87" customWidth="1"/>
    <col min="7783" max="7783" width="6" style="87" customWidth="1"/>
    <col min="7784" max="7784" width="2.6640625" style="87"/>
    <col min="7785" max="7785" width="16.5" style="87" customWidth="1"/>
    <col min="7786" max="7786" width="4.83203125" style="87" customWidth="1"/>
    <col min="7787" max="7937" width="2.6640625" style="87"/>
    <col min="7938" max="7994" width="0" style="87" hidden="1" customWidth="1"/>
    <col min="7995" max="7997" width="7.5" style="87" customWidth="1"/>
    <col min="7998" max="7998" width="11.5" style="87" customWidth="1"/>
    <col min="7999" max="7999" width="8.1640625" style="87" customWidth="1"/>
    <col min="8000" max="8007" width="7.5" style="87" customWidth="1"/>
    <col min="8008" max="8008" width="9.5" style="87" customWidth="1"/>
    <col min="8009" max="8009" width="9.83203125" style="87" customWidth="1"/>
    <col min="8010" max="8010" width="10.33203125" style="87" customWidth="1"/>
    <col min="8011" max="8013" width="7.5" style="87" customWidth="1"/>
    <col min="8014" max="8014" width="9.5" style="87" customWidth="1"/>
    <col min="8015" max="8015" width="9.6640625" style="87" customWidth="1"/>
    <col min="8016" max="8016" width="2.5" style="87" customWidth="1"/>
    <col min="8017" max="8018" width="3.1640625" style="87" customWidth="1"/>
    <col min="8019" max="8019" width="12.5" style="87" customWidth="1"/>
    <col min="8020" max="8020" width="9.1640625" style="87" customWidth="1"/>
    <col min="8021" max="8021" width="11.33203125" style="87" customWidth="1"/>
    <col min="8022" max="8022" width="6.1640625" style="87" customWidth="1"/>
    <col min="8023" max="8038" width="5.5" style="87" customWidth="1"/>
    <col min="8039" max="8039" width="6" style="87" customWidth="1"/>
    <col min="8040" max="8040" width="2.6640625" style="87"/>
    <col min="8041" max="8041" width="16.5" style="87" customWidth="1"/>
    <col min="8042" max="8042" width="4.83203125" style="87" customWidth="1"/>
    <col min="8043" max="8193" width="2.6640625" style="87"/>
    <col min="8194" max="8250" width="0" style="87" hidden="1" customWidth="1"/>
    <col min="8251" max="8253" width="7.5" style="87" customWidth="1"/>
    <col min="8254" max="8254" width="11.5" style="87" customWidth="1"/>
    <col min="8255" max="8255" width="8.1640625" style="87" customWidth="1"/>
    <col min="8256" max="8263" width="7.5" style="87" customWidth="1"/>
    <col min="8264" max="8264" width="9.5" style="87" customWidth="1"/>
    <col min="8265" max="8265" width="9.83203125" style="87" customWidth="1"/>
    <col min="8266" max="8266" width="10.33203125" style="87" customWidth="1"/>
    <col min="8267" max="8269" width="7.5" style="87" customWidth="1"/>
    <col min="8270" max="8270" width="9.5" style="87" customWidth="1"/>
    <col min="8271" max="8271" width="9.6640625" style="87" customWidth="1"/>
    <col min="8272" max="8272" width="2.5" style="87" customWidth="1"/>
    <col min="8273" max="8274" width="3.1640625" style="87" customWidth="1"/>
    <col min="8275" max="8275" width="12.5" style="87" customWidth="1"/>
    <col min="8276" max="8276" width="9.1640625" style="87" customWidth="1"/>
    <col min="8277" max="8277" width="11.33203125" style="87" customWidth="1"/>
    <col min="8278" max="8278" width="6.1640625" style="87" customWidth="1"/>
    <col min="8279" max="8294" width="5.5" style="87" customWidth="1"/>
    <col min="8295" max="8295" width="6" style="87" customWidth="1"/>
    <col min="8296" max="8296" width="2.6640625" style="87"/>
    <col min="8297" max="8297" width="16.5" style="87" customWidth="1"/>
    <col min="8298" max="8298" width="4.83203125" style="87" customWidth="1"/>
    <col min="8299" max="8449" width="2.6640625" style="87"/>
    <col min="8450" max="8506" width="0" style="87" hidden="1" customWidth="1"/>
    <col min="8507" max="8509" width="7.5" style="87" customWidth="1"/>
    <col min="8510" max="8510" width="11.5" style="87" customWidth="1"/>
    <col min="8511" max="8511" width="8.1640625" style="87" customWidth="1"/>
    <col min="8512" max="8519" width="7.5" style="87" customWidth="1"/>
    <col min="8520" max="8520" width="9.5" style="87" customWidth="1"/>
    <col min="8521" max="8521" width="9.83203125" style="87" customWidth="1"/>
    <col min="8522" max="8522" width="10.33203125" style="87" customWidth="1"/>
    <col min="8523" max="8525" width="7.5" style="87" customWidth="1"/>
    <col min="8526" max="8526" width="9.5" style="87" customWidth="1"/>
    <col min="8527" max="8527" width="9.6640625" style="87" customWidth="1"/>
    <col min="8528" max="8528" width="2.5" style="87" customWidth="1"/>
    <col min="8529" max="8530" width="3.1640625" style="87" customWidth="1"/>
    <col min="8531" max="8531" width="12.5" style="87" customWidth="1"/>
    <col min="8532" max="8532" width="9.1640625" style="87" customWidth="1"/>
    <col min="8533" max="8533" width="11.33203125" style="87" customWidth="1"/>
    <col min="8534" max="8534" width="6.1640625" style="87" customWidth="1"/>
    <col min="8535" max="8550" width="5.5" style="87" customWidth="1"/>
    <col min="8551" max="8551" width="6" style="87" customWidth="1"/>
    <col min="8552" max="8552" width="2.6640625" style="87"/>
    <col min="8553" max="8553" width="16.5" style="87" customWidth="1"/>
    <col min="8554" max="8554" width="4.83203125" style="87" customWidth="1"/>
    <col min="8555" max="8705" width="2.6640625" style="87"/>
    <col min="8706" max="8762" width="0" style="87" hidden="1" customWidth="1"/>
    <col min="8763" max="8765" width="7.5" style="87" customWidth="1"/>
    <col min="8766" max="8766" width="11.5" style="87" customWidth="1"/>
    <col min="8767" max="8767" width="8.1640625" style="87" customWidth="1"/>
    <col min="8768" max="8775" width="7.5" style="87" customWidth="1"/>
    <col min="8776" max="8776" width="9.5" style="87" customWidth="1"/>
    <col min="8777" max="8777" width="9.83203125" style="87" customWidth="1"/>
    <col min="8778" max="8778" width="10.33203125" style="87" customWidth="1"/>
    <col min="8779" max="8781" width="7.5" style="87" customWidth="1"/>
    <col min="8782" max="8782" width="9.5" style="87" customWidth="1"/>
    <col min="8783" max="8783" width="9.6640625" style="87" customWidth="1"/>
    <col min="8784" max="8784" width="2.5" style="87" customWidth="1"/>
    <col min="8785" max="8786" width="3.1640625" style="87" customWidth="1"/>
    <col min="8787" max="8787" width="12.5" style="87" customWidth="1"/>
    <col min="8788" max="8788" width="9.1640625" style="87" customWidth="1"/>
    <col min="8789" max="8789" width="11.33203125" style="87" customWidth="1"/>
    <col min="8790" max="8790" width="6.1640625" style="87" customWidth="1"/>
    <col min="8791" max="8806" width="5.5" style="87" customWidth="1"/>
    <col min="8807" max="8807" width="6" style="87" customWidth="1"/>
    <col min="8808" max="8808" width="2.6640625" style="87"/>
    <col min="8809" max="8809" width="16.5" style="87" customWidth="1"/>
    <col min="8810" max="8810" width="4.83203125" style="87" customWidth="1"/>
    <col min="8811" max="8961" width="2.6640625" style="87"/>
    <col min="8962" max="9018" width="0" style="87" hidden="1" customWidth="1"/>
    <col min="9019" max="9021" width="7.5" style="87" customWidth="1"/>
    <col min="9022" max="9022" width="11.5" style="87" customWidth="1"/>
    <col min="9023" max="9023" width="8.1640625" style="87" customWidth="1"/>
    <col min="9024" max="9031" width="7.5" style="87" customWidth="1"/>
    <col min="9032" max="9032" width="9.5" style="87" customWidth="1"/>
    <col min="9033" max="9033" width="9.83203125" style="87" customWidth="1"/>
    <col min="9034" max="9034" width="10.33203125" style="87" customWidth="1"/>
    <col min="9035" max="9037" width="7.5" style="87" customWidth="1"/>
    <col min="9038" max="9038" width="9.5" style="87" customWidth="1"/>
    <col min="9039" max="9039" width="9.6640625" style="87" customWidth="1"/>
    <col min="9040" max="9040" width="2.5" style="87" customWidth="1"/>
    <col min="9041" max="9042" width="3.1640625" style="87" customWidth="1"/>
    <col min="9043" max="9043" width="12.5" style="87" customWidth="1"/>
    <col min="9044" max="9044" width="9.1640625" style="87" customWidth="1"/>
    <col min="9045" max="9045" width="11.33203125" style="87" customWidth="1"/>
    <col min="9046" max="9046" width="6.1640625" style="87" customWidth="1"/>
    <col min="9047" max="9062" width="5.5" style="87" customWidth="1"/>
    <col min="9063" max="9063" width="6" style="87" customWidth="1"/>
    <col min="9064" max="9064" width="2.6640625" style="87"/>
    <col min="9065" max="9065" width="16.5" style="87" customWidth="1"/>
    <col min="9066" max="9066" width="4.83203125" style="87" customWidth="1"/>
    <col min="9067" max="9217" width="2.6640625" style="87"/>
    <col min="9218" max="9274" width="0" style="87" hidden="1" customWidth="1"/>
    <col min="9275" max="9277" width="7.5" style="87" customWidth="1"/>
    <col min="9278" max="9278" width="11.5" style="87" customWidth="1"/>
    <col min="9279" max="9279" width="8.1640625" style="87" customWidth="1"/>
    <col min="9280" max="9287" width="7.5" style="87" customWidth="1"/>
    <col min="9288" max="9288" width="9.5" style="87" customWidth="1"/>
    <col min="9289" max="9289" width="9.83203125" style="87" customWidth="1"/>
    <col min="9290" max="9290" width="10.33203125" style="87" customWidth="1"/>
    <col min="9291" max="9293" width="7.5" style="87" customWidth="1"/>
    <col min="9294" max="9294" width="9.5" style="87" customWidth="1"/>
    <col min="9295" max="9295" width="9.6640625" style="87" customWidth="1"/>
    <col min="9296" max="9296" width="2.5" style="87" customWidth="1"/>
    <col min="9297" max="9298" width="3.1640625" style="87" customWidth="1"/>
    <col min="9299" max="9299" width="12.5" style="87" customWidth="1"/>
    <col min="9300" max="9300" width="9.1640625" style="87" customWidth="1"/>
    <col min="9301" max="9301" width="11.33203125" style="87" customWidth="1"/>
    <col min="9302" max="9302" width="6.1640625" style="87" customWidth="1"/>
    <col min="9303" max="9318" width="5.5" style="87" customWidth="1"/>
    <col min="9319" max="9319" width="6" style="87" customWidth="1"/>
    <col min="9320" max="9320" width="2.6640625" style="87"/>
    <col min="9321" max="9321" width="16.5" style="87" customWidth="1"/>
    <col min="9322" max="9322" width="4.83203125" style="87" customWidth="1"/>
    <col min="9323" max="9473" width="2.6640625" style="87"/>
    <col min="9474" max="9530" width="0" style="87" hidden="1" customWidth="1"/>
    <col min="9531" max="9533" width="7.5" style="87" customWidth="1"/>
    <col min="9534" max="9534" width="11.5" style="87" customWidth="1"/>
    <col min="9535" max="9535" width="8.1640625" style="87" customWidth="1"/>
    <col min="9536" max="9543" width="7.5" style="87" customWidth="1"/>
    <col min="9544" max="9544" width="9.5" style="87" customWidth="1"/>
    <col min="9545" max="9545" width="9.83203125" style="87" customWidth="1"/>
    <col min="9546" max="9546" width="10.33203125" style="87" customWidth="1"/>
    <col min="9547" max="9549" width="7.5" style="87" customWidth="1"/>
    <col min="9550" max="9550" width="9.5" style="87" customWidth="1"/>
    <col min="9551" max="9551" width="9.6640625" style="87" customWidth="1"/>
    <col min="9552" max="9552" width="2.5" style="87" customWidth="1"/>
    <col min="9553" max="9554" width="3.1640625" style="87" customWidth="1"/>
    <col min="9555" max="9555" width="12.5" style="87" customWidth="1"/>
    <col min="9556" max="9556" width="9.1640625" style="87" customWidth="1"/>
    <col min="9557" max="9557" width="11.33203125" style="87" customWidth="1"/>
    <col min="9558" max="9558" width="6.1640625" style="87" customWidth="1"/>
    <col min="9559" max="9574" width="5.5" style="87" customWidth="1"/>
    <col min="9575" max="9575" width="6" style="87" customWidth="1"/>
    <col min="9576" max="9576" width="2.6640625" style="87"/>
    <col min="9577" max="9577" width="16.5" style="87" customWidth="1"/>
    <col min="9578" max="9578" width="4.83203125" style="87" customWidth="1"/>
    <col min="9579" max="9729" width="2.6640625" style="87"/>
    <col min="9730" max="9786" width="0" style="87" hidden="1" customWidth="1"/>
    <col min="9787" max="9789" width="7.5" style="87" customWidth="1"/>
    <col min="9790" max="9790" width="11.5" style="87" customWidth="1"/>
    <col min="9791" max="9791" width="8.1640625" style="87" customWidth="1"/>
    <col min="9792" max="9799" width="7.5" style="87" customWidth="1"/>
    <col min="9800" max="9800" width="9.5" style="87" customWidth="1"/>
    <col min="9801" max="9801" width="9.83203125" style="87" customWidth="1"/>
    <col min="9802" max="9802" width="10.33203125" style="87" customWidth="1"/>
    <col min="9803" max="9805" width="7.5" style="87" customWidth="1"/>
    <col min="9806" max="9806" width="9.5" style="87" customWidth="1"/>
    <col min="9807" max="9807" width="9.6640625" style="87" customWidth="1"/>
    <col min="9808" max="9808" width="2.5" style="87" customWidth="1"/>
    <col min="9809" max="9810" width="3.1640625" style="87" customWidth="1"/>
    <col min="9811" max="9811" width="12.5" style="87" customWidth="1"/>
    <col min="9812" max="9812" width="9.1640625" style="87" customWidth="1"/>
    <col min="9813" max="9813" width="11.33203125" style="87" customWidth="1"/>
    <col min="9814" max="9814" width="6.1640625" style="87" customWidth="1"/>
    <col min="9815" max="9830" width="5.5" style="87" customWidth="1"/>
    <col min="9831" max="9831" width="6" style="87" customWidth="1"/>
    <col min="9832" max="9832" width="2.6640625" style="87"/>
    <col min="9833" max="9833" width="16.5" style="87" customWidth="1"/>
    <col min="9834" max="9834" width="4.83203125" style="87" customWidth="1"/>
    <col min="9835" max="9985" width="2.6640625" style="87"/>
    <col min="9986" max="10042" width="0" style="87" hidden="1" customWidth="1"/>
    <col min="10043" max="10045" width="7.5" style="87" customWidth="1"/>
    <col min="10046" max="10046" width="11.5" style="87" customWidth="1"/>
    <col min="10047" max="10047" width="8.1640625" style="87" customWidth="1"/>
    <col min="10048" max="10055" width="7.5" style="87" customWidth="1"/>
    <col min="10056" max="10056" width="9.5" style="87" customWidth="1"/>
    <col min="10057" max="10057" width="9.83203125" style="87" customWidth="1"/>
    <col min="10058" max="10058" width="10.33203125" style="87" customWidth="1"/>
    <col min="10059" max="10061" width="7.5" style="87" customWidth="1"/>
    <col min="10062" max="10062" width="9.5" style="87" customWidth="1"/>
    <col min="10063" max="10063" width="9.6640625" style="87" customWidth="1"/>
    <col min="10064" max="10064" width="2.5" style="87" customWidth="1"/>
    <col min="10065" max="10066" width="3.1640625" style="87" customWidth="1"/>
    <col min="10067" max="10067" width="12.5" style="87" customWidth="1"/>
    <col min="10068" max="10068" width="9.1640625" style="87" customWidth="1"/>
    <col min="10069" max="10069" width="11.33203125" style="87" customWidth="1"/>
    <col min="10070" max="10070" width="6.1640625" style="87" customWidth="1"/>
    <col min="10071" max="10086" width="5.5" style="87" customWidth="1"/>
    <col min="10087" max="10087" width="6" style="87" customWidth="1"/>
    <col min="10088" max="10088" width="2.6640625" style="87"/>
    <col min="10089" max="10089" width="16.5" style="87" customWidth="1"/>
    <col min="10090" max="10090" width="4.83203125" style="87" customWidth="1"/>
    <col min="10091" max="10241" width="2.6640625" style="87"/>
    <col min="10242" max="10298" width="0" style="87" hidden="1" customWidth="1"/>
    <col min="10299" max="10301" width="7.5" style="87" customWidth="1"/>
    <col min="10302" max="10302" width="11.5" style="87" customWidth="1"/>
    <col min="10303" max="10303" width="8.1640625" style="87" customWidth="1"/>
    <col min="10304" max="10311" width="7.5" style="87" customWidth="1"/>
    <col min="10312" max="10312" width="9.5" style="87" customWidth="1"/>
    <col min="10313" max="10313" width="9.83203125" style="87" customWidth="1"/>
    <col min="10314" max="10314" width="10.33203125" style="87" customWidth="1"/>
    <col min="10315" max="10317" width="7.5" style="87" customWidth="1"/>
    <col min="10318" max="10318" width="9.5" style="87" customWidth="1"/>
    <col min="10319" max="10319" width="9.6640625" style="87" customWidth="1"/>
    <col min="10320" max="10320" width="2.5" style="87" customWidth="1"/>
    <col min="10321" max="10322" width="3.1640625" style="87" customWidth="1"/>
    <col min="10323" max="10323" width="12.5" style="87" customWidth="1"/>
    <col min="10324" max="10324" width="9.1640625" style="87" customWidth="1"/>
    <col min="10325" max="10325" width="11.33203125" style="87" customWidth="1"/>
    <col min="10326" max="10326" width="6.1640625" style="87" customWidth="1"/>
    <col min="10327" max="10342" width="5.5" style="87" customWidth="1"/>
    <col min="10343" max="10343" width="6" style="87" customWidth="1"/>
    <col min="10344" max="10344" width="2.6640625" style="87"/>
    <col min="10345" max="10345" width="16.5" style="87" customWidth="1"/>
    <col min="10346" max="10346" width="4.83203125" style="87" customWidth="1"/>
    <col min="10347" max="10497" width="2.6640625" style="87"/>
    <col min="10498" max="10554" width="0" style="87" hidden="1" customWidth="1"/>
    <col min="10555" max="10557" width="7.5" style="87" customWidth="1"/>
    <col min="10558" max="10558" width="11.5" style="87" customWidth="1"/>
    <col min="10559" max="10559" width="8.1640625" style="87" customWidth="1"/>
    <col min="10560" max="10567" width="7.5" style="87" customWidth="1"/>
    <col min="10568" max="10568" width="9.5" style="87" customWidth="1"/>
    <col min="10569" max="10569" width="9.83203125" style="87" customWidth="1"/>
    <col min="10570" max="10570" width="10.33203125" style="87" customWidth="1"/>
    <col min="10571" max="10573" width="7.5" style="87" customWidth="1"/>
    <col min="10574" max="10574" width="9.5" style="87" customWidth="1"/>
    <col min="10575" max="10575" width="9.6640625" style="87" customWidth="1"/>
    <col min="10576" max="10576" width="2.5" style="87" customWidth="1"/>
    <col min="10577" max="10578" width="3.1640625" style="87" customWidth="1"/>
    <col min="10579" max="10579" width="12.5" style="87" customWidth="1"/>
    <col min="10580" max="10580" width="9.1640625" style="87" customWidth="1"/>
    <col min="10581" max="10581" width="11.33203125" style="87" customWidth="1"/>
    <col min="10582" max="10582" width="6.1640625" style="87" customWidth="1"/>
    <col min="10583" max="10598" width="5.5" style="87" customWidth="1"/>
    <col min="10599" max="10599" width="6" style="87" customWidth="1"/>
    <col min="10600" max="10600" width="2.6640625" style="87"/>
    <col min="10601" max="10601" width="16.5" style="87" customWidth="1"/>
    <col min="10602" max="10602" width="4.83203125" style="87" customWidth="1"/>
    <col min="10603" max="10753" width="2.6640625" style="87"/>
    <col min="10754" max="10810" width="0" style="87" hidden="1" customWidth="1"/>
    <col min="10811" max="10813" width="7.5" style="87" customWidth="1"/>
    <col min="10814" max="10814" width="11.5" style="87" customWidth="1"/>
    <col min="10815" max="10815" width="8.1640625" style="87" customWidth="1"/>
    <col min="10816" max="10823" width="7.5" style="87" customWidth="1"/>
    <col min="10824" max="10824" width="9.5" style="87" customWidth="1"/>
    <col min="10825" max="10825" width="9.83203125" style="87" customWidth="1"/>
    <col min="10826" max="10826" width="10.33203125" style="87" customWidth="1"/>
    <col min="10827" max="10829" width="7.5" style="87" customWidth="1"/>
    <col min="10830" max="10830" width="9.5" style="87" customWidth="1"/>
    <col min="10831" max="10831" width="9.6640625" style="87" customWidth="1"/>
    <col min="10832" max="10832" width="2.5" style="87" customWidth="1"/>
    <col min="10833" max="10834" width="3.1640625" style="87" customWidth="1"/>
    <col min="10835" max="10835" width="12.5" style="87" customWidth="1"/>
    <col min="10836" max="10836" width="9.1640625" style="87" customWidth="1"/>
    <col min="10837" max="10837" width="11.33203125" style="87" customWidth="1"/>
    <col min="10838" max="10838" width="6.1640625" style="87" customWidth="1"/>
    <col min="10839" max="10854" width="5.5" style="87" customWidth="1"/>
    <col min="10855" max="10855" width="6" style="87" customWidth="1"/>
    <col min="10856" max="10856" width="2.6640625" style="87"/>
    <col min="10857" max="10857" width="16.5" style="87" customWidth="1"/>
    <col min="10858" max="10858" width="4.83203125" style="87" customWidth="1"/>
    <col min="10859" max="11009" width="2.6640625" style="87"/>
    <col min="11010" max="11066" width="0" style="87" hidden="1" customWidth="1"/>
    <col min="11067" max="11069" width="7.5" style="87" customWidth="1"/>
    <col min="11070" max="11070" width="11.5" style="87" customWidth="1"/>
    <col min="11071" max="11071" width="8.1640625" style="87" customWidth="1"/>
    <col min="11072" max="11079" width="7.5" style="87" customWidth="1"/>
    <col min="11080" max="11080" width="9.5" style="87" customWidth="1"/>
    <col min="11081" max="11081" width="9.83203125" style="87" customWidth="1"/>
    <col min="11082" max="11082" width="10.33203125" style="87" customWidth="1"/>
    <col min="11083" max="11085" width="7.5" style="87" customWidth="1"/>
    <col min="11086" max="11086" width="9.5" style="87" customWidth="1"/>
    <col min="11087" max="11087" width="9.6640625" style="87" customWidth="1"/>
    <col min="11088" max="11088" width="2.5" style="87" customWidth="1"/>
    <col min="11089" max="11090" width="3.1640625" style="87" customWidth="1"/>
    <col min="11091" max="11091" width="12.5" style="87" customWidth="1"/>
    <col min="11092" max="11092" width="9.1640625" style="87" customWidth="1"/>
    <col min="11093" max="11093" width="11.33203125" style="87" customWidth="1"/>
    <col min="11094" max="11094" width="6.1640625" style="87" customWidth="1"/>
    <col min="11095" max="11110" width="5.5" style="87" customWidth="1"/>
    <col min="11111" max="11111" width="6" style="87" customWidth="1"/>
    <col min="11112" max="11112" width="2.6640625" style="87"/>
    <col min="11113" max="11113" width="16.5" style="87" customWidth="1"/>
    <col min="11114" max="11114" width="4.83203125" style="87" customWidth="1"/>
    <col min="11115" max="11265" width="2.6640625" style="87"/>
    <col min="11266" max="11322" width="0" style="87" hidden="1" customWidth="1"/>
    <col min="11323" max="11325" width="7.5" style="87" customWidth="1"/>
    <col min="11326" max="11326" width="11.5" style="87" customWidth="1"/>
    <col min="11327" max="11327" width="8.1640625" style="87" customWidth="1"/>
    <col min="11328" max="11335" width="7.5" style="87" customWidth="1"/>
    <col min="11336" max="11336" width="9.5" style="87" customWidth="1"/>
    <col min="11337" max="11337" width="9.83203125" style="87" customWidth="1"/>
    <col min="11338" max="11338" width="10.33203125" style="87" customWidth="1"/>
    <col min="11339" max="11341" width="7.5" style="87" customWidth="1"/>
    <col min="11342" max="11342" width="9.5" style="87" customWidth="1"/>
    <col min="11343" max="11343" width="9.6640625" style="87" customWidth="1"/>
    <col min="11344" max="11344" width="2.5" style="87" customWidth="1"/>
    <col min="11345" max="11346" width="3.1640625" style="87" customWidth="1"/>
    <col min="11347" max="11347" width="12.5" style="87" customWidth="1"/>
    <col min="11348" max="11348" width="9.1640625" style="87" customWidth="1"/>
    <col min="11349" max="11349" width="11.33203125" style="87" customWidth="1"/>
    <col min="11350" max="11350" width="6.1640625" style="87" customWidth="1"/>
    <col min="11351" max="11366" width="5.5" style="87" customWidth="1"/>
    <col min="11367" max="11367" width="6" style="87" customWidth="1"/>
    <col min="11368" max="11368" width="2.6640625" style="87"/>
    <col min="11369" max="11369" width="16.5" style="87" customWidth="1"/>
    <col min="11370" max="11370" width="4.83203125" style="87" customWidth="1"/>
    <col min="11371" max="11521" width="2.6640625" style="87"/>
    <col min="11522" max="11578" width="0" style="87" hidden="1" customWidth="1"/>
    <col min="11579" max="11581" width="7.5" style="87" customWidth="1"/>
    <col min="11582" max="11582" width="11.5" style="87" customWidth="1"/>
    <col min="11583" max="11583" width="8.1640625" style="87" customWidth="1"/>
    <col min="11584" max="11591" width="7.5" style="87" customWidth="1"/>
    <col min="11592" max="11592" width="9.5" style="87" customWidth="1"/>
    <col min="11593" max="11593" width="9.83203125" style="87" customWidth="1"/>
    <col min="11594" max="11594" width="10.33203125" style="87" customWidth="1"/>
    <col min="11595" max="11597" width="7.5" style="87" customWidth="1"/>
    <col min="11598" max="11598" width="9.5" style="87" customWidth="1"/>
    <col min="11599" max="11599" width="9.6640625" style="87" customWidth="1"/>
    <col min="11600" max="11600" width="2.5" style="87" customWidth="1"/>
    <col min="11601" max="11602" width="3.1640625" style="87" customWidth="1"/>
    <col min="11603" max="11603" width="12.5" style="87" customWidth="1"/>
    <col min="11604" max="11604" width="9.1640625" style="87" customWidth="1"/>
    <col min="11605" max="11605" width="11.33203125" style="87" customWidth="1"/>
    <col min="11606" max="11606" width="6.1640625" style="87" customWidth="1"/>
    <col min="11607" max="11622" width="5.5" style="87" customWidth="1"/>
    <col min="11623" max="11623" width="6" style="87" customWidth="1"/>
    <col min="11624" max="11624" width="2.6640625" style="87"/>
    <col min="11625" max="11625" width="16.5" style="87" customWidth="1"/>
    <col min="11626" max="11626" width="4.83203125" style="87" customWidth="1"/>
    <col min="11627" max="11777" width="2.6640625" style="87"/>
    <col min="11778" max="11834" width="0" style="87" hidden="1" customWidth="1"/>
    <col min="11835" max="11837" width="7.5" style="87" customWidth="1"/>
    <col min="11838" max="11838" width="11.5" style="87" customWidth="1"/>
    <col min="11839" max="11839" width="8.1640625" style="87" customWidth="1"/>
    <col min="11840" max="11847" width="7.5" style="87" customWidth="1"/>
    <col min="11848" max="11848" width="9.5" style="87" customWidth="1"/>
    <col min="11849" max="11849" width="9.83203125" style="87" customWidth="1"/>
    <col min="11850" max="11850" width="10.33203125" style="87" customWidth="1"/>
    <col min="11851" max="11853" width="7.5" style="87" customWidth="1"/>
    <col min="11854" max="11854" width="9.5" style="87" customWidth="1"/>
    <col min="11855" max="11855" width="9.6640625" style="87" customWidth="1"/>
    <col min="11856" max="11856" width="2.5" style="87" customWidth="1"/>
    <col min="11857" max="11858" width="3.1640625" style="87" customWidth="1"/>
    <col min="11859" max="11859" width="12.5" style="87" customWidth="1"/>
    <col min="11860" max="11860" width="9.1640625" style="87" customWidth="1"/>
    <col min="11861" max="11861" width="11.33203125" style="87" customWidth="1"/>
    <col min="11862" max="11862" width="6.1640625" style="87" customWidth="1"/>
    <col min="11863" max="11878" width="5.5" style="87" customWidth="1"/>
    <col min="11879" max="11879" width="6" style="87" customWidth="1"/>
    <col min="11880" max="11880" width="2.6640625" style="87"/>
    <col min="11881" max="11881" width="16.5" style="87" customWidth="1"/>
    <col min="11882" max="11882" width="4.83203125" style="87" customWidth="1"/>
    <col min="11883" max="12033" width="2.6640625" style="87"/>
    <col min="12034" max="12090" width="0" style="87" hidden="1" customWidth="1"/>
    <col min="12091" max="12093" width="7.5" style="87" customWidth="1"/>
    <col min="12094" max="12094" width="11.5" style="87" customWidth="1"/>
    <col min="12095" max="12095" width="8.1640625" style="87" customWidth="1"/>
    <col min="12096" max="12103" width="7.5" style="87" customWidth="1"/>
    <col min="12104" max="12104" width="9.5" style="87" customWidth="1"/>
    <col min="12105" max="12105" width="9.83203125" style="87" customWidth="1"/>
    <col min="12106" max="12106" width="10.33203125" style="87" customWidth="1"/>
    <col min="12107" max="12109" width="7.5" style="87" customWidth="1"/>
    <col min="12110" max="12110" width="9.5" style="87" customWidth="1"/>
    <col min="12111" max="12111" width="9.6640625" style="87" customWidth="1"/>
    <col min="12112" max="12112" width="2.5" style="87" customWidth="1"/>
    <col min="12113" max="12114" width="3.1640625" style="87" customWidth="1"/>
    <col min="12115" max="12115" width="12.5" style="87" customWidth="1"/>
    <col min="12116" max="12116" width="9.1640625" style="87" customWidth="1"/>
    <col min="12117" max="12117" width="11.33203125" style="87" customWidth="1"/>
    <col min="12118" max="12118" width="6.1640625" style="87" customWidth="1"/>
    <col min="12119" max="12134" width="5.5" style="87" customWidth="1"/>
    <col min="12135" max="12135" width="6" style="87" customWidth="1"/>
    <col min="12136" max="12136" width="2.6640625" style="87"/>
    <col min="12137" max="12137" width="16.5" style="87" customWidth="1"/>
    <col min="12138" max="12138" width="4.83203125" style="87" customWidth="1"/>
    <col min="12139" max="12289" width="2.6640625" style="87"/>
    <col min="12290" max="12346" width="0" style="87" hidden="1" customWidth="1"/>
    <col min="12347" max="12349" width="7.5" style="87" customWidth="1"/>
    <col min="12350" max="12350" width="11.5" style="87" customWidth="1"/>
    <col min="12351" max="12351" width="8.1640625" style="87" customWidth="1"/>
    <col min="12352" max="12359" width="7.5" style="87" customWidth="1"/>
    <col min="12360" max="12360" width="9.5" style="87" customWidth="1"/>
    <col min="12361" max="12361" width="9.83203125" style="87" customWidth="1"/>
    <col min="12362" max="12362" width="10.33203125" style="87" customWidth="1"/>
    <col min="12363" max="12365" width="7.5" style="87" customWidth="1"/>
    <col min="12366" max="12366" width="9.5" style="87" customWidth="1"/>
    <col min="12367" max="12367" width="9.6640625" style="87" customWidth="1"/>
    <col min="12368" max="12368" width="2.5" style="87" customWidth="1"/>
    <col min="12369" max="12370" width="3.1640625" style="87" customWidth="1"/>
    <col min="12371" max="12371" width="12.5" style="87" customWidth="1"/>
    <col min="12372" max="12372" width="9.1640625" style="87" customWidth="1"/>
    <col min="12373" max="12373" width="11.33203125" style="87" customWidth="1"/>
    <col min="12374" max="12374" width="6.1640625" style="87" customWidth="1"/>
    <col min="12375" max="12390" width="5.5" style="87" customWidth="1"/>
    <col min="12391" max="12391" width="6" style="87" customWidth="1"/>
    <col min="12392" max="12392" width="2.6640625" style="87"/>
    <col min="12393" max="12393" width="16.5" style="87" customWidth="1"/>
    <col min="12394" max="12394" width="4.83203125" style="87" customWidth="1"/>
    <col min="12395" max="12545" width="2.6640625" style="87"/>
    <col min="12546" max="12602" width="0" style="87" hidden="1" customWidth="1"/>
    <col min="12603" max="12605" width="7.5" style="87" customWidth="1"/>
    <col min="12606" max="12606" width="11.5" style="87" customWidth="1"/>
    <col min="12607" max="12607" width="8.1640625" style="87" customWidth="1"/>
    <col min="12608" max="12615" width="7.5" style="87" customWidth="1"/>
    <col min="12616" max="12616" width="9.5" style="87" customWidth="1"/>
    <col min="12617" max="12617" width="9.83203125" style="87" customWidth="1"/>
    <col min="12618" max="12618" width="10.33203125" style="87" customWidth="1"/>
    <col min="12619" max="12621" width="7.5" style="87" customWidth="1"/>
    <col min="12622" max="12622" width="9.5" style="87" customWidth="1"/>
    <col min="12623" max="12623" width="9.6640625" style="87" customWidth="1"/>
    <col min="12624" max="12624" width="2.5" style="87" customWidth="1"/>
    <col min="12625" max="12626" width="3.1640625" style="87" customWidth="1"/>
    <col min="12627" max="12627" width="12.5" style="87" customWidth="1"/>
    <col min="12628" max="12628" width="9.1640625" style="87" customWidth="1"/>
    <col min="12629" max="12629" width="11.33203125" style="87" customWidth="1"/>
    <col min="12630" max="12630" width="6.1640625" style="87" customWidth="1"/>
    <col min="12631" max="12646" width="5.5" style="87" customWidth="1"/>
    <col min="12647" max="12647" width="6" style="87" customWidth="1"/>
    <col min="12648" max="12648" width="2.6640625" style="87"/>
    <col min="12649" max="12649" width="16.5" style="87" customWidth="1"/>
    <col min="12650" max="12650" width="4.83203125" style="87" customWidth="1"/>
    <col min="12651" max="12801" width="2.6640625" style="87"/>
    <col min="12802" max="12858" width="0" style="87" hidden="1" customWidth="1"/>
    <col min="12859" max="12861" width="7.5" style="87" customWidth="1"/>
    <col min="12862" max="12862" width="11.5" style="87" customWidth="1"/>
    <col min="12863" max="12863" width="8.1640625" style="87" customWidth="1"/>
    <col min="12864" max="12871" width="7.5" style="87" customWidth="1"/>
    <col min="12872" max="12872" width="9.5" style="87" customWidth="1"/>
    <col min="12873" max="12873" width="9.83203125" style="87" customWidth="1"/>
    <col min="12874" max="12874" width="10.33203125" style="87" customWidth="1"/>
    <col min="12875" max="12877" width="7.5" style="87" customWidth="1"/>
    <col min="12878" max="12878" width="9.5" style="87" customWidth="1"/>
    <col min="12879" max="12879" width="9.6640625" style="87" customWidth="1"/>
    <col min="12880" max="12880" width="2.5" style="87" customWidth="1"/>
    <col min="12881" max="12882" width="3.1640625" style="87" customWidth="1"/>
    <col min="12883" max="12883" width="12.5" style="87" customWidth="1"/>
    <col min="12884" max="12884" width="9.1640625" style="87" customWidth="1"/>
    <col min="12885" max="12885" width="11.33203125" style="87" customWidth="1"/>
    <col min="12886" max="12886" width="6.1640625" style="87" customWidth="1"/>
    <col min="12887" max="12902" width="5.5" style="87" customWidth="1"/>
    <col min="12903" max="12903" width="6" style="87" customWidth="1"/>
    <col min="12904" max="12904" width="2.6640625" style="87"/>
    <col min="12905" max="12905" width="16.5" style="87" customWidth="1"/>
    <col min="12906" max="12906" width="4.83203125" style="87" customWidth="1"/>
    <col min="12907" max="13057" width="2.6640625" style="87"/>
    <col min="13058" max="13114" width="0" style="87" hidden="1" customWidth="1"/>
    <col min="13115" max="13117" width="7.5" style="87" customWidth="1"/>
    <col min="13118" max="13118" width="11.5" style="87" customWidth="1"/>
    <col min="13119" max="13119" width="8.1640625" style="87" customWidth="1"/>
    <col min="13120" max="13127" width="7.5" style="87" customWidth="1"/>
    <col min="13128" max="13128" width="9.5" style="87" customWidth="1"/>
    <col min="13129" max="13129" width="9.83203125" style="87" customWidth="1"/>
    <col min="13130" max="13130" width="10.33203125" style="87" customWidth="1"/>
    <col min="13131" max="13133" width="7.5" style="87" customWidth="1"/>
    <col min="13134" max="13134" width="9.5" style="87" customWidth="1"/>
    <col min="13135" max="13135" width="9.6640625" style="87" customWidth="1"/>
    <col min="13136" max="13136" width="2.5" style="87" customWidth="1"/>
    <col min="13137" max="13138" width="3.1640625" style="87" customWidth="1"/>
    <col min="13139" max="13139" width="12.5" style="87" customWidth="1"/>
    <col min="13140" max="13140" width="9.1640625" style="87" customWidth="1"/>
    <col min="13141" max="13141" width="11.33203125" style="87" customWidth="1"/>
    <col min="13142" max="13142" width="6.1640625" style="87" customWidth="1"/>
    <col min="13143" max="13158" width="5.5" style="87" customWidth="1"/>
    <col min="13159" max="13159" width="6" style="87" customWidth="1"/>
    <col min="13160" max="13160" width="2.6640625" style="87"/>
    <col min="13161" max="13161" width="16.5" style="87" customWidth="1"/>
    <col min="13162" max="13162" width="4.83203125" style="87" customWidth="1"/>
    <col min="13163" max="13313" width="2.6640625" style="87"/>
    <col min="13314" max="13370" width="0" style="87" hidden="1" customWidth="1"/>
    <col min="13371" max="13373" width="7.5" style="87" customWidth="1"/>
    <col min="13374" max="13374" width="11.5" style="87" customWidth="1"/>
    <col min="13375" max="13375" width="8.1640625" style="87" customWidth="1"/>
    <col min="13376" max="13383" width="7.5" style="87" customWidth="1"/>
    <col min="13384" max="13384" width="9.5" style="87" customWidth="1"/>
    <col min="13385" max="13385" width="9.83203125" style="87" customWidth="1"/>
    <col min="13386" max="13386" width="10.33203125" style="87" customWidth="1"/>
    <col min="13387" max="13389" width="7.5" style="87" customWidth="1"/>
    <col min="13390" max="13390" width="9.5" style="87" customWidth="1"/>
    <col min="13391" max="13391" width="9.6640625" style="87" customWidth="1"/>
    <col min="13392" max="13392" width="2.5" style="87" customWidth="1"/>
    <col min="13393" max="13394" width="3.1640625" style="87" customWidth="1"/>
    <col min="13395" max="13395" width="12.5" style="87" customWidth="1"/>
    <col min="13396" max="13396" width="9.1640625" style="87" customWidth="1"/>
    <col min="13397" max="13397" width="11.33203125" style="87" customWidth="1"/>
    <col min="13398" max="13398" width="6.1640625" style="87" customWidth="1"/>
    <col min="13399" max="13414" width="5.5" style="87" customWidth="1"/>
    <col min="13415" max="13415" width="6" style="87" customWidth="1"/>
    <col min="13416" max="13416" width="2.6640625" style="87"/>
    <col min="13417" max="13417" width="16.5" style="87" customWidth="1"/>
    <col min="13418" max="13418" width="4.83203125" style="87" customWidth="1"/>
    <col min="13419" max="13569" width="2.6640625" style="87"/>
    <col min="13570" max="13626" width="0" style="87" hidden="1" customWidth="1"/>
    <col min="13627" max="13629" width="7.5" style="87" customWidth="1"/>
    <col min="13630" max="13630" width="11.5" style="87" customWidth="1"/>
    <col min="13631" max="13631" width="8.1640625" style="87" customWidth="1"/>
    <col min="13632" max="13639" width="7.5" style="87" customWidth="1"/>
    <col min="13640" max="13640" width="9.5" style="87" customWidth="1"/>
    <col min="13641" max="13641" width="9.83203125" style="87" customWidth="1"/>
    <col min="13642" max="13642" width="10.33203125" style="87" customWidth="1"/>
    <col min="13643" max="13645" width="7.5" style="87" customWidth="1"/>
    <col min="13646" max="13646" width="9.5" style="87" customWidth="1"/>
    <col min="13647" max="13647" width="9.6640625" style="87" customWidth="1"/>
    <col min="13648" max="13648" width="2.5" style="87" customWidth="1"/>
    <col min="13649" max="13650" width="3.1640625" style="87" customWidth="1"/>
    <col min="13651" max="13651" width="12.5" style="87" customWidth="1"/>
    <col min="13652" max="13652" width="9.1640625" style="87" customWidth="1"/>
    <col min="13653" max="13653" width="11.33203125" style="87" customWidth="1"/>
    <col min="13654" max="13654" width="6.1640625" style="87" customWidth="1"/>
    <col min="13655" max="13670" width="5.5" style="87" customWidth="1"/>
    <col min="13671" max="13671" width="6" style="87" customWidth="1"/>
    <col min="13672" max="13672" width="2.6640625" style="87"/>
    <col min="13673" max="13673" width="16.5" style="87" customWidth="1"/>
    <col min="13674" max="13674" width="4.83203125" style="87" customWidth="1"/>
    <col min="13675" max="13825" width="2.6640625" style="87"/>
    <col min="13826" max="13882" width="0" style="87" hidden="1" customWidth="1"/>
    <col min="13883" max="13885" width="7.5" style="87" customWidth="1"/>
    <col min="13886" max="13886" width="11.5" style="87" customWidth="1"/>
    <col min="13887" max="13887" width="8.1640625" style="87" customWidth="1"/>
    <col min="13888" max="13895" width="7.5" style="87" customWidth="1"/>
    <col min="13896" max="13896" width="9.5" style="87" customWidth="1"/>
    <col min="13897" max="13897" width="9.83203125" style="87" customWidth="1"/>
    <col min="13898" max="13898" width="10.33203125" style="87" customWidth="1"/>
    <col min="13899" max="13901" width="7.5" style="87" customWidth="1"/>
    <col min="13902" max="13902" width="9.5" style="87" customWidth="1"/>
    <col min="13903" max="13903" width="9.6640625" style="87" customWidth="1"/>
    <col min="13904" max="13904" width="2.5" style="87" customWidth="1"/>
    <col min="13905" max="13906" width="3.1640625" style="87" customWidth="1"/>
    <col min="13907" max="13907" width="12.5" style="87" customWidth="1"/>
    <col min="13908" max="13908" width="9.1640625" style="87" customWidth="1"/>
    <col min="13909" max="13909" width="11.33203125" style="87" customWidth="1"/>
    <col min="13910" max="13910" width="6.1640625" style="87" customWidth="1"/>
    <col min="13911" max="13926" width="5.5" style="87" customWidth="1"/>
    <col min="13927" max="13927" width="6" style="87" customWidth="1"/>
    <col min="13928" max="13928" width="2.6640625" style="87"/>
    <col min="13929" max="13929" width="16.5" style="87" customWidth="1"/>
    <col min="13930" max="13930" width="4.83203125" style="87" customWidth="1"/>
    <col min="13931" max="14081" width="2.6640625" style="87"/>
    <col min="14082" max="14138" width="0" style="87" hidden="1" customWidth="1"/>
    <col min="14139" max="14141" width="7.5" style="87" customWidth="1"/>
    <col min="14142" max="14142" width="11.5" style="87" customWidth="1"/>
    <col min="14143" max="14143" width="8.1640625" style="87" customWidth="1"/>
    <col min="14144" max="14151" width="7.5" style="87" customWidth="1"/>
    <col min="14152" max="14152" width="9.5" style="87" customWidth="1"/>
    <col min="14153" max="14153" width="9.83203125" style="87" customWidth="1"/>
    <col min="14154" max="14154" width="10.33203125" style="87" customWidth="1"/>
    <col min="14155" max="14157" width="7.5" style="87" customWidth="1"/>
    <col min="14158" max="14158" width="9.5" style="87" customWidth="1"/>
    <col min="14159" max="14159" width="9.6640625" style="87" customWidth="1"/>
    <col min="14160" max="14160" width="2.5" style="87" customWidth="1"/>
    <col min="14161" max="14162" width="3.1640625" style="87" customWidth="1"/>
    <col min="14163" max="14163" width="12.5" style="87" customWidth="1"/>
    <col min="14164" max="14164" width="9.1640625" style="87" customWidth="1"/>
    <col min="14165" max="14165" width="11.33203125" style="87" customWidth="1"/>
    <col min="14166" max="14166" width="6.1640625" style="87" customWidth="1"/>
    <col min="14167" max="14182" width="5.5" style="87" customWidth="1"/>
    <col min="14183" max="14183" width="6" style="87" customWidth="1"/>
    <col min="14184" max="14184" width="2.6640625" style="87"/>
    <col min="14185" max="14185" width="16.5" style="87" customWidth="1"/>
    <col min="14186" max="14186" width="4.83203125" style="87" customWidth="1"/>
    <col min="14187" max="14337" width="2.6640625" style="87"/>
    <col min="14338" max="14394" width="0" style="87" hidden="1" customWidth="1"/>
    <col min="14395" max="14397" width="7.5" style="87" customWidth="1"/>
    <col min="14398" max="14398" width="11.5" style="87" customWidth="1"/>
    <col min="14399" max="14399" width="8.1640625" style="87" customWidth="1"/>
    <col min="14400" max="14407" width="7.5" style="87" customWidth="1"/>
    <col min="14408" max="14408" width="9.5" style="87" customWidth="1"/>
    <col min="14409" max="14409" width="9.83203125" style="87" customWidth="1"/>
    <col min="14410" max="14410" width="10.33203125" style="87" customWidth="1"/>
    <col min="14411" max="14413" width="7.5" style="87" customWidth="1"/>
    <col min="14414" max="14414" width="9.5" style="87" customWidth="1"/>
    <col min="14415" max="14415" width="9.6640625" style="87" customWidth="1"/>
    <col min="14416" max="14416" width="2.5" style="87" customWidth="1"/>
    <col min="14417" max="14418" width="3.1640625" style="87" customWidth="1"/>
    <col min="14419" max="14419" width="12.5" style="87" customWidth="1"/>
    <col min="14420" max="14420" width="9.1640625" style="87" customWidth="1"/>
    <col min="14421" max="14421" width="11.33203125" style="87" customWidth="1"/>
    <col min="14422" max="14422" width="6.1640625" style="87" customWidth="1"/>
    <col min="14423" max="14438" width="5.5" style="87" customWidth="1"/>
    <col min="14439" max="14439" width="6" style="87" customWidth="1"/>
    <col min="14440" max="14440" width="2.6640625" style="87"/>
    <col min="14441" max="14441" width="16.5" style="87" customWidth="1"/>
    <col min="14442" max="14442" width="4.83203125" style="87" customWidth="1"/>
    <col min="14443" max="14593" width="2.6640625" style="87"/>
    <col min="14594" max="14650" width="0" style="87" hidden="1" customWidth="1"/>
    <col min="14651" max="14653" width="7.5" style="87" customWidth="1"/>
    <col min="14654" max="14654" width="11.5" style="87" customWidth="1"/>
    <col min="14655" max="14655" width="8.1640625" style="87" customWidth="1"/>
    <col min="14656" max="14663" width="7.5" style="87" customWidth="1"/>
    <col min="14664" max="14664" width="9.5" style="87" customWidth="1"/>
    <col min="14665" max="14665" width="9.83203125" style="87" customWidth="1"/>
    <col min="14666" max="14666" width="10.33203125" style="87" customWidth="1"/>
    <col min="14667" max="14669" width="7.5" style="87" customWidth="1"/>
    <col min="14670" max="14670" width="9.5" style="87" customWidth="1"/>
    <col min="14671" max="14671" width="9.6640625" style="87" customWidth="1"/>
    <col min="14672" max="14672" width="2.5" style="87" customWidth="1"/>
    <col min="14673" max="14674" width="3.1640625" style="87" customWidth="1"/>
    <col min="14675" max="14675" width="12.5" style="87" customWidth="1"/>
    <col min="14676" max="14676" width="9.1640625" style="87" customWidth="1"/>
    <col min="14677" max="14677" width="11.33203125" style="87" customWidth="1"/>
    <col min="14678" max="14678" width="6.1640625" style="87" customWidth="1"/>
    <col min="14679" max="14694" width="5.5" style="87" customWidth="1"/>
    <col min="14695" max="14695" width="6" style="87" customWidth="1"/>
    <col min="14696" max="14696" width="2.6640625" style="87"/>
    <col min="14697" max="14697" width="16.5" style="87" customWidth="1"/>
    <col min="14698" max="14698" width="4.83203125" style="87" customWidth="1"/>
    <col min="14699" max="14849" width="2.6640625" style="87"/>
    <col min="14850" max="14906" width="0" style="87" hidden="1" customWidth="1"/>
    <col min="14907" max="14909" width="7.5" style="87" customWidth="1"/>
    <col min="14910" max="14910" width="11.5" style="87" customWidth="1"/>
    <col min="14911" max="14911" width="8.1640625" style="87" customWidth="1"/>
    <col min="14912" max="14919" width="7.5" style="87" customWidth="1"/>
    <col min="14920" max="14920" width="9.5" style="87" customWidth="1"/>
    <col min="14921" max="14921" width="9.83203125" style="87" customWidth="1"/>
    <col min="14922" max="14922" width="10.33203125" style="87" customWidth="1"/>
    <col min="14923" max="14925" width="7.5" style="87" customWidth="1"/>
    <col min="14926" max="14926" width="9.5" style="87" customWidth="1"/>
    <col min="14927" max="14927" width="9.6640625" style="87" customWidth="1"/>
    <col min="14928" max="14928" width="2.5" style="87" customWidth="1"/>
    <col min="14929" max="14930" width="3.1640625" style="87" customWidth="1"/>
    <col min="14931" max="14931" width="12.5" style="87" customWidth="1"/>
    <col min="14932" max="14932" width="9.1640625" style="87" customWidth="1"/>
    <col min="14933" max="14933" width="11.33203125" style="87" customWidth="1"/>
    <col min="14934" max="14934" width="6.1640625" style="87" customWidth="1"/>
    <col min="14935" max="14950" width="5.5" style="87" customWidth="1"/>
    <col min="14951" max="14951" width="6" style="87" customWidth="1"/>
    <col min="14952" max="14952" width="2.6640625" style="87"/>
    <col min="14953" max="14953" width="16.5" style="87" customWidth="1"/>
    <col min="14954" max="14954" width="4.83203125" style="87" customWidth="1"/>
    <col min="14955" max="15105" width="2.6640625" style="87"/>
    <col min="15106" max="15162" width="0" style="87" hidden="1" customWidth="1"/>
    <col min="15163" max="15165" width="7.5" style="87" customWidth="1"/>
    <col min="15166" max="15166" width="11.5" style="87" customWidth="1"/>
    <col min="15167" max="15167" width="8.1640625" style="87" customWidth="1"/>
    <col min="15168" max="15175" width="7.5" style="87" customWidth="1"/>
    <col min="15176" max="15176" width="9.5" style="87" customWidth="1"/>
    <col min="15177" max="15177" width="9.83203125" style="87" customWidth="1"/>
    <col min="15178" max="15178" width="10.33203125" style="87" customWidth="1"/>
    <col min="15179" max="15181" width="7.5" style="87" customWidth="1"/>
    <col min="15182" max="15182" width="9.5" style="87" customWidth="1"/>
    <col min="15183" max="15183" width="9.6640625" style="87" customWidth="1"/>
    <col min="15184" max="15184" width="2.5" style="87" customWidth="1"/>
    <col min="15185" max="15186" width="3.1640625" style="87" customWidth="1"/>
    <col min="15187" max="15187" width="12.5" style="87" customWidth="1"/>
    <col min="15188" max="15188" width="9.1640625" style="87" customWidth="1"/>
    <col min="15189" max="15189" width="11.33203125" style="87" customWidth="1"/>
    <col min="15190" max="15190" width="6.1640625" style="87" customWidth="1"/>
    <col min="15191" max="15206" width="5.5" style="87" customWidth="1"/>
    <col min="15207" max="15207" width="6" style="87" customWidth="1"/>
    <col min="15208" max="15208" width="2.6640625" style="87"/>
    <col min="15209" max="15209" width="16.5" style="87" customWidth="1"/>
    <col min="15210" max="15210" width="4.83203125" style="87" customWidth="1"/>
    <col min="15211" max="15361" width="2.6640625" style="87"/>
    <col min="15362" max="15418" width="0" style="87" hidden="1" customWidth="1"/>
    <col min="15419" max="15421" width="7.5" style="87" customWidth="1"/>
    <col min="15422" max="15422" width="11.5" style="87" customWidth="1"/>
    <col min="15423" max="15423" width="8.1640625" style="87" customWidth="1"/>
    <col min="15424" max="15431" width="7.5" style="87" customWidth="1"/>
    <col min="15432" max="15432" width="9.5" style="87" customWidth="1"/>
    <col min="15433" max="15433" width="9.83203125" style="87" customWidth="1"/>
    <col min="15434" max="15434" width="10.33203125" style="87" customWidth="1"/>
    <col min="15435" max="15437" width="7.5" style="87" customWidth="1"/>
    <col min="15438" max="15438" width="9.5" style="87" customWidth="1"/>
    <col min="15439" max="15439" width="9.6640625" style="87" customWidth="1"/>
    <col min="15440" max="15440" width="2.5" style="87" customWidth="1"/>
    <col min="15441" max="15442" width="3.1640625" style="87" customWidth="1"/>
    <col min="15443" max="15443" width="12.5" style="87" customWidth="1"/>
    <col min="15444" max="15444" width="9.1640625" style="87" customWidth="1"/>
    <col min="15445" max="15445" width="11.33203125" style="87" customWidth="1"/>
    <col min="15446" max="15446" width="6.1640625" style="87" customWidth="1"/>
    <col min="15447" max="15462" width="5.5" style="87" customWidth="1"/>
    <col min="15463" max="15463" width="6" style="87" customWidth="1"/>
    <col min="15464" max="15464" width="2.6640625" style="87"/>
    <col min="15465" max="15465" width="16.5" style="87" customWidth="1"/>
    <col min="15466" max="15466" width="4.83203125" style="87" customWidth="1"/>
    <col min="15467" max="15617" width="2.6640625" style="87"/>
    <col min="15618" max="15674" width="0" style="87" hidden="1" customWidth="1"/>
    <col min="15675" max="15677" width="7.5" style="87" customWidth="1"/>
    <col min="15678" max="15678" width="11.5" style="87" customWidth="1"/>
    <col min="15679" max="15679" width="8.1640625" style="87" customWidth="1"/>
    <col min="15680" max="15687" width="7.5" style="87" customWidth="1"/>
    <col min="15688" max="15688" width="9.5" style="87" customWidth="1"/>
    <col min="15689" max="15689" width="9.83203125" style="87" customWidth="1"/>
    <col min="15690" max="15690" width="10.33203125" style="87" customWidth="1"/>
    <col min="15691" max="15693" width="7.5" style="87" customWidth="1"/>
    <col min="15694" max="15694" width="9.5" style="87" customWidth="1"/>
    <col min="15695" max="15695" width="9.6640625" style="87" customWidth="1"/>
    <col min="15696" max="15696" width="2.5" style="87" customWidth="1"/>
    <col min="15697" max="15698" width="3.1640625" style="87" customWidth="1"/>
    <col min="15699" max="15699" width="12.5" style="87" customWidth="1"/>
    <col min="15700" max="15700" width="9.1640625" style="87" customWidth="1"/>
    <col min="15701" max="15701" width="11.33203125" style="87" customWidth="1"/>
    <col min="15702" max="15702" width="6.1640625" style="87" customWidth="1"/>
    <col min="15703" max="15718" width="5.5" style="87" customWidth="1"/>
    <col min="15719" max="15719" width="6" style="87" customWidth="1"/>
    <col min="15720" max="15720" width="2.6640625" style="87"/>
    <col min="15721" max="15721" width="16.5" style="87" customWidth="1"/>
    <col min="15722" max="15722" width="4.83203125" style="87" customWidth="1"/>
    <col min="15723" max="15873" width="2.6640625" style="87"/>
    <col min="15874" max="15930" width="0" style="87" hidden="1" customWidth="1"/>
    <col min="15931" max="15933" width="7.5" style="87" customWidth="1"/>
    <col min="15934" max="15934" width="11.5" style="87" customWidth="1"/>
    <col min="15935" max="15935" width="8.1640625" style="87" customWidth="1"/>
    <col min="15936" max="15943" width="7.5" style="87" customWidth="1"/>
    <col min="15944" max="15944" width="9.5" style="87" customWidth="1"/>
    <col min="15945" max="15945" width="9.83203125" style="87" customWidth="1"/>
    <col min="15946" max="15946" width="10.33203125" style="87" customWidth="1"/>
    <col min="15947" max="15949" width="7.5" style="87" customWidth="1"/>
    <col min="15950" max="15950" width="9.5" style="87" customWidth="1"/>
    <col min="15951" max="15951" width="9.6640625" style="87" customWidth="1"/>
    <col min="15952" max="15952" width="2.5" style="87" customWidth="1"/>
    <col min="15953" max="15954" width="3.1640625" style="87" customWidth="1"/>
    <col min="15955" max="15955" width="12.5" style="87" customWidth="1"/>
    <col min="15956" max="15956" width="9.1640625" style="87" customWidth="1"/>
    <col min="15957" max="15957" width="11.33203125" style="87" customWidth="1"/>
    <col min="15958" max="15958" width="6.1640625" style="87" customWidth="1"/>
    <col min="15959" max="15974" width="5.5" style="87" customWidth="1"/>
    <col min="15975" max="15975" width="6" style="87" customWidth="1"/>
    <col min="15976" max="15976" width="2.6640625" style="87"/>
    <col min="15977" max="15977" width="16.5" style="87" customWidth="1"/>
    <col min="15978" max="15978" width="4.83203125" style="87" customWidth="1"/>
    <col min="15979" max="16129" width="2.6640625" style="87"/>
    <col min="16130" max="16186" width="0" style="87" hidden="1" customWidth="1"/>
    <col min="16187" max="16189" width="7.5" style="87" customWidth="1"/>
    <col min="16190" max="16190" width="11.5" style="87" customWidth="1"/>
    <col min="16191" max="16191" width="8.1640625" style="87" customWidth="1"/>
    <col min="16192" max="16199" width="7.5" style="87" customWidth="1"/>
    <col min="16200" max="16200" width="9.5" style="87" customWidth="1"/>
    <col min="16201" max="16201" width="9.83203125" style="87" customWidth="1"/>
    <col min="16202" max="16202" width="10.33203125" style="87" customWidth="1"/>
    <col min="16203" max="16205" width="7.5" style="87" customWidth="1"/>
    <col min="16206" max="16206" width="9.5" style="87" customWidth="1"/>
    <col min="16207" max="16207" width="9.6640625" style="87" customWidth="1"/>
    <col min="16208" max="16208" width="2.5" style="87" customWidth="1"/>
    <col min="16209" max="16210" width="3.1640625" style="87" customWidth="1"/>
    <col min="16211" max="16211" width="12.5" style="87" customWidth="1"/>
    <col min="16212" max="16212" width="9.1640625" style="87" customWidth="1"/>
    <col min="16213" max="16213" width="11.33203125" style="87" customWidth="1"/>
    <col min="16214" max="16214" width="6.1640625" style="87" customWidth="1"/>
    <col min="16215" max="16230" width="5.5" style="87" customWidth="1"/>
    <col min="16231" max="16231" width="6" style="87" customWidth="1"/>
    <col min="16232" max="16232" width="2.6640625" style="87"/>
    <col min="16233" max="16233" width="16.5" style="87" customWidth="1"/>
    <col min="16234" max="16234" width="4.83203125" style="87" customWidth="1"/>
    <col min="16235" max="16384" width="2.6640625" style="87"/>
  </cols>
  <sheetData>
    <row r="1" spans="1:107" ht="5" customHeight="1">
      <c r="BJ1" s="88"/>
      <c r="BK1" s="88"/>
      <c r="BL1" s="88"/>
      <c r="BM1" s="88"/>
      <c r="BN1" s="88"/>
      <c r="BO1" s="88"/>
      <c r="BP1" s="88"/>
      <c r="BQ1" s="88"/>
      <c r="BR1" s="88"/>
      <c r="BS1" s="88"/>
      <c r="BT1" s="88"/>
      <c r="BU1" s="88"/>
      <c r="BV1" s="88"/>
      <c r="BW1" s="88"/>
      <c r="BX1" s="88"/>
      <c r="BY1" s="88"/>
      <c r="BZ1" s="88"/>
      <c r="CA1" s="88"/>
    </row>
    <row r="2" spans="1:107" ht="15" customHeight="1">
      <c r="B2" s="92"/>
      <c r="Y2" s="92"/>
      <c r="BJ2" s="88"/>
      <c r="BK2" s="88"/>
      <c r="BL2" s="88"/>
      <c r="BM2" s="88"/>
      <c r="BN2" s="88"/>
      <c r="BO2" s="88"/>
      <c r="BP2" s="88"/>
      <c r="BQ2" s="88"/>
      <c r="BR2" s="88"/>
      <c r="BS2" s="88"/>
      <c r="BT2" s="88"/>
      <c r="BU2" s="88"/>
      <c r="BV2" s="88"/>
      <c r="BW2" s="88"/>
      <c r="BX2" s="88"/>
      <c r="BY2" s="88"/>
      <c r="BZ2" s="88"/>
      <c r="CA2" s="88"/>
    </row>
    <row r="3" spans="1:107" ht="5" customHeight="1">
      <c r="BG3" s="93"/>
      <c r="BH3" s="93"/>
      <c r="BI3" s="93"/>
      <c r="BJ3" s="93"/>
      <c r="BK3" s="93"/>
      <c r="BL3" s="93"/>
      <c r="BM3" s="93"/>
      <c r="BN3" s="93"/>
      <c r="BO3" s="93"/>
      <c r="BP3" s="93"/>
      <c r="BQ3" s="93"/>
      <c r="BR3" s="93"/>
      <c r="BS3" s="93"/>
      <c r="BT3" s="93"/>
      <c r="BU3" s="93"/>
      <c r="BV3" s="93"/>
      <c r="BW3" s="93"/>
      <c r="BX3" s="93"/>
      <c r="BY3" s="93"/>
      <c r="BZ3" s="93"/>
      <c r="CA3" s="93"/>
      <c r="CB3" s="93"/>
      <c r="CC3" s="93"/>
      <c r="CD3" s="93"/>
      <c r="CE3" s="93"/>
    </row>
    <row r="4" spans="1:107" ht="24" customHeight="1">
      <c r="A4" s="569"/>
      <c r="B4" s="569"/>
      <c r="C4" s="569"/>
      <c r="D4" s="569"/>
      <c r="E4" s="569"/>
      <c r="F4" s="569"/>
      <c r="G4" s="569"/>
      <c r="H4" s="569"/>
      <c r="I4" s="569"/>
      <c r="J4" s="569"/>
      <c r="K4" s="569"/>
      <c r="L4" s="569"/>
      <c r="M4" s="569"/>
      <c r="N4" s="569"/>
      <c r="O4" s="569"/>
      <c r="P4" s="569"/>
      <c r="Q4" s="569"/>
      <c r="R4" s="570"/>
      <c r="S4" s="570"/>
      <c r="T4" s="570"/>
      <c r="U4" s="570"/>
      <c r="V4" s="570"/>
      <c r="W4" s="570"/>
      <c r="X4" s="571"/>
      <c r="Y4" s="571"/>
      <c r="Z4" s="571"/>
      <c r="AA4" s="571"/>
      <c r="AB4" s="571"/>
      <c r="AC4" s="571"/>
      <c r="AD4" s="570"/>
      <c r="AE4" s="570"/>
      <c r="AF4" s="570"/>
      <c r="AG4" s="570"/>
      <c r="AH4" s="570"/>
      <c r="AI4" s="570"/>
      <c r="AJ4" s="569"/>
      <c r="AK4" s="569"/>
      <c r="AL4" s="569"/>
      <c r="AM4" s="569"/>
      <c r="AN4" s="569"/>
      <c r="AO4" s="569"/>
      <c r="AP4" s="569"/>
      <c r="AQ4" s="569"/>
      <c r="AR4" s="569"/>
      <c r="AS4" s="569"/>
      <c r="AT4" s="569"/>
      <c r="AU4" s="569"/>
      <c r="AV4" s="569"/>
      <c r="AW4" s="569"/>
      <c r="AX4" s="569"/>
      <c r="AY4" s="569"/>
      <c r="AZ4" s="569"/>
      <c r="BG4" s="94"/>
      <c r="BH4" s="93"/>
      <c r="BI4" s="93"/>
      <c r="BJ4" s="93"/>
      <c r="BK4" s="93"/>
      <c r="BL4" s="93"/>
      <c r="BM4" s="93"/>
      <c r="BN4" s="93"/>
      <c r="BO4" s="93"/>
      <c r="BP4" s="93"/>
      <c r="BQ4" s="93"/>
      <c r="BR4" s="93"/>
      <c r="BS4" s="93"/>
      <c r="BT4" s="93"/>
      <c r="BU4" s="93"/>
      <c r="BV4" s="93"/>
      <c r="BW4" s="93"/>
      <c r="BX4" s="93"/>
      <c r="BY4" s="93"/>
      <c r="BZ4" s="93"/>
      <c r="CA4" s="93"/>
      <c r="CB4" s="93"/>
      <c r="CC4" s="93"/>
      <c r="CD4" s="93"/>
      <c r="CE4" s="93"/>
    </row>
    <row r="5" spans="1:107" ht="6" customHeight="1">
      <c r="BG5" s="94"/>
      <c r="BH5" s="93"/>
      <c r="BI5" s="93"/>
      <c r="BJ5" s="93"/>
      <c r="BK5" s="93"/>
      <c r="BL5" s="93"/>
      <c r="BM5" s="93"/>
      <c r="BN5" s="93"/>
      <c r="BO5" s="93"/>
      <c r="BP5" s="93"/>
      <c r="BQ5" s="93"/>
      <c r="BR5" s="93"/>
      <c r="BS5" s="93"/>
      <c r="BT5" s="93"/>
      <c r="BU5" s="93"/>
      <c r="BV5" s="93"/>
      <c r="BW5" s="93"/>
      <c r="BX5" s="93"/>
      <c r="BY5" s="93"/>
      <c r="BZ5" s="93"/>
      <c r="CA5" s="93"/>
      <c r="CB5" s="93"/>
      <c r="CC5" s="93"/>
      <c r="CD5" s="93"/>
      <c r="CE5" s="93"/>
    </row>
    <row r="6" spans="1:107" ht="19.5" customHeight="1">
      <c r="A6" s="95"/>
      <c r="B6" s="96"/>
      <c r="C6" s="95"/>
      <c r="D6" s="95"/>
      <c r="E6" s="95"/>
      <c r="F6" s="95"/>
      <c r="G6" s="95"/>
      <c r="H6" s="97"/>
      <c r="I6" s="95"/>
      <c r="J6" s="95"/>
      <c r="K6" s="95"/>
      <c r="L6" s="95"/>
      <c r="M6" s="95"/>
      <c r="N6" s="95"/>
      <c r="O6" s="95"/>
      <c r="P6" s="95"/>
      <c r="Q6" s="95"/>
      <c r="R6" s="95"/>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8"/>
      <c r="AT6" s="572"/>
      <c r="AU6" s="572"/>
      <c r="AV6" s="572"/>
      <c r="AW6" s="572"/>
      <c r="AX6" s="572"/>
      <c r="AY6" s="572"/>
      <c r="AZ6" s="572"/>
      <c r="BG6" s="94"/>
      <c r="BH6" s="93"/>
      <c r="BI6" s="93"/>
      <c r="BJ6" s="93"/>
      <c r="BK6" s="93"/>
      <c r="BL6" s="93"/>
      <c r="BM6" s="93"/>
      <c r="BN6" s="93"/>
      <c r="BO6" s="93"/>
      <c r="BP6" s="93"/>
      <c r="BQ6" s="93"/>
      <c r="BR6" s="93"/>
      <c r="BS6" s="93"/>
      <c r="BT6" s="93"/>
      <c r="BU6" s="93"/>
      <c r="BV6" s="93"/>
      <c r="BW6" s="93"/>
      <c r="BX6" s="93"/>
      <c r="BY6" s="93"/>
      <c r="BZ6" s="93"/>
      <c r="CA6" s="93"/>
      <c r="CB6" s="93"/>
      <c r="CC6" s="93"/>
      <c r="CD6" s="93"/>
      <c r="CE6" s="99" t="s">
        <v>382</v>
      </c>
    </row>
    <row r="7" spans="1:107" ht="6" customHeight="1">
      <c r="BG7" s="94"/>
      <c r="BH7" s="93"/>
      <c r="BI7" s="93"/>
      <c r="BJ7" s="93"/>
      <c r="BK7" s="93"/>
      <c r="BL7" s="93"/>
      <c r="BM7" s="93"/>
      <c r="BN7" s="93"/>
      <c r="BO7" s="93"/>
      <c r="BP7" s="93"/>
      <c r="BQ7" s="93"/>
      <c r="BR7" s="93"/>
      <c r="BS7" s="93"/>
      <c r="BT7" s="93"/>
      <c r="BU7" s="93"/>
      <c r="BV7" s="93"/>
      <c r="BW7" s="93"/>
      <c r="BX7" s="93"/>
      <c r="BY7" s="93"/>
      <c r="BZ7" s="93"/>
      <c r="CA7" s="93"/>
      <c r="CB7" s="93"/>
      <c r="CC7" s="93"/>
      <c r="CD7" s="93"/>
      <c r="CE7" s="93"/>
    </row>
    <row r="8" spans="1:107" ht="15.75" customHeight="1">
      <c r="A8" s="100"/>
      <c r="B8" s="101"/>
      <c r="C8" s="102"/>
      <c r="D8" s="102"/>
      <c r="E8" s="102"/>
      <c r="F8" s="102"/>
      <c r="G8" s="102"/>
      <c r="H8" s="102"/>
      <c r="I8" s="102"/>
      <c r="J8" s="102"/>
      <c r="K8" s="102"/>
      <c r="L8" s="102"/>
      <c r="M8" s="102"/>
      <c r="N8" s="102"/>
      <c r="O8" s="102"/>
      <c r="P8" s="102"/>
      <c r="Q8" s="102"/>
      <c r="R8" s="102"/>
      <c r="S8" s="102"/>
      <c r="T8" s="102"/>
      <c r="U8" s="102"/>
      <c r="V8" s="102"/>
      <c r="W8" s="102"/>
      <c r="X8" s="102"/>
      <c r="Y8" s="102"/>
      <c r="Z8" s="102"/>
      <c r="AA8" s="102"/>
      <c r="AB8" s="102"/>
      <c r="AC8" s="102"/>
      <c r="AD8" s="102"/>
      <c r="AE8" s="102"/>
      <c r="AF8" s="102"/>
      <c r="AG8" s="102"/>
      <c r="AH8" s="102"/>
      <c r="AI8" s="102"/>
      <c r="AJ8" s="102"/>
      <c r="AK8" s="102"/>
      <c r="AL8" s="102"/>
      <c r="AM8" s="102"/>
      <c r="AN8" s="102"/>
      <c r="AO8" s="102"/>
      <c r="AP8" s="102"/>
      <c r="AQ8" s="102"/>
      <c r="AR8" s="102"/>
      <c r="AS8" s="102"/>
      <c r="AT8" s="102"/>
      <c r="AU8" s="102"/>
      <c r="AV8" s="102"/>
      <c r="AW8" s="102"/>
      <c r="AX8" s="102"/>
      <c r="AY8" s="102"/>
      <c r="AZ8" s="102"/>
      <c r="BG8" s="94"/>
      <c r="BH8" s="93"/>
      <c r="BI8" s="93"/>
      <c r="BJ8" s="93"/>
      <c r="BK8" s="93"/>
      <c r="BL8" s="93"/>
      <c r="BM8" s="93"/>
      <c r="BN8" s="93"/>
      <c r="BO8" s="93"/>
      <c r="BP8" s="93"/>
      <c r="BQ8" s="93"/>
      <c r="BR8" s="93"/>
      <c r="BS8" s="93"/>
      <c r="BT8" s="93"/>
      <c r="BU8" s="93"/>
      <c r="BV8" s="93"/>
      <c r="BW8" s="93"/>
      <c r="BX8" s="93"/>
      <c r="BY8" s="93"/>
      <c r="BZ8" s="93"/>
      <c r="CA8" s="93"/>
      <c r="CB8" s="93"/>
      <c r="CC8" s="93"/>
      <c r="CD8" s="93"/>
      <c r="CE8" s="93"/>
    </row>
    <row r="9" spans="1:107">
      <c r="E9" s="103"/>
      <c r="BG9" s="94"/>
      <c r="BH9" s="93"/>
      <c r="BI9" s="93"/>
      <c r="BJ9" s="93"/>
      <c r="BK9" s="93"/>
      <c r="BL9" s="93"/>
      <c r="BM9" s="93"/>
      <c r="BN9" s="93"/>
      <c r="BO9" s="93"/>
      <c r="BP9" s="93"/>
      <c r="BQ9" s="93"/>
      <c r="BR9" s="93"/>
      <c r="BS9" s="93"/>
      <c r="BT9" s="93"/>
      <c r="BU9" s="93"/>
      <c r="BV9" s="93"/>
      <c r="BW9" s="93"/>
      <c r="BX9" s="93"/>
      <c r="BY9" s="93"/>
      <c r="BZ9" s="93"/>
      <c r="CA9" s="93"/>
      <c r="CB9" s="93"/>
      <c r="CC9" s="93"/>
      <c r="CD9" s="93"/>
      <c r="CE9" s="93"/>
    </row>
    <row r="10" spans="1:107">
      <c r="E10" s="557"/>
      <c r="F10" s="558"/>
      <c r="G10" s="558"/>
      <c r="H10" s="559"/>
      <c r="I10" s="554"/>
      <c r="J10" s="555"/>
      <c r="K10" s="555"/>
      <c r="L10" s="556"/>
      <c r="M10" s="554"/>
      <c r="N10" s="555"/>
      <c r="O10" s="555"/>
      <c r="P10" s="556"/>
      <c r="Q10" s="554"/>
      <c r="R10" s="555"/>
      <c r="S10" s="555"/>
      <c r="T10" s="556"/>
      <c r="U10" s="554"/>
      <c r="V10" s="555"/>
      <c r="W10" s="555"/>
      <c r="X10" s="556"/>
      <c r="Y10" s="554"/>
      <c r="Z10" s="555"/>
      <c r="AA10" s="555"/>
      <c r="AB10" s="556"/>
      <c r="AC10" s="554"/>
      <c r="AD10" s="555"/>
      <c r="AE10" s="555"/>
      <c r="AF10" s="556"/>
      <c r="AG10" s="554"/>
      <c r="AH10" s="555"/>
      <c r="AI10" s="555"/>
      <c r="AJ10" s="556"/>
      <c r="AK10" s="554"/>
      <c r="AL10" s="555"/>
      <c r="AM10" s="555"/>
      <c r="AN10" s="556"/>
      <c r="AO10" s="554"/>
      <c r="AP10" s="555"/>
      <c r="AQ10" s="555"/>
      <c r="AR10" s="556"/>
      <c r="AS10" s="554"/>
      <c r="AT10" s="555"/>
      <c r="AU10" s="555"/>
      <c r="AV10" s="556"/>
      <c r="AW10" s="554"/>
      <c r="AX10" s="555"/>
      <c r="AY10" s="555"/>
      <c r="AZ10" s="556"/>
      <c r="BG10" s="93"/>
      <c r="BH10" s="93"/>
      <c r="BI10" s="93"/>
      <c r="BJ10" s="93"/>
      <c r="BK10" s="93"/>
      <c r="BL10" s="93"/>
      <c r="BM10" s="93"/>
      <c r="BN10" s="93"/>
      <c r="BO10" s="93"/>
      <c r="BP10" s="93"/>
      <c r="BQ10" s="93"/>
      <c r="BR10" s="93"/>
      <c r="BS10" s="93"/>
      <c r="BT10" s="93"/>
      <c r="BU10" s="93"/>
      <c r="BV10" s="93"/>
      <c r="BW10" s="93"/>
      <c r="BX10" s="93"/>
      <c r="BY10" s="93"/>
      <c r="BZ10" s="93"/>
      <c r="CA10" s="93"/>
      <c r="CB10" s="93"/>
      <c r="CC10" s="93"/>
      <c r="CD10" s="93"/>
      <c r="CE10" s="104" t="s">
        <v>383</v>
      </c>
    </row>
    <row r="11" spans="1:107" s="105" customFormat="1">
      <c r="E11" s="548"/>
      <c r="F11" s="549"/>
      <c r="G11" s="549"/>
      <c r="H11" s="550"/>
      <c r="I11" s="540"/>
      <c r="J11" s="541"/>
      <c r="K11" s="541"/>
      <c r="L11" s="542"/>
      <c r="M11" s="540"/>
      <c r="N11" s="541"/>
      <c r="O11" s="541"/>
      <c r="P11" s="542"/>
      <c r="Q11" s="540"/>
      <c r="R11" s="541"/>
      <c r="S11" s="541"/>
      <c r="T11" s="542"/>
      <c r="U11" s="540"/>
      <c r="V11" s="541"/>
      <c r="W11" s="541"/>
      <c r="X11" s="542"/>
      <c r="Y11" s="540"/>
      <c r="Z11" s="541"/>
      <c r="AA11" s="541"/>
      <c r="AB11" s="542"/>
      <c r="AC11" s="540"/>
      <c r="AD11" s="541"/>
      <c r="AE11" s="541"/>
      <c r="AF11" s="542"/>
      <c r="AG11" s="540"/>
      <c r="AH11" s="541"/>
      <c r="AI11" s="541"/>
      <c r="AJ11" s="542"/>
      <c r="AK11" s="540"/>
      <c r="AL11" s="541"/>
      <c r="AM11" s="541"/>
      <c r="AN11" s="542"/>
      <c r="AO11" s="540"/>
      <c r="AP11" s="541"/>
      <c r="AQ11" s="541"/>
      <c r="AR11" s="542"/>
      <c r="AS11" s="540"/>
      <c r="AT11" s="541"/>
      <c r="AU11" s="541"/>
      <c r="AV11" s="542"/>
      <c r="AW11" s="540"/>
      <c r="AX11" s="541"/>
      <c r="AY11" s="541"/>
      <c r="AZ11" s="542"/>
      <c r="BG11" s="93"/>
      <c r="BH11" s="93"/>
      <c r="BI11" s="93"/>
      <c r="BJ11" s="93"/>
      <c r="BK11" s="93"/>
      <c r="BL11" s="93"/>
      <c r="BM11" s="93"/>
      <c r="BN11" s="93"/>
      <c r="BO11" s="93"/>
      <c r="BP11" s="93"/>
      <c r="BQ11" s="93"/>
      <c r="BR11" s="93"/>
      <c r="BS11" s="93"/>
      <c r="BT11" s="93"/>
      <c r="BU11" s="93"/>
      <c r="BV11" s="93"/>
      <c r="BW11" s="93"/>
      <c r="BX11" s="93"/>
      <c r="BY11" s="93"/>
      <c r="BZ11" s="93"/>
      <c r="CA11" s="93"/>
      <c r="CB11" s="93"/>
      <c r="CC11" s="93"/>
      <c r="CD11" s="93"/>
      <c r="CE11" s="106" t="s">
        <v>384</v>
      </c>
      <c r="CF11" s="89"/>
      <c r="CG11" s="90"/>
      <c r="CH11" s="90"/>
      <c r="CI11" s="90"/>
      <c r="CJ11" s="90"/>
      <c r="CK11" s="90"/>
      <c r="CL11" s="90"/>
      <c r="CM11" s="90"/>
      <c r="CN11" s="90"/>
      <c r="CO11" s="90"/>
      <c r="CP11" s="90"/>
      <c r="CQ11" s="90"/>
      <c r="CR11" s="90"/>
      <c r="CS11" s="90"/>
      <c r="CT11" s="90"/>
      <c r="CU11" s="90"/>
      <c r="CV11" s="90"/>
      <c r="CW11" s="90"/>
      <c r="CX11" s="90"/>
      <c r="CY11" s="90"/>
      <c r="CZ11" s="90"/>
      <c r="DA11" s="90"/>
      <c r="DB11" s="91"/>
      <c r="DC11" s="91"/>
    </row>
    <row r="12" spans="1:107">
      <c r="A12" s="107"/>
      <c r="B12" s="107"/>
      <c r="C12" s="107"/>
      <c r="D12" s="107"/>
      <c r="E12" s="551"/>
      <c r="F12" s="552"/>
      <c r="G12" s="552"/>
      <c r="H12" s="553"/>
      <c r="I12" s="545"/>
      <c r="J12" s="546"/>
      <c r="K12" s="546"/>
      <c r="L12" s="547"/>
      <c r="M12" s="545"/>
      <c r="N12" s="546"/>
      <c r="O12" s="546"/>
      <c r="P12" s="547"/>
      <c r="Q12" s="545"/>
      <c r="R12" s="546"/>
      <c r="S12" s="546"/>
      <c r="T12" s="547"/>
      <c r="U12" s="545"/>
      <c r="V12" s="546"/>
      <c r="W12" s="546"/>
      <c r="X12" s="547"/>
      <c r="Y12" s="545"/>
      <c r="Z12" s="546"/>
      <c r="AA12" s="546"/>
      <c r="AB12" s="547"/>
      <c r="AC12" s="545"/>
      <c r="AD12" s="546"/>
      <c r="AE12" s="546"/>
      <c r="AF12" s="547"/>
      <c r="AG12" s="545"/>
      <c r="AH12" s="546"/>
      <c r="AI12" s="546"/>
      <c r="AJ12" s="547"/>
      <c r="AK12" s="545"/>
      <c r="AL12" s="546"/>
      <c r="AM12" s="546"/>
      <c r="AN12" s="547"/>
      <c r="AO12" s="545"/>
      <c r="AP12" s="546"/>
      <c r="AQ12" s="546"/>
      <c r="AR12" s="547"/>
      <c r="AS12" s="545"/>
      <c r="AT12" s="546"/>
      <c r="AU12" s="546"/>
      <c r="AV12" s="547"/>
      <c r="AW12" s="545"/>
      <c r="AX12" s="546"/>
      <c r="AY12" s="546"/>
      <c r="AZ12" s="547"/>
      <c r="BG12" s="93"/>
      <c r="BH12" s="93"/>
      <c r="BI12" s="93"/>
      <c r="BJ12" s="93"/>
      <c r="BK12" s="93"/>
      <c r="BL12" s="93"/>
      <c r="BM12" s="93"/>
      <c r="BN12" s="93"/>
      <c r="BO12" s="93"/>
      <c r="BP12" s="93"/>
      <c r="BQ12" s="93"/>
      <c r="BR12" s="93"/>
      <c r="BS12" s="93"/>
      <c r="BT12" s="93"/>
      <c r="BU12" s="93"/>
      <c r="BV12" s="93"/>
      <c r="BW12" s="93"/>
      <c r="BX12" s="93"/>
      <c r="BY12" s="93"/>
      <c r="BZ12" s="93"/>
      <c r="CA12" s="93"/>
      <c r="CB12" s="93"/>
      <c r="CC12" s="93"/>
      <c r="CD12" s="93"/>
      <c r="CE12" s="108" t="s">
        <v>385</v>
      </c>
    </row>
    <row r="13" spans="1:107" s="105" customFormat="1">
      <c r="A13" s="107"/>
      <c r="B13" s="107"/>
      <c r="C13" s="107"/>
      <c r="D13" s="107"/>
      <c r="E13" s="548"/>
      <c r="F13" s="549"/>
      <c r="G13" s="549"/>
      <c r="H13" s="550"/>
      <c r="I13" s="540"/>
      <c r="J13" s="541"/>
      <c r="K13" s="541"/>
      <c r="L13" s="542"/>
      <c r="M13" s="540"/>
      <c r="N13" s="541"/>
      <c r="O13" s="541"/>
      <c r="P13" s="542"/>
      <c r="Q13" s="540"/>
      <c r="R13" s="541"/>
      <c r="S13" s="541"/>
      <c r="T13" s="542"/>
      <c r="U13" s="540"/>
      <c r="V13" s="541"/>
      <c r="W13" s="541"/>
      <c r="X13" s="542"/>
      <c r="Y13" s="540"/>
      <c r="Z13" s="541"/>
      <c r="AA13" s="541"/>
      <c r="AB13" s="542"/>
      <c r="AC13" s="540"/>
      <c r="AD13" s="541"/>
      <c r="AE13" s="541"/>
      <c r="AF13" s="542"/>
      <c r="AG13" s="540"/>
      <c r="AH13" s="541"/>
      <c r="AI13" s="541"/>
      <c r="AJ13" s="542"/>
      <c r="AK13" s="540"/>
      <c r="AL13" s="541"/>
      <c r="AM13" s="541"/>
      <c r="AN13" s="542"/>
      <c r="AO13" s="540"/>
      <c r="AP13" s="541"/>
      <c r="AQ13" s="541"/>
      <c r="AR13" s="542"/>
      <c r="AS13" s="540"/>
      <c r="AT13" s="541"/>
      <c r="AU13" s="541"/>
      <c r="AV13" s="542"/>
      <c r="AW13" s="540"/>
      <c r="AX13" s="541"/>
      <c r="AY13" s="541"/>
      <c r="AZ13" s="542"/>
      <c r="BG13" s="93"/>
      <c r="BH13" s="93"/>
      <c r="BI13" s="93"/>
      <c r="BJ13" s="93"/>
      <c r="BK13" s="93"/>
      <c r="BL13" s="93"/>
      <c r="BM13" s="93"/>
      <c r="BN13" s="93"/>
      <c r="BO13" s="93"/>
      <c r="BP13" s="93"/>
      <c r="BQ13" s="93"/>
      <c r="BR13" s="93"/>
      <c r="BS13" s="93"/>
      <c r="BT13" s="93"/>
      <c r="BU13" s="93"/>
      <c r="BV13" s="93"/>
      <c r="BW13" s="93"/>
      <c r="BX13" s="93"/>
      <c r="BY13" s="93"/>
      <c r="BZ13" s="93"/>
      <c r="CA13" s="93"/>
      <c r="CB13" s="93"/>
      <c r="CC13" s="93"/>
      <c r="CD13" s="93"/>
      <c r="CE13" s="109" t="s">
        <v>386</v>
      </c>
      <c r="CF13" s="89"/>
      <c r="CG13" s="90"/>
      <c r="CH13" s="90"/>
      <c r="CI13" s="90"/>
      <c r="CJ13" s="90"/>
      <c r="CK13" s="90"/>
      <c r="CL13" s="90"/>
      <c r="CM13" s="90"/>
      <c r="CN13" s="90"/>
      <c r="CO13" s="90"/>
      <c r="CP13" s="90"/>
      <c r="CQ13" s="90"/>
      <c r="CR13" s="90"/>
      <c r="CS13" s="90"/>
      <c r="CT13" s="90"/>
      <c r="CU13" s="90"/>
      <c r="CV13" s="90"/>
      <c r="CW13" s="90"/>
      <c r="CX13" s="90"/>
      <c r="CY13" s="90"/>
      <c r="CZ13" s="90"/>
      <c r="DA13" s="90"/>
      <c r="DB13" s="91"/>
      <c r="DC13" s="91"/>
    </row>
    <row r="14" spans="1:107">
      <c r="A14" s="107"/>
      <c r="B14" s="107"/>
      <c r="C14" s="107"/>
      <c r="D14" s="107"/>
      <c r="E14" s="551"/>
      <c r="F14" s="552"/>
      <c r="G14" s="552"/>
      <c r="H14" s="553"/>
      <c r="I14" s="545"/>
      <c r="J14" s="546"/>
      <c r="K14" s="546"/>
      <c r="L14" s="547"/>
      <c r="M14" s="545"/>
      <c r="N14" s="546"/>
      <c r="O14" s="546"/>
      <c r="P14" s="547"/>
      <c r="Q14" s="545"/>
      <c r="R14" s="546"/>
      <c r="S14" s="546"/>
      <c r="T14" s="547"/>
      <c r="U14" s="545"/>
      <c r="V14" s="546"/>
      <c r="W14" s="546"/>
      <c r="X14" s="547"/>
      <c r="Y14" s="545"/>
      <c r="Z14" s="546"/>
      <c r="AA14" s="546"/>
      <c r="AB14" s="547"/>
      <c r="AC14" s="545"/>
      <c r="AD14" s="546"/>
      <c r="AE14" s="546"/>
      <c r="AF14" s="547"/>
      <c r="AG14" s="545"/>
      <c r="AH14" s="546"/>
      <c r="AI14" s="546"/>
      <c r="AJ14" s="547"/>
      <c r="AK14" s="545"/>
      <c r="AL14" s="546"/>
      <c r="AM14" s="546"/>
      <c r="AN14" s="547"/>
      <c r="AO14" s="545"/>
      <c r="AP14" s="546"/>
      <c r="AQ14" s="546"/>
      <c r="AR14" s="547"/>
      <c r="AS14" s="545"/>
      <c r="AT14" s="546"/>
      <c r="AU14" s="546"/>
      <c r="AV14" s="547"/>
      <c r="AW14" s="545"/>
      <c r="AX14" s="546"/>
      <c r="AY14" s="546"/>
      <c r="AZ14" s="547"/>
      <c r="BG14" s="93"/>
      <c r="BH14" s="93"/>
      <c r="BI14" s="93"/>
      <c r="BJ14" s="93"/>
      <c r="BK14" s="93"/>
      <c r="BL14" s="93"/>
      <c r="BM14" s="93"/>
      <c r="BN14" s="93"/>
      <c r="BO14" s="93"/>
      <c r="BP14" s="93"/>
      <c r="BQ14" s="93"/>
      <c r="BR14" s="93"/>
      <c r="BS14" s="93"/>
      <c r="BT14" s="93"/>
      <c r="BU14" s="93"/>
      <c r="BV14" s="93"/>
      <c r="BW14" s="93"/>
      <c r="BX14" s="93"/>
      <c r="BY14" s="93"/>
      <c r="BZ14" s="93"/>
      <c r="CA14" s="93"/>
      <c r="CB14" s="93"/>
      <c r="CC14" s="93"/>
      <c r="CD14" s="93"/>
      <c r="CE14" s="110" t="s">
        <v>387</v>
      </c>
    </row>
    <row r="15" spans="1:107" s="105" customFormat="1" ht="7.5" customHeight="1">
      <c r="A15" s="107"/>
      <c r="B15" s="107"/>
      <c r="C15" s="107"/>
      <c r="D15" s="107"/>
      <c r="E15" s="111"/>
      <c r="F15" s="111"/>
      <c r="G15" s="111"/>
      <c r="H15" s="111"/>
      <c r="I15" s="566"/>
      <c r="J15" s="567"/>
      <c r="K15" s="567"/>
      <c r="L15" s="568"/>
      <c r="M15" s="566"/>
      <c r="N15" s="567"/>
      <c r="O15" s="567"/>
      <c r="P15" s="568"/>
      <c r="Q15" s="566"/>
      <c r="R15" s="567"/>
      <c r="S15" s="567"/>
      <c r="T15" s="568"/>
      <c r="U15" s="566"/>
      <c r="V15" s="567"/>
      <c r="W15" s="567"/>
      <c r="X15" s="568"/>
      <c r="Y15" s="566"/>
      <c r="Z15" s="567"/>
      <c r="AA15" s="567"/>
      <c r="AB15" s="568"/>
      <c r="AC15" s="566"/>
      <c r="AD15" s="567"/>
      <c r="AE15" s="567"/>
      <c r="AF15" s="568"/>
      <c r="AG15" s="566"/>
      <c r="AH15" s="567"/>
      <c r="AI15" s="567"/>
      <c r="AJ15" s="568"/>
      <c r="AK15" s="566"/>
      <c r="AL15" s="567"/>
      <c r="AM15" s="567"/>
      <c r="AN15" s="568"/>
      <c r="AO15" s="566"/>
      <c r="AP15" s="567"/>
      <c r="AQ15" s="567"/>
      <c r="AR15" s="568"/>
      <c r="AS15" s="566"/>
      <c r="AT15" s="567"/>
      <c r="AU15" s="567"/>
      <c r="AV15" s="568"/>
      <c r="AW15" s="566"/>
      <c r="AX15" s="567"/>
      <c r="AY15" s="567"/>
      <c r="AZ15" s="568"/>
      <c r="BG15" s="93"/>
      <c r="BH15" s="93"/>
      <c r="BI15" s="93"/>
      <c r="BJ15" s="93"/>
      <c r="BK15" s="93"/>
      <c r="BL15" s="93"/>
      <c r="BM15" s="93"/>
      <c r="BN15" s="93"/>
      <c r="BO15" s="93"/>
      <c r="BP15" s="93"/>
      <c r="BQ15" s="93"/>
      <c r="BR15" s="93"/>
      <c r="BS15" s="93"/>
      <c r="BT15" s="93"/>
      <c r="BU15" s="93"/>
      <c r="BV15" s="93"/>
      <c r="BW15" s="93"/>
      <c r="BX15" s="93"/>
      <c r="BY15" s="93"/>
      <c r="BZ15" s="93"/>
      <c r="CA15" s="93"/>
      <c r="CB15" s="93"/>
      <c r="CC15" s="93"/>
      <c r="CD15" s="93"/>
      <c r="CE15" s="112" t="s">
        <v>388</v>
      </c>
      <c r="CF15" s="89"/>
      <c r="CG15" s="90"/>
      <c r="CH15" s="90"/>
      <c r="CI15" s="90"/>
      <c r="CJ15" s="90"/>
      <c r="CK15" s="90"/>
      <c r="CL15" s="90"/>
      <c r="CM15" s="90"/>
      <c r="CN15" s="90"/>
      <c r="CO15" s="90"/>
      <c r="CP15" s="90"/>
      <c r="CQ15" s="90"/>
      <c r="CR15" s="90"/>
      <c r="CS15" s="90"/>
      <c r="CT15" s="90"/>
      <c r="CU15" s="90"/>
      <c r="CV15" s="90"/>
      <c r="CW15" s="90"/>
      <c r="CX15" s="90"/>
      <c r="CY15" s="90"/>
      <c r="CZ15" s="90"/>
      <c r="DA15" s="90"/>
      <c r="DB15" s="91"/>
      <c r="DC15" s="91"/>
    </row>
    <row r="16" spans="1:107">
      <c r="A16" s="107"/>
      <c r="B16" s="107"/>
      <c r="C16" s="107"/>
      <c r="D16" s="107"/>
      <c r="E16" s="103"/>
      <c r="F16" s="103"/>
      <c r="G16" s="103"/>
      <c r="H16" s="103"/>
      <c r="I16" s="113"/>
      <c r="J16" s="114"/>
      <c r="K16" s="114"/>
      <c r="L16" s="115"/>
      <c r="M16" s="113"/>
      <c r="N16" s="114"/>
      <c r="O16" s="114"/>
      <c r="P16" s="115"/>
      <c r="Q16" s="113"/>
      <c r="R16" s="114"/>
      <c r="S16" s="114"/>
      <c r="T16" s="115"/>
      <c r="U16" s="113"/>
      <c r="V16" s="114"/>
      <c r="W16" s="114"/>
      <c r="X16" s="115"/>
      <c r="Y16" s="113"/>
      <c r="Z16" s="114"/>
      <c r="AA16" s="114"/>
      <c r="AB16" s="115"/>
      <c r="AC16" s="113"/>
      <c r="AD16" s="114"/>
      <c r="AE16" s="114"/>
      <c r="AF16" s="115"/>
      <c r="AG16" s="113"/>
      <c r="AH16" s="114"/>
      <c r="AI16" s="114"/>
      <c r="AJ16" s="115"/>
      <c r="AK16" s="113"/>
      <c r="AL16" s="114"/>
      <c r="AM16" s="114"/>
      <c r="AN16" s="115"/>
      <c r="AO16" s="113"/>
      <c r="AP16" s="114"/>
      <c r="AQ16" s="114"/>
      <c r="AR16" s="115"/>
      <c r="AS16" s="113"/>
      <c r="AT16" s="114"/>
      <c r="AU16" s="114"/>
      <c r="AV16" s="115"/>
      <c r="BG16" s="93"/>
      <c r="BH16" s="93"/>
      <c r="BI16" s="93"/>
      <c r="BJ16" s="93"/>
      <c r="BK16" s="93"/>
      <c r="BL16" s="93"/>
      <c r="BM16" s="93"/>
      <c r="BN16" s="93"/>
      <c r="BO16" s="93"/>
      <c r="BP16" s="93"/>
      <c r="BQ16" s="93"/>
      <c r="BR16" s="93"/>
      <c r="BS16" s="93"/>
      <c r="BT16" s="93"/>
      <c r="BU16" s="93"/>
      <c r="BV16" s="93"/>
      <c r="BW16" s="93"/>
      <c r="BX16" s="93"/>
      <c r="BY16" s="93"/>
      <c r="BZ16" s="93"/>
      <c r="CA16" s="93"/>
      <c r="CB16" s="93"/>
      <c r="CC16" s="93"/>
      <c r="CD16" s="93"/>
      <c r="CE16" s="116" t="s">
        <v>389</v>
      </c>
    </row>
    <row r="17" spans="1:107" s="105" customFormat="1">
      <c r="A17" s="107"/>
      <c r="B17" s="107"/>
      <c r="C17" s="107"/>
      <c r="D17" s="107"/>
      <c r="E17" s="557"/>
      <c r="F17" s="558"/>
      <c r="G17" s="558"/>
      <c r="H17" s="559"/>
      <c r="I17" s="554"/>
      <c r="J17" s="555"/>
      <c r="K17" s="555"/>
      <c r="L17" s="556"/>
      <c r="M17" s="554"/>
      <c r="N17" s="555"/>
      <c r="O17" s="555"/>
      <c r="P17" s="556"/>
      <c r="Q17" s="554"/>
      <c r="R17" s="555"/>
      <c r="S17" s="555"/>
      <c r="T17" s="556"/>
      <c r="U17" s="554"/>
      <c r="V17" s="555"/>
      <c r="W17" s="555"/>
      <c r="X17" s="556"/>
      <c r="Y17" s="554"/>
      <c r="Z17" s="555"/>
      <c r="AA17" s="555"/>
      <c r="AB17" s="556"/>
      <c r="AC17" s="554"/>
      <c r="AD17" s="555"/>
      <c r="AE17" s="555"/>
      <c r="AF17" s="556"/>
      <c r="AG17" s="554"/>
      <c r="AH17" s="555"/>
      <c r="AI17" s="555"/>
      <c r="AJ17" s="556"/>
      <c r="AK17" s="554"/>
      <c r="AL17" s="555"/>
      <c r="AM17" s="555"/>
      <c r="AN17" s="556"/>
      <c r="AO17" s="554"/>
      <c r="AP17" s="555"/>
      <c r="AQ17" s="555"/>
      <c r="AR17" s="556"/>
      <c r="AS17" s="554"/>
      <c r="AT17" s="555"/>
      <c r="AU17" s="555"/>
      <c r="AV17" s="556"/>
      <c r="AW17" s="554"/>
      <c r="AX17" s="555"/>
      <c r="AY17" s="555"/>
      <c r="AZ17" s="556"/>
      <c r="BG17" s="93"/>
      <c r="BH17" s="93"/>
      <c r="BI17" s="93"/>
      <c r="BJ17" s="93"/>
      <c r="BK17" s="93"/>
      <c r="BL17" s="93"/>
      <c r="BM17" s="93"/>
      <c r="BN17" s="93"/>
      <c r="BO17" s="93"/>
      <c r="BP17" s="93"/>
      <c r="BQ17" s="93"/>
      <c r="BR17" s="93"/>
      <c r="BS17" s="93"/>
      <c r="BT17" s="93"/>
      <c r="BU17" s="93"/>
      <c r="BV17" s="93"/>
      <c r="BW17" s="93"/>
      <c r="BX17" s="93"/>
      <c r="BY17" s="93"/>
      <c r="BZ17" s="93"/>
      <c r="CA17" s="93"/>
      <c r="CB17" s="93"/>
      <c r="CC17" s="93"/>
      <c r="CD17" s="93"/>
      <c r="CE17" s="117" t="s">
        <v>390</v>
      </c>
      <c r="CF17" s="89"/>
      <c r="CG17" s="90"/>
      <c r="CH17" s="90"/>
      <c r="CI17" s="90"/>
      <c r="CJ17" s="90"/>
      <c r="CK17" s="90"/>
      <c r="CL17" s="90"/>
      <c r="CM17" s="90"/>
      <c r="CN17" s="90"/>
      <c r="CO17" s="90"/>
      <c r="CP17" s="90"/>
      <c r="CQ17" s="90"/>
      <c r="CR17" s="90"/>
      <c r="CS17" s="90"/>
      <c r="CT17" s="90"/>
      <c r="CU17" s="90"/>
      <c r="CV17" s="90"/>
      <c r="CW17" s="90"/>
      <c r="CX17" s="90"/>
      <c r="CY17" s="90"/>
      <c r="CZ17" s="90"/>
      <c r="DA17" s="90"/>
      <c r="DB17" s="91"/>
      <c r="DC17" s="91"/>
    </row>
    <row r="18" spans="1:107">
      <c r="A18" s="107"/>
      <c r="B18" s="107"/>
      <c r="C18" s="107"/>
      <c r="D18" s="107"/>
      <c r="E18" s="551"/>
      <c r="F18" s="552"/>
      <c r="G18" s="552"/>
      <c r="H18" s="553"/>
      <c r="I18" s="545"/>
      <c r="J18" s="546"/>
      <c r="K18" s="546"/>
      <c r="L18" s="547"/>
      <c r="M18" s="545"/>
      <c r="N18" s="546"/>
      <c r="O18" s="546"/>
      <c r="P18" s="547"/>
      <c r="Q18" s="545"/>
      <c r="R18" s="546"/>
      <c r="S18" s="546"/>
      <c r="T18" s="547"/>
      <c r="U18" s="545"/>
      <c r="V18" s="546"/>
      <c r="W18" s="546"/>
      <c r="X18" s="547"/>
      <c r="Y18" s="545"/>
      <c r="Z18" s="546"/>
      <c r="AA18" s="546"/>
      <c r="AB18" s="547"/>
      <c r="AC18" s="545"/>
      <c r="AD18" s="546"/>
      <c r="AE18" s="546"/>
      <c r="AF18" s="547"/>
      <c r="AG18" s="545"/>
      <c r="AH18" s="546"/>
      <c r="AI18" s="546"/>
      <c r="AJ18" s="547"/>
      <c r="AK18" s="545"/>
      <c r="AL18" s="546"/>
      <c r="AM18" s="546"/>
      <c r="AN18" s="547"/>
      <c r="AO18" s="545"/>
      <c r="AP18" s="546"/>
      <c r="AQ18" s="546"/>
      <c r="AR18" s="547"/>
      <c r="AS18" s="545"/>
      <c r="AT18" s="546"/>
      <c r="AU18" s="546"/>
      <c r="AV18" s="547"/>
      <c r="AW18" s="545"/>
      <c r="AX18" s="546"/>
      <c r="AY18" s="546"/>
      <c r="AZ18" s="547"/>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108" t="s">
        <v>391</v>
      </c>
    </row>
    <row r="19" spans="1:107" s="105" customFormat="1">
      <c r="A19" s="107"/>
      <c r="B19" s="107"/>
      <c r="C19" s="107"/>
      <c r="D19" s="107"/>
      <c r="E19" s="548"/>
      <c r="F19" s="549"/>
      <c r="G19" s="549"/>
      <c r="H19" s="550"/>
      <c r="I19" s="540"/>
      <c r="J19" s="541"/>
      <c r="K19" s="541"/>
      <c r="L19" s="542"/>
      <c r="M19" s="540"/>
      <c r="N19" s="541"/>
      <c r="O19" s="541"/>
      <c r="P19" s="542"/>
      <c r="Q19" s="540"/>
      <c r="R19" s="541"/>
      <c r="S19" s="541"/>
      <c r="T19" s="542"/>
      <c r="U19" s="540"/>
      <c r="V19" s="541"/>
      <c r="W19" s="541"/>
      <c r="X19" s="542"/>
      <c r="Y19" s="540"/>
      <c r="Z19" s="541"/>
      <c r="AA19" s="541"/>
      <c r="AB19" s="542"/>
      <c r="AC19" s="540"/>
      <c r="AD19" s="541"/>
      <c r="AE19" s="541"/>
      <c r="AF19" s="542"/>
      <c r="AG19" s="540"/>
      <c r="AH19" s="541"/>
      <c r="AI19" s="541"/>
      <c r="AJ19" s="542"/>
      <c r="AK19" s="540"/>
      <c r="AL19" s="541"/>
      <c r="AM19" s="541"/>
      <c r="AN19" s="542"/>
      <c r="AO19" s="540"/>
      <c r="AP19" s="541"/>
      <c r="AQ19" s="541"/>
      <c r="AR19" s="542"/>
      <c r="AS19" s="540"/>
      <c r="AT19" s="541"/>
      <c r="AU19" s="541"/>
      <c r="AV19" s="542"/>
      <c r="AW19" s="540"/>
      <c r="AX19" s="541"/>
      <c r="AY19" s="541"/>
      <c r="AZ19" s="542"/>
      <c r="BG19" s="93"/>
      <c r="BH19" s="93"/>
      <c r="BI19" s="93"/>
      <c r="BJ19" s="93"/>
      <c r="BK19" s="93"/>
      <c r="BL19" s="93"/>
      <c r="BM19" s="93"/>
      <c r="BN19" s="93"/>
      <c r="BO19" s="93"/>
      <c r="BP19" s="93"/>
      <c r="BQ19" s="93"/>
      <c r="BR19" s="93"/>
      <c r="BS19" s="93"/>
      <c r="BT19" s="93"/>
      <c r="BU19" s="93"/>
      <c r="BV19" s="93"/>
      <c r="BW19" s="93"/>
      <c r="BX19" s="93"/>
      <c r="BY19" s="93"/>
      <c r="BZ19" s="93"/>
      <c r="CA19" s="93"/>
      <c r="CB19" s="93"/>
      <c r="CC19" s="93"/>
      <c r="CD19" s="93"/>
      <c r="CE19" s="118" t="s">
        <v>392</v>
      </c>
      <c r="CF19" s="89"/>
      <c r="CG19" s="90"/>
      <c r="CH19" s="90"/>
      <c r="CI19" s="90"/>
      <c r="CJ19" s="90"/>
      <c r="CK19" s="90"/>
      <c r="CL19" s="90"/>
      <c r="CM19" s="90"/>
      <c r="CN19" s="90"/>
      <c r="CO19" s="90"/>
      <c r="CP19" s="90"/>
      <c r="CQ19" s="90"/>
      <c r="CR19" s="90"/>
      <c r="CS19" s="90"/>
      <c r="CT19" s="90"/>
      <c r="CU19" s="90"/>
      <c r="CV19" s="90"/>
      <c r="CW19" s="90"/>
      <c r="CX19" s="90"/>
      <c r="CY19" s="90"/>
      <c r="CZ19" s="90"/>
      <c r="DA19" s="90"/>
      <c r="DB19" s="91"/>
      <c r="DC19" s="91"/>
    </row>
    <row r="20" spans="1:107">
      <c r="A20" s="107"/>
      <c r="B20" s="107"/>
      <c r="C20" s="107"/>
      <c r="D20" s="107"/>
      <c r="E20" s="551"/>
      <c r="F20" s="552"/>
      <c r="G20" s="552"/>
      <c r="H20" s="553"/>
      <c r="I20" s="545"/>
      <c r="J20" s="546"/>
      <c r="K20" s="546"/>
      <c r="L20" s="547"/>
      <c r="M20" s="545"/>
      <c r="N20" s="546"/>
      <c r="O20" s="546"/>
      <c r="P20" s="547"/>
      <c r="Q20" s="545"/>
      <c r="R20" s="546"/>
      <c r="S20" s="546"/>
      <c r="T20" s="547"/>
      <c r="U20" s="545"/>
      <c r="V20" s="546"/>
      <c r="W20" s="546"/>
      <c r="X20" s="547"/>
      <c r="Y20" s="545"/>
      <c r="Z20" s="546"/>
      <c r="AA20" s="546"/>
      <c r="AB20" s="547"/>
      <c r="AC20" s="545"/>
      <c r="AD20" s="546"/>
      <c r="AE20" s="546"/>
      <c r="AF20" s="547"/>
      <c r="AG20" s="545"/>
      <c r="AH20" s="546"/>
      <c r="AI20" s="546"/>
      <c r="AJ20" s="547"/>
      <c r="AK20" s="545"/>
      <c r="AL20" s="546"/>
      <c r="AM20" s="546"/>
      <c r="AN20" s="547"/>
      <c r="AO20" s="545"/>
      <c r="AP20" s="546"/>
      <c r="AQ20" s="546"/>
      <c r="AR20" s="547"/>
      <c r="AS20" s="545"/>
      <c r="AT20" s="546"/>
      <c r="AU20" s="546"/>
      <c r="AV20" s="547"/>
      <c r="AW20" s="545"/>
      <c r="AX20" s="546"/>
      <c r="AY20" s="546"/>
      <c r="AZ20" s="547"/>
      <c r="BG20" s="93"/>
      <c r="BH20" s="93"/>
      <c r="BI20" s="93"/>
      <c r="BJ20" s="93"/>
      <c r="BK20" s="93"/>
      <c r="BL20" s="93"/>
      <c r="BM20" s="93"/>
      <c r="BN20" s="93"/>
      <c r="BO20" s="93"/>
      <c r="BP20" s="93"/>
      <c r="BQ20" s="93"/>
      <c r="BR20" s="93"/>
      <c r="BS20" s="93"/>
      <c r="BT20" s="93"/>
      <c r="BU20" s="93"/>
      <c r="BV20" s="93"/>
      <c r="BW20" s="93"/>
      <c r="BX20" s="93"/>
      <c r="BY20" s="93"/>
      <c r="BZ20" s="93"/>
      <c r="CA20" s="93"/>
      <c r="CB20" s="93"/>
      <c r="CC20" s="93"/>
      <c r="CD20" s="93"/>
      <c r="CE20" s="110" t="s">
        <v>393</v>
      </c>
    </row>
    <row r="21" spans="1:107" s="105" customFormat="1">
      <c r="A21" s="107"/>
      <c r="B21" s="107"/>
      <c r="C21" s="107"/>
      <c r="D21" s="107"/>
      <c r="E21" s="548"/>
      <c r="F21" s="549"/>
      <c r="G21" s="549"/>
      <c r="H21" s="550"/>
      <c r="I21" s="540"/>
      <c r="J21" s="541"/>
      <c r="K21" s="541"/>
      <c r="L21" s="542"/>
      <c r="M21" s="540"/>
      <c r="N21" s="541"/>
      <c r="O21" s="541"/>
      <c r="P21" s="542"/>
      <c r="Q21" s="540"/>
      <c r="R21" s="541"/>
      <c r="S21" s="541"/>
      <c r="T21" s="542"/>
      <c r="U21" s="540"/>
      <c r="V21" s="541"/>
      <c r="W21" s="541"/>
      <c r="X21" s="542"/>
      <c r="Y21" s="540"/>
      <c r="Z21" s="541"/>
      <c r="AA21" s="541"/>
      <c r="AB21" s="542"/>
      <c r="AC21" s="540"/>
      <c r="AD21" s="541"/>
      <c r="AE21" s="541"/>
      <c r="AF21" s="542"/>
      <c r="AG21" s="540"/>
      <c r="AH21" s="541"/>
      <c r="AI21" s="541"/>
      <c r="AJ21" s="542"/>
      <c r="AK21" s="540"/>
      <c r="AL21" s="541"/>
      <c r="AM21" s="541"/>
      <c r="AN21" s="542"/>
      <c r="AO21" s="540"/>
      <c r="AP21" s="541"/>
      <c r="AQ21" s="541"/>
      <c r="AR21" s="542"/>
      <c r="AS21" s="540"/>
      <c r="AT21" s="541"/>
      <c r="AU21" s="541"/>
      <c r="AV21" s="542"/>
      <c r="AW21" s="540"/>
      <c r="AX21" s="541"/>
      <c r="AY21" s="541"/>
      <c r="AZ21" s="542"/>
      <c r="BG21" s="93"/>
      <c r="BH21" s="93"/>
      <c r="BI21" s="93"/>
      <c r="BJ21" s="93"/>
      <c r="BK21" s="93"/>
      <c r="BL21" s="93"/>
      <c r="BM21" s="93"/>
      <c r="BN21" s="93"/>
      <c r="BO21" s="93"/>
      <c r="BP21" s="93"/>
      <c r="BQ21" s="93"/>
      <c r="BR21" s="93"/>
      <c r="BS21" s="93"/>
      <c r="BT21" s="93"/>
      <c r="BU21" s="93"/>
      <c r="BV21" s="93"/>
      <c r="BW21" s="93"/>
      <c r="BX21" s="93"/>
      <c r="BY21" s="93"/>
      <c r="BZ21" s="93"/>
      <c r="CA21" s="93"/>
      <c r="CB21" s="93"/>
      <c r="CC21" s="93"/>
      <c r="CD21" s="93"/>
      <c r="CE21" s="93"/>
      <c r="CF21" s="119"/>
      <c r="CG21" s="90"/>
      <c r="CH21" s="90"/>
      <c r="CI21" s="90"/>
      <c r="CJ21" s="90"/>
      <c r="CK21" s="90"/>
      <c r="CL21" s="90"/>
      <c r="CM21" s="90"/>
      <c r="CN21" s="90"/>
      <c r="CO21" s="90"/>
      <c r="CP21" s="90"/>
      <c r="CQ21" s="90"/>
      <c r="CR21" s="90"/>
      <c r="CS21" s="90"/>
      <c r="CT21" s="90"/>
      <c r="CU21" s="90"/>
      <c r="CV21" s="90"/>
      <c r="CW21" s="90"/>
      <c r="CX21" s="90"/>
      <c r="CY21" s="90"/>
      <c r="CZ21" s="90"/>
      <c r="DA21" s="90"/>
      <c r="DB21" s="91"/>
      <c r="DC21" s="91"/>
    </row>
    <row r="22" spans="1:107">
      <c r="A22" s="107"/>
      <c r="B22" s="107"/>
      <c r="C22" s="107"/>
      <c r="D22" s="107"/>
      <c r="E22" s="563"/>
      <c r="F22" s="564"/>
      <c r="G22" s="564"/>
      <c r="H22" s="565"/>
      <c r="I22" s="545"/>
      <c r="J22" s="546"/>
      <c r="K22" s="546"/>
      <c r="L22" s="547"/>
      <c r="M22" s="545"/>
      <c r="N22" s="546"/>
      <c r="O22" s="546"/>
      <c r="P22" s="547"/>
      <c r="Q22" s="545"/>
      <c r="R22" s="546"/>
      <c r="S22" s="546"/>
      <c r="T22" s="547"/>
      <c r="U22" s="545"/>
      <c r="V22" s="546"/>
      <c r="W22" s="546"/>
      <c r="X22" s="547"/>
      <c r="Y22" s="545"/>
      <c r="Z22" s="546"/>
      <c r="AA22" s="546"/>
      <c r="AB22" s="547"/>
      <c r="AC22" s="545"/>
      <c r="AD22" s="546"/>
      <c r="AE22" s="546"/>
      <c r="AF22" s="547"/>
      <c r="AG22" s="545"/>
      <c r="AH22" s="546"/>
      <c r="AI22" s="546"/>
      <c r="AJ22" s="547"/>
      <c r="AK22" s="545"/>
      <c r="AL22" s="546"/>
      <c r="AM22" s="546"/>
      <c r="AN22" s="547"/>
      <c r="AO22" s="545"/>
      <c r="AP22" s="546"/>
      <c r="AQ22" s="546"/>
      <c r="AR22" s="547"/>
      <c r="AS22" s="545"/>
      <c r="AT22" s="546"/>
      <c r="AU22" s="546"/>
      <c r="AV22" s="547"/>
      <c r="AW22" s="545"/>
      <c r="AX22" s="546"/>
      <c r="AY22" s="546"/>
      <c r="AZ22" s="547"/>
      <c r="BG22" s="93"/>
      <c r="BH22" s="93"/>
      <c r="BI22" s="93"/>
      <c r="BJ22" s="120" t="s">
        <v>394</v>
      </c>
      <c r="BK22" s="93"/>
      <c r="BL22" s="93"/>
      <c r="BM22" s="93"/>
      <c r="BN22" s="93"/>
      <c r="BO22" s="93"/>
      <c r="BP22" s="93"/>
      <c r="BQ22" s="93"/>
      <c r="BR22" s="93"/>
      <c r="BS22" s="93"/>
      <c r="BT22" s="93"/>
      <c r="BU22" s="93"/>
      <c r="BV22" s="93"/>
      <c r="BW22" s="93"/>
      <c r="BX22" s="93"/>
      <c r="BY22" s="93"/>
      <c r="BZ22" s="93"/>
      <c r="CA22" s="93"/>
      <c r="CB22" s="93"/>
      <c r="CC22" s="93"/>
      <c r="CD22" s="93"/>
      <c r="CF22" s="119"/>
    </row>
    <row r="23" spans="1:107" s="105" customFormat="1">
      <c r="A23" s="107"/>
      <c r="B23" s="107"/>
      <c r="C23" s="107"/>
      <c r="D23" s="107"/>
      <c r="E23" s="548"/>
      <c r="F23" s="549"/>
      <c r="G23" s="549"/>
      <c r="H23" s="550"/>
      <c r="I23" s="540"/>
      <c r="J23" s="541"/>
      <c r="K23" s="541"/>
      <c r="L23" s="542"/>
      <c r="M23" s="540"/>
      <c r="N23" s="541"/>
      <c r="O23" s="541"/>
      <c r="P23" s="542"/>
      <c r="Q23" s="540"/>
      <c r="R23" s="541"/>
      <c r="S23" s="541"/>
      <c r="T23" s="542"/>
      <c r="U23" s="540"/>
      <c r="V23" s="541"/>
      <c r="W23" s="541"/>
      <c r="X23" s="542"/>
      <c r="Y23" s="540"/>
      <c r="Z23" s="541"/>
      <c r="AA23" s="541"/>
      <c r="AB23" s="542"/>
      <c r="AC23" s="540"/>
      <c r="AD23" s="541"/>
      <c r="AE23" s="541"/>
      <c r="AF23" s="542"/>
      <c r="AG23" s="540"/>
      <c r="AH23" s="541"/>
      <c r="AI23" s="541"/>
      <c r="AJ23" s="542"/>
      <c r="AK23" s="540"/>
      <c r="AL23" s="541"/>
      <c r="AM23" s="541"/>
      <c r="AN23" s="542"/>
      <c r="AO23" s="540"/>
      <c r="AP23" s="541"/>
      <c r="AQ23" s="541"/>
      <c r="AR23" s="542"/>
      <c r="AS23" s="540"/>
      <c r="AT23" s="541"/>
      <c r="AU23" s="541"/>
      <c r="AV23" s="542"/>
      <c r="AW23" s="540"/>
      <c r="AX23" s="541"/>
      <c r="AY23" s="541"/>
      <c r="AZ23" s="542"/>
      <c r="BG23" s="93"/>
      <c r="BH23" s="93"/>
      <c r="BI23" s="93"/>
      <c r="BJ23" s="121" t="s">
        <v>395</v>
      </c>
      <c r="BK23" s="122">
        <f>'Shipping Calculator'!N97</f>
        <v>10</v>
      </c>
      <c r="BL23" s="93"/>
      <c r="BM23" s="93"/>
      <c r="BN23" s="93"/>
      <c r="BO23" s="93"/>
      <c r="BP23" s="93"/>
      <c r="BQ23" s="93"/>
      <c r="BR23" s="93"/>
      <c r="BS23" s="93"/>
      <c r="BT23" s="93"/>
      <c r="BU23" s="93"/>
      <c r="BV23" s="93"/>
      <c r="BW23" s="93"/>
      <c r="BX23" s="93"/>
      <c r="BY23" s="93"/>
      <c r="BZ23" s="93"/>
      <c r="CA23" s="93"/>
      <c r="CB23" s="93"/>
      <c r="CC23" s="93"/>
      <c r="CD23" s="93"/>
      <c r="CE23" s="93"/>
      <c r="CF23" s="119"/>
      <c r="CG23" s="90"/>
      <c r="CH23" s="90"/>
      <c r="CI23" s="90"/>
      <c r="CJ23" s="90"/>
      <c r="CK23" s="90"/>
      <c r="CL23" s="90"/>
      <c r="CM23" s="90"/>
      <c r="CN23" s="90"/>
      <c r="CO23" s="90"/>
      <c r="CP23" s="90"/>
      <c r="CQ23" s="90"/>
      <c r="CR23" s="90"/>
      <c r="CS23" s="90"/>
      <c r="CT23" s="90"/>
      <c r="CU23" s="90"/>
      <c r="CV23" s="90"/>
      <c r="CW23" s="90"/>
      <c r="CX23" s="90"/>
      <c r="CY23" s="90"/>
      <c r="CZ23" s="90"/>
      <c r="DA23" s="90"/>
      <c r="DB23" s="91"/>
      <c r="DC23" s="91"/>
    </row>
    <row r="24" spans="1:107">
      <c r="A24" s="107"/>
      <c r="B24" s="107"/>
      <c r="C24" s="107"/>
      <c r="D24" s="107"/>
      <c r="E24" s="551"/>
      <c r="F24" s="552"/>
      <c r="G24" s="552"/>
      <c r="H24" s="553"/>
      <c r="I24" s="545"/>
      <c r="J24" s="546"/>
      <c r="K24" s="546"/>
      <c r="L24" s="547"/>
      <c r="M24" s="545"/>
      <c r="N24" s="546"/>
      <c r="O24" s="546"/>
      <c r="P24" s="547"/>
      <c r="Q24" s="545"/>
      <c r="R24" s="546"/>
      <c r="S24" s="546"/>
      <c r="T24" s="547"/>
      <c r="U24" s="545"/>
      <c r="V24" s="546"/>
      <c r="W24" s="546"/>
      <c r="X24" s="547"/>
      <c r="Y24" s="545"/>
      <c r="Z24" s="546"/>
      <c r="AA24" s="546"/>
      <c r="AB24" s="547"/>
      <c r="AC24" s="545"/>
      <c r="AD24" s="546"/>
      <c r="AE24" s="546"/>
      <c r="AF24" s="547"/>
      <c r="AG24" s="545"/>
      <c r="AH24" s="546"/>
      <c r="AI24" s="546"/>
      <c r="AJ24" s="547"/>
      <c r="AK24" s="545"/>
      <c r="AL24" s="546"/>
      <c r="AM24" s="546"/>
      <c r="AN24" s="547"/>
      <c r="AO24" s="545"/>
      <c r="AP24" s="546"/>
      <c r="AQ24" s="546"/>
      <c r="AR24" s="547"/>
      <c r="AS24" s="545"/>
      <c r="AT24" s="546"/>
      <c r="AU24" s="546"/>
      <c r="AV24" s="547"/>
      <c r="AW24" s="545"/>
      <c r="AX24" s="546"/>
      <c r="AY24" s="546"/>
      <c r="AZ24" s="547"/>
      <c r="BG24" s="93"/>
      <c r="BH24" s="93"/>
      <c r="BI24" s="93"/>
      <c r="BJ24" s="121" t="s">
        <v>396</v>
      </c>
      <c r="BK24" s="123">
        <f>'Shipping Calculator'!R91</f>
        <v>18</v>
      </c>
      <c r="BL24" s="93"/>
      <c r="BM24" s="93"/>
      <c r="BN24" s="93"/>
      <c r="BO24" s="93"/>
      <c r="BP24" s="93"/>
      <c r="BQ24" s="93"/>
      <c r="BR24" s="93"/>
      <c r="BS24" s="93"/>
      <c r="BT24" s="93"/>
      <c r="BU24" s="93"/>
      <c r="BV24" s="93"/>
      <c r="BW24" s="93"/>
      <c r="BX24" s="93"/>
      <c r="BY24" s="93"/>
      <c r="BZ24" s="93"/>
      <c r="CA24" s="93"/>
      <c r="CB24" s="93"/>
      <c r="CC24" s="93"/>
      <c r="CD24" s="93"/>
      <c r="CE24" s="93"/>
      <c r="CF24" s="119"/>
    </row>
    <row r="25" spans="1:107" s="105" customFormat="1">
      <c r="A25" s="107"/>
      <c r="B25" s="107"/>
      <c r="C25" s="107"/>
      <c r="D25" s="107"/>
      <c r="E25" s="548"/>
      <c r="F25" s="549"/>
      <c r="G25" s="549"/>
      <c r="H25" s="550"/>
      <c r="I25" s="540"/>
      <c r="J25" s="541"/>
      <c r="K25" s="541"/>
      <c r="L25" s="542"/>
      <c r="M25" s="540"/>
      <c r="N25" s="541"/>
      <c r="O25" s="541"/>
      <c r="P25" s="542"/>
      <c r="Q25" s="540"/>
      <c r="R25" s="541"/>
      <c r="S25" s="541"/>
      <c r="T25" s="542"/>
      <c r="U25" s="540"/>
      <c r="V25" s="541"/>
      <c r="W25" s="541"/>
      <c r="X25" s="542"/>
      <c r="Y25" s="540"/>
      <c r="Z25" s="541"/>
      <c r="AA25" s="541"/>
      <c r="AB25" s="542"/>
      <c r="AC25" s="540"/>
      <c r="AD25" s="541"/>
      <c r="AE25" s="541"/>
      <c r="AF25" s="542"/>
      <c r="AG25" s="540"/>
      <c r="AH25" s="541"/>
      <c r="AI25" s="541"/>
      <c r="AJ25" s="542"/>
      <c r="AK25" s="540"/>
      <c r="AL25" s="541"/>
      <c r="AM25" s="541"/>
      <c r="AN25" s="542"/>
      <c r="AO25" s="540"/>
      <c r="AP25" s="541"/>
      <c r="AQ25" s="541"/>
      <c r="AR25" s="542"/>
      <c r="AS25" s="540"/>
      <c r="AT25" s="541"/>
      <c r="AU25" s="541"/>
      <c r="AV25" s="542"/>
      <c r="AW25" s="540"/>
      <c r="AX25" s="541"/>
      <c r="AY25" s="541"/>
      <c r="AZ25" s="542"/>
      <c r="BG25" s="93"/>
      <c r="BH25" s="93"/>
      <c r="BI25" s="93"/>
      <c r="BJ25" s="121" t="s">
        <v>397</v>
      </c>
      <c r="BK25" s="123">
        <f>ROUND((IF(BK23&lt;=300,(VLOOKUP(BK23,BJ30:CA629,BK24,0)),(VLOOKUP("Rate",BJ636:CA636,BK24,0)))),2)</f>
        <v>65.38</v>
      </c>
      <c r="BL25" s="93"/>
      <c r="BM25" s="93"/>
      <c r="BN25" s="93"/>
      <c r="BO25" s="93"/>
      <c r="BP25" s="93"/>
      <c r="BQ25" s="93"/>
      <c r="BR25" s="93"/>
      <c r="BS25" s="93"/>
      <c r="BT25" s="93"/>
      <c r="BU25" s="93"/>
      <c r="BV25" s="93"/>
      <c r="BW25" s="93"/>
      <c r="BX25" s="93"/>
      <c r="BY25" s="93"/>
      <c r="BZ25" s="93"/>
      <c r="CA25" s="93"/>
      <c r="CB25" s="93"/>
      <c r="CC25" s="93"/>
      <c r="CD25" s="93"/>
      <c r="CE25" s="93"/>
      <c r="CF25" s="119"/>
      <c r="CG25" s="90"/>
      <c r="CH25" s="90"/>
      <c r="CI25" s="90"/>
      <c r="CJ25" s="90"/>
      <c r="CK25" s="90"/>
      <c r="CL25" s="90"/>
      <c r="CM25" s="90"/>
      <c r="CN25" s="90"/>
      <c r="CO25" s="90"/>
      <c r="CP25" s="90"/>
      <c r="CQ25" s="90"/>
      <c r="CR25" s="90"/>
      <c r="CS25" s="90"/>
      <c r="CT25" s="90"/>
      <c r="CU25" s="90"/>
      <c r="CV25" s="90"/>
      <c r="CW25" s="90"/>
      <c r="CX25" s="90"/>
      <c r="CY25" s="90"/>
      <c r="CZ25" s="90"/>
      <c r="DA25" s="90"/>
      <c r="DB25" s="91"/>
      <c r="DC25" s="91"/>
    </row>
    <row r="26" spans="1:107">
      <c r="A26" s="107"/>
      <c r="B26" s="107"/>
      <c r="C26" s="107"/>
      <c r="D26" s="107"/>
      <c r="E26" s="551"/>
      <c r="F26" s="552"/>
      <c r="G26" s="552"/>
      <c r="H26" s="553"/>
      <c r="I26" s="545"/>
      <c r="J26" s="546"/>
      <c r="K26" s="546"/>
      <c r="L26" s="547"/>
      <c r="M26" s="545"/>
      <c r="N26" s="546"/>
      <c r="O26" s="546"/>
      <c r="P26" s="547"/>
      <c r="Q26" s="545"/>
      <c r="R26" s="546"/>
      <c r="S26" s="546"/>
      <c r="T26" s="547"/>
      <c r="U26" s="545"/>
      <c r="V26" s="546"/>
      <c r="W26" s="546"/>
      <c r="X26" s="547"/>
      <c r="Y26" s="545"/>
      <c r="Z26" s="546"/>
      <c r="AA26" s="546"/>
      <c r="AB26" s="547"/>
      <c r="AC26" s="545"/>
      <c r="AD26" s="546"/>
      <c r="AE26" s="546"/>
      <c r="AF26" s="547"/>
      <c r="AG26" s="545"/>
      <c r="AH26" s="546"/>
      <c r="AI26" s="546"/>
      <c r="AJ26" s="547"/>
      <c r="AK26" s="545"/>
      <c r="AL26" s="546"/>
      <c r="AM26" s="546"/>
      <c r="AN26" s="547"/>
      <c r="AO26" s="545"/>
      <c r="AP26" s="546"/>
      <c r="AQ26" s="546"/>
      <c r="AR26" s="547"/>
      <c r="AS26" s="545"/>
      <c r="AT26" s="546"/>
      <c r="AU26" s="546"/>
      <c r="AV26" s="547"/>
      <c r="AW26" s="545"/>
      <c r="AX26" s="546"/>
      <c r="AY26" s="546"/>
      <c r="AZ26" s="547"/>
      <c r="BG26" s="93"/>
      <c r="BH26" s="93"/>
      <c r="BI26" s="93"/>
      <c r="BJ26" s="124" t="s">
        <v>398</v>
      </c>
      <c r="BK26" s="125">
        <f>ROUND((IF(BK23&lt;=300,(VLOOKUP(BK23,BJ30:BK359,2,0)),(VLOOKUP("Rate",BJ636:CA636,2,0)))),2)</f>
        <v>0</v>
      </c>
      <c r="BL26" s="93"/>
      <c r="BM26" s="93"/>
      <c r="BN26" s="93"/>
      <c r="BO26" s="93"/>
      <c r="BP26" s="93"/>
      <c r="BQ26" s="93"/>
      <c r="BR26" s="93"/>
      <c r="BS26" s="93"/>
      <c r="BT26" s="93"/>
      <c r="BU26" s="93"/>
      <c r="BV26" s="93"/>
      <c r="BW26" s="93"/>
      <c r="BX26" s="93"/>
      <c r="BY26" s="93"/>
      <c r="BZ26" s="93"/>
      <c r="CA26" s="93"/>
      <c r="CB26" s="93"/>
      <c r="CC26" s="93"/>
      <c r="CD26" s="93"/>
      <c r="CE26" s="93"/>
      <c r="CF26" s="119"/>
    </row>
    <row r="27" spans="1:107" s="105" customFormat="1" ht="16" thickBot="1">
      <c r="A27" s="107"/>
      <c r="B27" s="107"/>
      <c r="C27" s="107"/>
      <c r="D27" s="107"/>
      <c r="E27" s="557"/>
      <c r="F27" s="558"/>
      <c r="G27" s="558"/>
      <c r="H27" s="559"/>
      <c r="I27" s="540"/>
      <c r="J27" s="541"/>
      <c r="K27" s="541"/>
      <c r="L27" s="542"/>
      <c r="M27" s="540"/>
      <c r="N27" s="541"/>
      <c r="O27" s="541"/>
      <c r="P27" s="542"/>
      <c r="Q27" s="540"/>
      <c r="R27" s="541"/>
      <c r="S27" s="541"/>
      <c r="T27" s="542"/>
      <c r="U27" s="540"/>
      <c r="V27" s="541"/>
      <c r="W27" s="541"/>
      <c r="X27" s="542"/>
      <c r="Y27" s="540"/>
      <c r="Z27" s="541"/>
      <c r="AA27" s="541"/>
      <c r="AB27" s="542"/>
      <c r="AC27" s="540"/>
      <c r="AD27" s="541"/>
      <c r="AE27" s="541"/>
      <c r="AF27" s="542"/>
      <c r="AG27" s="540"/>
      <c r="AH27" s="541"/>
      <c r="AI27" s="541"/>
      <c r="AJ27" s="542"/>
      <c r="AK27" s="540"/>
      <c r="AL27" s="541"/>
      <c r="AM27" s="541"/>
      <c r="AN27" s="542"/>
      <c r="AO27" s="540"/>
      <c r="AP27" s="541"/>
      <c r="AQ27" s="541"/>
      <c r="AR27" s="542"/>
      <c r="AS27" s="540"/>
      <c r="AT27" s="541"/>
      <c r="AU27" s="541"/>
      <c r="AV27" s="542"/>
      <c r="AW27" s="540"/>
      <c r="AX27" s="541"/>
      <c r="AY27" s="541"/>
      <c r="AZ27" s="542"/>
      <c r="BG27" s="93"/>
      <c r="BH27" s="93"/>
      <c r="BI27" s="93"/>
      <c r="BJ27" s="93"/>
      <c r="BK27" s="93"/>
      <c r="BL27" s="93"/>
      <c r="BM27" s="93"/>
      <c r="BN27" s="93"/>
      <c r="BO27" s="93"/>
      <c r="BP27" s="93"/>
      <c r="BQ27" s="93"/>
      <c r="BR27" s="93"/>
      <c r="BS27" s="93"/>
      <c r="BT27" s="93"/>
      <c r="BU27" s="93"/>
      <c r="BV27" s="93"/>
      <c r="BW27" s="93"/>
      <c r="BX27" s="93"/>
      <c r="BY27" s="93"/>
      <c r="BZ27" s="93"/>
      <c r="CA27" s="93"/>
      <c r="CB27" s="93"/>
      <c r="CC27" s="93"/>
      <c r="CD27" s="93"/>
      <c r="CE27" s="93"/>
      <c r="CF27" s="119"/>
      <c r="CG27" s="90"/>
      <c r="CH27" s="90"/>
      <c r="CI27" s="90"/>
      <c r="CJ27" s="90"/>
      <c r="CK27" s="90"/>
      <c r="CL27" s="90"/>
      <c r="CM27" s="90"/>
      <c r="CN27" s="90"/>
      <c r="CO27" s="90"/>
      <c r="CP27" s="90"/>
      <c r="CQ27" s="90"/>
      <c r="CR27" s="90"/>
      <c r="CS27" s="90"/>
      <c r="CT27" s="90"/>
      <c r="CU27" s="90"/>
      <c r="CV27" s="90"/>
      <c r="CW27" s="90"/>
      <c r="CX27" s="90"/>
      <c r="CY27" s="90"/>
      <c r="CZ27" s="90"/>
      <c r="DA27" s="90"/>
      <c r="DB27" s="91"/>
      <c r="DC27" s="91"/>
    </row>
    <row r="28" spans="1:107" ht="17" thickBot="1">
      <c r="A28" s="107"/>
      <c r="B28" s="107"/>
      <c r="C28" s="107"/>
      <c r="D28" s="107"/>
      <c r="E28" s="551"/>
      <c r="F28" s="552"/>
      <c r="G28" s="552"/>
      <c r="H28" s="553"/>
      <c r="I28" s="545"/>
      <c r="J28" s="546"/>
      <c r="K28" s="546"/>
      <c r="L28" s="547"/>
      <c r="M28" s="545"/>
      <c r="N28" s="546"/>
      <c r="O28" s="546"/>
      <c r="P28" s="547"/>
      <c r="Q28" s="545"/>
      <c r="R28" s="546"/>
      <c r="S28" s="546"/>
      <c r="T28" s="547"/>
      <c r="U28" s="545"/>
      <c r="V28" s="546"/>
      <c r="W28" s="546"/>
      <c r="X28" s="547"/>
      <c r="Y28" s="545"/>
      <c r="Z28" s="546"/>
      <c r="AA28" s="546"/>
      <c r="AB28" s="547"/>
      <c r="AC28" s="545"/>
      <c r="AD28" s="546"/>
      <c r="AE28" s="546"/>
      <c r="AF28" s="547"/>
      <c r="AG28" s="545"/>
      <c r="AH28" s="546"/>
      <c r="AI28" s="546"/>
      <c r="AJ28" s="547"/>
      <c r="AK28" s="545"/>
      <c r="AL28" s="546"/>
      <c r="AM28" s="546"/>
      <c r="AN28" s="547"/>
      <c r="AO28" s="545"/>
      <c r="AP28" s="546"/>
      <c r="AQ28" s="546"/>
      <c r="AR28" s="547"/>
      <c r="AS28" s="545"/>
      <c r="AT28" s="546"/>
      <c r="AU28" s="546"/>
      <c r="AV28" s="547"/>
      <c r="AW28" s="545"/>
      <c r="AX28" s="546"/>
      <c r="AY28" s="546"/>
      <c r="AZ28" s="547"/>
      <c r="BG28" s="93"/>
      <c r="BH28" s="93"/>
      <c r="BI28" s="93"/>
      <c r="BJ28" s="126"/>
      <c r="BK28" s="127" t="s">
        <v>399</v>
      </c>
      <c r="BL28" s="560" t="s">
        <v>400</v>
      </c>
      <c r="BM28" s="561"/>
      <c r="BN28" s="561"/>
      <c r="BO28" s="562"/>
      <c r="BP28" s="560" t="s">
        <v>401</v>
      </c>
      <c r="BQ28" s="561"/>
      <c r="BR28" s="561"/>
      <c r="BS28" s="561"/>
      <c r="BT28" s="561"/>
      <c r="BU28" s="562"/>
      <c r="BV28" s="560" t="s">
        <v>402</v>
      </c>
      <c r="BW28" s="561"/>
      <c r="BX28" s="561"/>
      <c r="BY28" s="561"/>
      <c r="BZ28" s="561"/>
      <c r="CA28" s="562"/>
      <c r="CB28" s="93"/>
      <c r="CC28" s="93"/>
      <c r="CD28" s="93"/>
      <c r="CE28" s="128"/>
      <c r="CF28" s="119"/>
      <c r="CG28" s="129" t="s">
        <v>403</v>
      </c>
      <c r="CH28" s="130" t="s">
        <v>404</v>
      </c>
      <c r="CI28" s="131">
        <v>0</v>
      </c>
      <c r="CJ28" s="132">
        <v>1</v>
      </c>
      <c r="CK28" s="133">
        <v>2</v>
      </c>
      <c r="CL28" s="133">
        <v>3</v>
      </c>
      <c r="CM28" s="134">
        <v>4</v>
      </c>
      <c r="CN28" s="132">
        <v>5</v>
      </c>
      <c r="CO28" s="133">
        <v>6</v>
      </c>
      <c r="CP28" s="133">
        <v>7</v>
      </c>
      <c r="CQ28" s="133">
        <v>8</v>
      </c>
      <c r="CR28" s="133">
        <v>9</v>
      </c>
      <c r="CS28" s="134">
        <v>10</v>
      </c>
      <c r="CT28" s="135">
        <v>5</v>
      </c>
      <c r="CU28" s="133">
        <v>6</v>
      </c>
      <c r="CV28" s="133">
        <v>7</v>
      </c>
      <c r="CW28" s="133">
        <v>8</v>
      </c>
      <c r="CX28" s="133">
        <v>9</v>
      </c>
      <c r="CY28" s="134">
        <v>10</v>
      </c>
      <c r="CZ28" s="136"/>
    </row>
    <row r="29" spans="1:107" s="105" customFormat="1" ht="16" thickBot="1">
      <c r="A29" s="107"/>
      <c r="B29" s="107"/>
      <c r="C29" s="107"/>
      <c r="D29" s="107"/>
      <c r="E29" s="548"/>
      <c r="F29" s="549"/>
      <c r="G29" s="549"/>
      <c r="H29" s="550"/>
      <c r="I29" s="540"/>
      <c r="J29" s="541"/>
      <c r="K29" s="541"/>
      <c r="L29" s="542"/>
      <c r="M29" s="540"/>
      <c r="N29" s="541"/>
      <c r="O29" s="541"/>
      <c r="P29" s="542"/>
      <c r="Q29" s="540"/>
      <c r="R29" s="541"/>
      <c r="S29" s="541"/>
      <c r="T29" s="542"/>
      <c r="U29" s="540"/>
      <c r="V29" s="541"/>
      <c r="W29" s="541"/>
      <c r="X29" s="542"/>
      <c r="Y29" s="540"/>
      <c r="Z29" s="541"/>
      <c r="AA29" s="541"/>
      <c r="AB29" s="542"/>
      <c r="AC29" s="540"/>
      <c r="AD29" s="541"/>
      <c r="AE29" s="541"/>
      <c r="AF29" s="542"/>
      <c r="AG29" s="540"/>
      <c r="AH29" s="541"/>
      <c r="AI29" s="541"/>
      <c r="AJ29" s="542"/>
      <c r="AK29" s="540"/>
      <c r="AL29" s="541"/>
      <c r="AM29" s="541"/>
      <c r="AN29" s="542"/>
      <c r="AO29" s="540"/>
      <c r="AP29" s="541"/>
      <c r="AQ29" s="541"/>
      <c r="AR29" s="542"/>
      <c r="AS29" s="540"/>
      <c r="AT29" s="541"/>
      <c r="AU29" s="541"/>
      <c r="AV29" s="542"/>
      <c r="AW29" s="540"/>
      <c r="AX29" s="541"/>
      <c r="AY29" s="541"/>
      <c r="AZ29" s="542"/>
      <c r="BG29" s="93"/>
      <c r="BH29" s="93"/>
      <c r="BI29" s="93"/>
      <c r="BJ29" s="137" t="s">
        <v>405</v>
      </c>
      <c r="BK29" s="138">
        <v>0</v>
      </c>
      <c r="BL29" s="138">
        <v>1</v>
      </c>
      <c r="BM29" s="139">
        <v>2</v>
      </c>
      <c r="BN29" s="139">
        <v>3</v>
      </c>
      <c r="BO29" s="140">
        <v>4</v>
      </c>
      <c r="BP29" s="138">
        <v>5</v>
      </c>
      <c r="BQ29" s="139">
        <v>6</v>
      </c>
      <c r="BR29" s="139">
        <v>7</v>
      </c>
      <c r="BS29" s="139">
        <v>8</v>
      </c>
      <c r="BT29" s="139">
        <v>9</v>
      </c>
      <c r="BU29" s="141">
        <v>10</v>
      </c>
      <c r="BV29" s="142">
        <v>5</v>
      </c>
      <c r="BW29" s="139">
        <v>6</v>
      </c>
      <c r="BX29" s="139">
        <v>7</v>
      </c>
      <c r="BY29" s="139">
        <v>8</v>
      </c>
      <c r="BZ29" s="139">
        <v>9</v>
      </c>
      <c r="CA29" s="141">
        <v>10</v>
      </c>
      <c r="CB29" s="126"/>
      <c r="CC29" s="126"/>
      <c r="CD29" s="126"/>
      <c r="CE29" s="143"/>
      <c r="CF29" s="119"/>
      <c r="CG29" s="144" t="s">
        <v>406</v>
      </c>
      <c r="CH29" s="145">
        <v>1</v>
      </c>
      <c r="CI29" s="146">
        <v>0</v>
      </c>
      <c r="CJ29" s="147">
        <v>41.25</v>
      </c>
      <c r="CK29" s="148">
        <v>43.35</v>
      </c>
      <c r="CL29" s="148">
        <v>47.3</v>
      </c>
      <c r="CM29" s="149">
        <v>48</v>
      </c>
      <c r="CN29" s="147">
        <v>49.75</v>
      </c>
      <c r="CO29" s="148">
        <v>40.450000000000003</v>
      </c>
      <c r="CP29" s="148">
        <v>50.6</v>
      </c>
      <c r="CQ29" s="148">
        <v>50.85</v>
      </c>
      <c r="CR29" s="148">
        <v>52.65</v>
      </c>
      <c r="CS29" s="149">
        <v>66.2</v>
      </c>
      <c r="CT29" s="150">
        <v>60.1</v>
      </c>
      <c r="CU29" s="148">
        <v>51.8</v>
      </c>
      <c r="CV29" s="148">
        <v>60.6</v>
      </c>
      <c r="CW29" s="148">
        <v>67.8</v>
      </c>
      <c r="CX29" s="148">
        <v>70.7</v>
      </c>
      <c r="CY29" s="149">
        <v>78.150000000000006</v>
      </c>
      <c r="CZ29" s="151"/>
      <c r="DA29" s="90"/>
      <c r="DB29" s="91"/>
      <c r="DC29" s="91"/>
    </row>
    <row r="30" spans="1:107">
      <c r="A30" s="107"/>
      <c r="B30" s="107"/>
      <c r="C30" s="107"/>
      <c r="D30" s="107"/>
      <c r="E30" s="551"/>
      <c r="F30" s="552"/>
      <c r="G30" s="552"/>
      <c r="H30" s="553"/>
      <c r="I30" s="545"/>
      <c r="J30" s="546"/>
      <c r="K30" s="546"/>
      <c r="L30" s="547"/>
      <c r="M30" s="545"/>
      <c r="N30" s="546"/>
      <c r="O30" s="546"/>
      <c r="P30" s="547"/>
      <c r="Q30" s="545"/>
      <c r="R30" s="546"/>
      <c r="S30" s="546"/>
      <c r="T30" s="547"/>
      <c r="U30" s="545"/>
      <c r="V30" s="546"/>
      <c r="W30" s="546"/>
      <c r="X30" s="547"/>
      <c r="Y30" s="545"/>
      <c r="Z30" s="546"/>
      <c r="AA30" s="546"/>
      <c r="AB30" s="547"/>
      <c r="AC30" s="545"/>
      <c r="AD30" s="546"/>
      <c r="AE30" s="546"/>
      <c r="AF30" s="547"/>
      <c r="AG30" s="545"/>
      <c r="AH30" s="546"/>
      <c r="AI30" s="546"/>
      <c r="AJ30" s="547"/>
      <c r="AK30" s="545"/>
      <c r="AL30" s="546"/>
      <c r="AM30" s="546"/>
      <c r="AN30" s="547"/>
      <c r="AO30" s="545"/>
      <c r="AP30" s="546"/>
      <c r="AQ30" s="546"/>
      <c r="AR30" s="547"/>
      <c r="AS30" s="545"/>
      <c r="AT30" s="546"/>
      <c r="AU30" s="546"/>
      <c r="AV30" s="547"/>
      <c r="AW30" s="545"/>
      <c r="AX30" s="546"/>
      <c r="AY30" s="546"/>
      <c r="AZ30" s="547"/>
      <c r="BG30" s="93"/>
      <c r="BH30" s="93"/>
      <c r="BI30" s="93"/>
      <c r="BJ30" s="152">
        <v>0.5</v>
      </c>
      <c r="BK30" s="153">
        <v>0</v>
      </c>
      <c r="BL30" s="154">
        <v>11.56</v>
      </c>
      <c r="BM30" s="154">
        <v>12.14</v>
      </c>
      <c r="BN30" s="154">
        <v>13.25</v>
      </c>
      <c r="BO30" s="154">
        <v>13.44</v>
      </c>
      <c r="BP30" s="154">
        <v>13.93</v>
      </c>
      <c r="BQ30" s="154">
        <v>11.34</v>
      </c>
      <c r="BR30" s="154">
        <v>14.17</v>
      </c>
      <c r="BS30" s="154">
        <v>14.25</v>
      </c>
      <c r="BT30" s="154">
        <v>14.76</v>
      </c>
      <c r="BU30" s="154">
        <v>18.55</v>
      </c>
      <c r="BV30" s="154">
        <v>16.850000000000001</v>
      </c>
      <c r="BW30" s="154">
        <v>14.52</v>
      </c>
      <c r="BX30" s="154">
        <v>16.98</v>
      </c>
      <c r="BY30" s="154">
        <v>19</v>
      </c>
      <c r="BZ30" s="154">
        <v>19.809999999999999</v>
      </c>
      <c r="CA30" s="154">
        <v>21.9</v>
      </c>
      <c r="CB30" s="152"/>
      <c r="CC30" s="126"/>
      <c r="CD30" s="126"/>
      <c r="CE30" s="143"/>
      <c r="CF30" s="119"/>
      <c r="CG30" s="155" t="s">
        <v>407</v>
      </c>
      <c r="CH30" s="156">
        <v>2</v>
      </c>
      <c r="CI30" s="157">
        <v>0</v>
      </c>
      <c r="CJ30" s="158">
        <v>7.9</v>
      </c>
      <c r="CK30" s="159">
        <v>7.55</v>
      </c>
      <c r="CL30" s="159">
        <v>9</v>
      </c>
      <c r="CM30" s="160">
        <v>9.1</v>
      </c>
      <c r="CN30" s="158">
        <v>8.15</v>
      </c>
      <c r="CO30" s="159">
        <v>5.15</v>
      </c>
      <c r="CP30" s="159">
        <v>8.15</v>
      </c>
      <c r="CQ30" s="159">
        <v>8.85</v>
      </c>
      <c r="CR30" s="159">
        <v>12.5</v>
      </c>
      <c r="CS30" s="160">
        <v>13.1</v>
      </c>
      <c r="CT30" s="161">
        <v>7.65</v>
      </c>
      <c r="CU30" s="159">
        <v>5.0999999999999996</v>
      </c>
      <c r="CV30" s="159">
        <v>7.65</v>
      </c>
      <c r="CW30" s="159">
        <v>8.65</v>
      </c>
      <c r="CX30" s="159">
        <v>12.6</v>
      </c>
      <c r="CY30" s="160">
        <v>12.85</v>
      </c>
      <c r="CZ30" s="162"/>
    </row>
    <row r="31" spans="1:107" s="105" customFormat="1">
      <c r="A31" s="107"/>
      <c r="B31" s="107"/>
      <c r="C31" s="107"/>
      <c r="D31" s="107"/>
      <c r="E31" s="548"/>
      <c r="F31" s="549"/>
      <c r="G31" s="549"/>
      <c r="H31" s="550"/>
      <c r="I31" s="540"/>
      <c r="J31" s="541"/>
      <c r="K31" s="541"/>
      <c r="L31" s="542"/>
      <c r="M31" s="540"/>
      <c r="N31" s="541"/>
      <c r="O31" s="541"/>
      <c r="P31" s="542"/>
      <c r="Q31" s="540"/>
      <c r="R31" s="541"/>
      <c r="S31" s="541"/>
      <c r="T31" s="542"/>
      <c r="U31" s="540"/>
      <c r="V31" s="541"/>
      <c r="W31" s="541"/>
      <c r="X31" s="542"/>
      <c r="Y31" s="540"/>
      <c r="Z31" s="541"/>
      <c r="AA31" s="541"/>
      <c r="AB31" s="542"/>
      <c r="AC31" s="540"/>
      <c r="AD31" s="541"/>
      <c r="AE31" s="541"/>
      <c r="AF31" s="542"/>
      <c r="AG31" s="540"/>
      <c r="AH31" s="541"/>
      <c r="AI31" s="541"/>
      <c r="AJ31" s="542"/>
      <c r="AK31" s="540"/>
      <c r="AL31" s="541"/>
      <c r="AM31" s="541"/>
      <c r="AN31" s="542"/>
      <c r="AO31" s="540"/>
      <c r="AP31" s="541"/>
      <c r="AQ31" s="541"/>
      <c r="AR31" s="542"/>
      <c r="AS31" s="540"/>
      <c r="AT31" s="541"/>
      <c r="AU31" s="541"/>
      <c r="AV31" s="542"/>
      <c r="AW31" s="540"/>
      <c r="AX31" s="541"/>
      <c r="AY31" s="541"/>
      <c r="AZ31" s="542"/>
      <c r="BG31" s="93"/>
      <c r="BH31" s="93"/>
      <c r="BI31" s="93"/>
      <c r="BJ31" s="163">
        <v>1</v>
      </c>
      <c r="BK31" s="164">
        <v>0</v>
      </c>
      <c r="BL31" s="165">
        <v>13.77</v>
      </c>
      <c r="BM31" s="165">
        <v>14.27</v>
      </c>
      <c r="BN31" s="165">
        <v>15.77</v>
      </c>
      <c r="BO31" s="165">
        <v>16</v>
      </c>
      <c r="BP31" s="165">
        <v>16.22</v>
      </c>
      <c r="BQ31" s="165">
        <v>12.79</v>
      </c>
      <c r="BR31" s="165">
        <v>16.46</v>
      </c>
      <c r="BS31" s="165">
        <v>16.72</v>
      </c>
      <c r="BT31" s="165">
        <v>18.260000000000002</v>
      </c>
      <c r="BU31" s="165">
        <v>22.22</v>
      </c>
      <c r="BV31" s="165">
        <v>19</v>
      </c>
      <c r="BW31" s="165">
        <v>15.95</v>
      </c>
      <c r="BX31" s="165">
        <v>19.13</v>
      </c>
      <c r="BY31" s="165">
        <v>21.41</v>
      </c>
      <c r="BZ31" s="165">
        <v>23.35</v>
      </c>
      <c r="CA31" s="165">
        <v>25.5</v>
      </c>
      <c r="CB31" s="163"/>
      <c r="CC31" s="126"/>
      <c r="CD31" s="126"/>
      <c r="CE31" s="143"/>
      <c r="CF31" s="119"/>
      <c r="CG31" s="166" t="s">
        <v>408</v>
      </c>
      <c r="CH31" s="167">
        <v>3</v>
      </c>
      <c r="CI31" s="157">
        <v>0</v>
      </c>
      <c r="CJ31" s="158">
        <v>2.2999999999999998</v>
      </c>
      <c r="CK31" s="159">
        <v>3.55</v>
      </c>
      <c r="CL31" s="159">
        <v>4.8</v>
      </c>
      <c r="CM31" s="160">
        <v>4.8499999999999996</v>
      </c>
      <c r="CN31" s="158">
        <v>4.45</v>
      </c>
      <c r="CO31" s="159">
        <v>3.55</v>
      </c>
      <c r="CP31" s="159">
        <v>4.45</v>
      </c>
      <c r="CQ31" s="159">
        <v>5.55</v>
      </c>
      <c r="CR31" s="159">
        <v>8.1</v>
      </c>
      <c r="CS31" s="160">
        <v>8.4499999999999993</v>
      </c>
      <c r="CT31" s="161">
        <v>4.45</v>
      </c>
      <c r="CU31" s="159">
        <v>3.8</v>
      </c>
      <c r="CV31" s="159">
        <v>4.45</v>
      </c>
      <c r="CW31" s="159">
        <v>4.95</v>
      </c>
      <c r="CX31" s="159">
        <v>7.3</v>
      </c>
      <c r="CY31" s="160">
        <v>8.15</v>
      </c>
      <c r="CZ31" s="168"/>
      <c r="DA31" s="90"/>
      <c r="DB31" s="91"/>
      <c r="DC31" s="91"/>
    </row>
    <row r="32" spans="1:107">
      <c r="A32" s="107"/>
      <c r="B32" s="107"/>
      <c r="C32" s="107"/>
      <c r="D32" s="107"/>
      <c r="E32" s="551"/>
      <c r="F32" s="552"/>
      <c r="G32" s="552"/>
      <c r="H32" s="553"/>
      <c r="I32" s="545"/>
      <c r="J32" s="546"/>
      <c r="K32" s="546"/>
      <c r="L32" s="547"/>
      <c r="M32" s="545"/>
      <c r="N32" s="546"/>
      <c r="O32" s="546"/>
      <c r="P32" s="547"/>
      <c r="Q32" s="545"/>
      <c r="R32" s="546"/>
      <c r="S32" s="546"/>
      <c r="T32" s="547"/>
      <c r="U32" s="545"/>
      <c r="V32" s="546"/>
      <c r="W32" s="546"/>
      <c r="X32" s="547"/>
      <c r="Y32" s="545"/>
      <c r="Z32" s="546"/>
      <c r="AA32" s="546"/>
      <c r="AB32" s="547"/>
      <c r="AC32" s="545"/>
      <c r="AD32" s="546"/>
      <c r="AE32" s="546"/>
      <c r="AF32" s="547"/>
      <c r="AG32" s="545"/>
      <c r="AH32" s="546"/>
      <c r="AI32" s="546"/>
      <c r="AJ32" s="547"/>
      <c r="AK32" s="545"/>
      <c r="AL32" s="546"/>
      <c r="AM32" s="546"/>
      <c r="AN32" s="547"/>
      <c r="AO32" s="545"/>
      <c r="AP32" s="546"/>
      <c r="AQ32" s="546"/>
      <c r="AR32" s="547"/>
      <c r="AS32" s="545"/>
      <c r="AT32" s="546"/>
      <c r="AU32" s="546"/>
      <c r="AV32" s="547"/>
      <c r="AW32" s="545"/>
      <c r="AX32" s="546"/>
      <c r="AY32" s="546"/>
      <c r="AZ32" s="547"/>
      <c r="BG32" s="93"/>
      <c r="BH32" s="93"/>
      <c r="BI32" s="93"/>
      <c r="BJ32" s="169">
        <v>1.5</v>
      </c>
      <c r="BK32" s="164">
        <v>0</v>
      </c>
      <c r="BL32" s="165">
        <v>14.41</v>
      </c>
      <c r="BM32" s="165">
        <v>15.26</v>
      </c>
      <c r="BN32" s="165">
        <v>17.11</v>
      </c>
      <c r="BO32" s="165">
        <v>17.36</v>
      </c>
      <c r="BP32" s="165">
        <v>17.47</v>
      </c>
      <c r="BQ32" s="165">
        <v>13.79</v>
      </c>
      <c r="BR32" s="165">
        <v>17.71</v>
      </c>
      <c r="BS32" s="165">
        <v>18.27</v>
      </c>
      <c r="BT32" s="165">
        <v>20.54</v>
      </c>
      <c r="BU32" s="165">
        <v>24.59</v>
      </c>
      <c r="BV32" s="165">
        <v>20.25</v>
      </c>
      <c r="BW32" s="165">
        <v>17</v>
      </c>
      <c r="BX32" s="165">
        <v>20.38</v>
      </c>
      <c r="BY32" s="165">
        <v>22.8</v>
      </c>
      <c r="BZ32" s="165">
        <v>25.39</v>
      </c>
      <c r="CA32" s="165">
        <v>27.78</v>
      </c>
      <c r="CB32" s="169"/>
      <c r="CC32" s="126"/>
      <c r="CD32" s="126"/>
      <c r="CE32" s="143"/>
      <c r="CF32" s="119"/>
      <c r="CG32" s="170">
        <v>2.5</v>
      </c>
      <c r="CH32" s="171">
        <v>4</v>
      </c>
      <c r="CI32" s="157">
        <v>0</v>
      </c>
      <c r="CJ32" s="158">
        <v>2.25</v>
      </c>
      <c r="CK32" s="159">
        <v>3.5</v>
      </c>
      <c r="CL32" s="159">
        <v>4.75</v>
      </c>
      <c r="CM32" s="160">
        <v>4.8</v>
      </c>
      <c r="CN32" s="158">
        <v>14.25</v>
      </c>
      <c r="CO32" s="159">
        <v>15.6</v>
      </c>
      <c r="CP32" s="159">
        <v>13.95</v>
      </c>
      <c r="CQ32" s="159">
        <v>20.5</v>
      </c>
      <c r="CR32" s="159">
        <v>23.85</v>
      </c>
      <c r="CS32" s="160">
        <v>19.25</v>
      </c>
      <c r="CT32" s="161">
        <v>4.4000000000000004</v>
      </c>
      <c r="CU32" s="159">
        <v>3.8</v>
      </c>
      <c r="CV32" s="159">
        <v>4.45</v>
      </c>
      <c r="CW32" s="159">
        <v>4.95</v>
      </c>
      <c r="CX32" s="159">
        <v>7.3</v>
      </c>
      <c r="CY32" s="160">
        <v>8.15</v>
      </c>
      <c r="CZ32" s="172"/>
    </row>
    <row r="33" spans="1:107" s="105" customFormat="1">
      <c r="A33" s="107"/>
      <c r="B33" s="107"/>
      <c r="C33" s="107"/>
      <c r="D33" s="107"/>
      <c r="E33" s="548"/>
      <c r="F33" s="549"/>
      <c r="G33" s="549"/>
      <c r="H33" s="550"/>
      <c r="I33" s="540"/>
      <c r="J33" s="541"/>
      <c r="K33" s="541"/>
      <c r="L33" s="542"/>
      <c r="M33" s="540"/>
      <c r="N33" s="541"/>
      <c r="O33" s="541"/>
      <c r="P33" s="542"/>
      <c r="Q33" s="540"/>
      <c r="R33" s="541"/>
      <c r="S33" s="541"/>
      <c r="T33" s="542"/>
      <c r="U33" s="540"/>
      <c r="V33" s="541"/>
      <c r="W33" s="541"/>
      <c r="X33" s="542"/>
      <c r="Y33" s="540"/>
      <c r="Z33" s="541"/>
      <c r="AA33" s="541"/>
      <c r="AB33" s="542"/>
      <c r="AC33" s="540"/>
      <c r="AD33" s="541"/>
      <c r="AE33" s="541"/>
      <c r="AF33" s="542"/>
      <c r="AG33" s="540"/>
      <c r="AH33" s="541"/>
      <c r="AI33" s="541"/>
      <c r="AJ33" s="542"/>
      <c r="AK33" s="540"/>
      <c r="AL33" s="541"/>
      <c r="AM33" s="541"/>
      <c r="AN33" s="542"/>
      <c r="AO33" s="540"/>
      <c r="AP33" s="541"/>
      <c r="AQ33" s="541"/>
      <c r="AR33" s="542"/>
      <c r="AS33" s="540"/>
      <c r="AT33" s="541"/>
      <c r="AU33" s="541"/>
      <c r="AV33" s="542"/>
      <c r="AW33" s="540"/>
      <c r="AX33" s="541"/>
      <c r="AY33" s="541"/>
      <c r="AZ33" s="542"/>
      <c r="BG33" s="93"/>
      <c r="BH33" s="93"/>
      <c r="BI33" s="93"/>
      <c r="BJ33" s="169">
        <v>2</v>
      </c>
      <c r="BK33" s="164">
        <v>0</v>
      </c>
      <c r="BL33" s="165">
        <v>15.06</v>
      </c>
      <c r="BM33" s="165">
        <v>16.260000000000002</v>
      </c>
      <c r="BN33" s="165">
        <v>18.46</v>
      </c>
      <c r="BO33" s="165">
        <v>18.72</v>
      </c>
      <c r="BP33" s="165">
        <v>18.73</v>
      </c>
      <c r="BQ33" s="165">
        <v>14.78</v>
      </c>
      <c r="BR33" s="165">
        <v>18.97</v>
      </c>
      <c r="BS33" s="165">
        <v>19.82</v>
      </c>
      <c r="BT33" s="165">
        <v>22.81</v>
      </c>
      <c r="BU33" s="165">
        <v>26.96</v>
      </c>
      <c r="BV33" s="165">
        <v>21.51</v>
      </c>
      <c r="BW33" s="165">
        <v>18.059999999999999</v>
      </c>
      <c r="BX33" s="165">
        <v>21.64</v>
      </c>
      <c r="BY33" s="165">
        <v>24.18</v>
      </c>
      <c r="BZ33" s="165">
        <v>27.44</v>
      </c>
      <c r="CA33" s="165">
        <v>30.07</v>
      </c>
      <c r="CB33" s="169"/>
      <c r="CC33" s="126"/>
      <c r="CD33" s="126"/>
      <c r="CE33" s="143"/>
      <c r="CF33" s="119"/>
      <c r="CG33" s="173" t="s">
        <v>409</v>
      </c>
      <c r="CH33" s="174">
        <v>5</v>
      </c>
      <c r="CI33" s="157">
        <v>0</v>
      </c>
      <c r="CJ33" s="158">
        <v>1.95</v>
      </c>
      <c r="CK33" s="159">
        <v>2.95</v>
      </c>
      <c r="CL33" s="159">
        <v>4.25</v>
      </c>
      <c r="CM33" s="160">
        <v>4.3</v>
      </c>
      <c r="CN33" s="158">
        <v>3.95</v>
      </c>
      <c r="CO33" s="159">
        <v>3.45</v>
      </c>
      <c r="CP33" s="159">
        <v>4.0999999999999996</v>
      </c>
      <c r="CQ33" s="159">
        <v>5.0999999999999996</v>
      </c>
      <c r="CR33" s="159">
        <v>7.2</v>
      </c>
      <c r="CS33" s="160">
        <v>8.0500000000000007</v>
      </c>
      <c r="CT33" s="161">
        <v>3.95</v>
      </c>
      <c r="CU33" s="159">
        <v>3.45</v>
      </c>
      <c r="CV33" s="159">
        <v>4.0999999999999996</v>
      </c>
      <c r="CW33" s="159">
        <v>5.0999999999999996</v>
      </c>
      <c r="CX33" s="159">
        <v>7.2</v>
      </c>
      <c r="CY33" s="160">
        <v>8.0500000000000007</v>
      </c>
      <c r="CZ33" s="175"/>
      <c r="DA33" s="90"/>
      <c r="DB33" s="91"/>
      <c r="DC33" s="91"/>
    </row>
    <row r="34" spans="1:107">
      <c r="A34" s="107"/>
      <c r="B34" s="107"/>
      <c r="C34" s="107"/>
      <c r="D34" s="107"/>
      <c r="E34" s="551"/>
      <c r="F34" s="552"/>
      <c r="G34" s="552"/>
      <c r="H34" s="553"/>
      <c r="I34" s="545"/>
      <c r="J34" s="546"/>
      <c r="K34" s="546"/>
      <c r="L34" s="547"/>
      <c r="M34" s="545"/>
      <c r="N34" s="546"/>
      <c r="O34" s="546"/>
      <c r="P34" s="547"/>
      <c r="Q34" s="545"/>
      <c r="R34" s="546"/>
      <c r="S34" s="546"/>
      <c r="T34" s="547"/>
      <c r="U34" s="545"/>
      <c r="V34" s="546"/>
      <c r="W34" s="546"/>
      <c r="X34" s="547"/>
      <c r="Y34" s="545"/>
      <c r="Z34" s="546"/>
      <c r="AA34" s="546"/>
      <c r="AB34" s="547"/>
      <c r="AC34" s="545"/>
      <c r="AD34" s="546"/>
      <c r="AE34" s="546"/>
      <c r="AF34" s="547"/>
      <c r="AG34" s="545"/>
      <c r="AH34" s="546"/>
      <c r="AI34" s="546"/>
      <c r="AJ34" s="547"/>
      <c r="AK34" s="545"/>
      <c r="AL34" s="546"/>
      <c r="AM34" s="546"/>
      <c r="AN34" s="547"/>
      <c r="AO34" s="545"/>
      <c r="AP34" s="546"/>
      <c r="AQ34" s="546"/>
      <c r="AR34" s="547"/>
      <c r="AS34" s="545"/>
      <c r="AT34" s="546"/>
      <c r="AU34" s="546"/>
      <c r="AV34" s="547"/>
      <c r="AW34" s="545"/>
      <c r="AX34" s="546"/>
      <c r="AY34" s="546"/>
      <c r="AZ34" s="547"/>
      <c r="BG34" s="93"/>
      <c r="BH34" s="93"/>
      <c r="BI34" s="93"/>
      <c r="BJ34" s="176">
        <v>2.5</v>
      </c>
      <c r="BK34" s="164">
        <v>0</v>
      </c>
      <c r="BL34" s="165">
        <v>15.68</v>
      </c>
      <c r="BM34" s="165">
        <v>17.25</v>
      </c>
      <c r="BN34" s="165">
        <v>19.79</v>
      </c>
      <c r="BO34" s="165">
        <v>20.059999999999999</v>
      </c>
      <c r="BP34" s="165">
        <v>22.75</v>
      </c>
      <c r="BQ34" s="165">
        <v>19.12</v>
      </c>
      <c r="BR34" s="165">
        <v>22.89</v>
      </c>
      <c r="BS34" s="165">
        <v>25.56</v>
      </c>
      <c r="BT34" s="165">
        <v>29.48</v>
      </c>
      <c r="BU34" s="165">
        <v>32.35</v>
      </c>
      <c r="BV34" s="165">
        <v>22.75</v>
      </c>
      <c r="BW34" s="165">
        <v>19.12</v>
      </c>
      <c r="BX34" s="165">
        <v>22.89</v>
      </c>
      <c r="BY34" s="165">
        <v>25.56</v>
      </c>
      <c r="BZ34" s="165">
        <v>29.48</v>
      </c>
      <c r="CA34" s="165">
        <v>32.35</v>
      </c>
      <c r="CB34" s="176"/>
      <c r="CC34" s="126"/>
      <c r="CD34" s="126"/>
      <c r="CE34" s="143"/>
      <c r="CF34" s="119"/>
      <c r="CG34" s="177" t="s">
        <v>410</v>
      </c>
      <c r="CH34" s="178">
        <v>6</v>
      </c>
      <c r="CI34" s="157">
        <v>0</v>
      </c>
      <c r="CJ34" s="158">
        <v>1.9</v>
      </c>
      <c r="CK34" s="159">
        <v>3.1</v>
      </c>
      <c r="CL34" s="159">
        <v>4.05</v>
      </c>
      <c r="CM34" s="160">
        <v>4.1500000000000004</v>
      </c>
      <c r="CN34" s="158">
        <v>3.9</v>
      </c>
      <c r="CO34" s="159">
        <v>3.35</v>
      </c>
      <c r="CP34" s="159">
        <v>3.8</v>
      </c>
      <c r="CQ34" s="159">
        <v>5.05</v>
      </c>
      <c r="CR34" s="159">
        <v>6.9</v>
      </c>
      <c r="CS34" s="160">
        <v>7.75</v>
      </c>
      <c r="CT34" s="161">
        <v>3.9</v>
      </c>
      <c r="CU34" s="159">
        <v>3.35</v>
      </c>
      <c r="CV34" s="159">
        <v>3.8</v>
      </c>
      <c r="CW34" s="159">
        <v>5.05</v>
      </c>
      <c r="CX34" s="159">
        <v>6.9</v>
      </c>
      <c r="CY34" s="160">
        <v>7.75</v>
      </c>
      <c r="CZ34" s="179"/>
    </row>
    <row r="35" spans="1:107" s="105" customFormat="1">
      <c r="A35" s="107"/>
      <c r="B35" s="107"/>
      <c r="C35" s="107"/>
      <c r="D35" s="107"/>
      <c r="E35" s="548"/>
      <c r="F35" s="549"/>
      <c r="G35" s="549"/>
      <c r="H35" s="550"/>
      <c r="I35" s="540"/>
      <c r="J35" s="541"/>
      <c r="K35" s="541"/>
      <c r="L35" s="542"/>
      <c r="M35" s="540"/>
      <c r="N35" s="541"/>
      <c r="O35" s="541"/>
      <c r="P35" s="542"/>
      <c r="Q35" s="540"/>
      <c r="R35" s="541"/>
      <c r="S35" s="541"/>
      <c r="T35" s="542"/>
      <c r="U35" s="540"/>
      <c r="V35" s="541"/>
      <c r="W35" s="541"/>
      <c r="X35" s="542"/>
      <c r="Y35" s="540"/>
      <c r="Z35" s="541"/>
      <c r="AA35" s="541"/>
      <c r="AB35" s="542"/>
      <c r="AC35" s="540"/>
      <c r="AD35" s="541"/>
      <c r="AE35" s="541"/>
      <c r="AF35" s="542"/>
      <c r="AG35" s="540"/>
      <c r="AH35" s="541"/>
      <c r="AI35" s="541"/>
      <c r="AJ35" s="542"/>
      <c r="AK35" s="540"/>
      <c r="AL35" s="541"/>
      <c r="AM35" s="541"/>
      <c r="AN35" s="542"/>
      <c r="AO35" s="540"/>
      <c r="AP35" s="541"/>
      <c r="AQ35" s="541"/>
      <c r="AR35" s="542"/>
      <c r="AS35" s="540"/>
      <c r="AT35" s="541"/>
      <c r="AU35" s="541"/>
      <c r="AV35" s="542"/>
      <c r="AW35" s="540"/>
      <c r="AX35" s="541"/>
      <c r="AY35" s="541"/>
      <c r="AZ35" s="542"/>
      <c r="BG35" s="93"/>
      <c r="BH35" s="93"/>
      <c r="BI35" s="93"/>
      <c r="BJ35" s="180">
        <v>3</v>
      </c>
      <c r="BK35" s="164">
        <v>0</v>
      </c>
      <c r="BL35" s="165">
        <v>16.239999999999998</v>
      </c>
      <c r="BM35" s="165">
        <v>18.07</v>
      </c>
      <c r="BN35" s="165">
        <v>20.98</v>
      </c>
      <c r="BO35" s="165">
        <v>21.27</v>
      </c>
      <c r="BP35" s="165">
        <v>23.85</v>
      </c>
      <c r="BQ35" s="165">
        <v>20.09</v>
      </c>
      <c r="BR35" s="165">
        <v>24.04</v>
      </c>
      <c r="BS35" s="165">
        <v>27</v>
      </c>
      <c r="BT35" s="165">
        <v>31.5</v>
      </c>
      <c r="BU35" s="165">
        <v>34.61</v>
      </c>
      <c r="BV35" s="165">
        <v>23.85</v>
      </c>
      <c r="BW35" s="165">
        <v>20.09</v>
      </c>
      <c r="BX35" s="165">
        <v>24.04</v>
      </c>
      <c r="BY35" s="165">
        <v>27</v>
      </c>
      <c r="BZ35" s="165">
        <v>31.5</v>
      </c>
      <c r="CA35" s="165">
        <v>34.61</v>
      </c>
      <c r="CB35" s="180"/>
      <c r="CC35" s="126"/>
      <c r="CD35" s="126"/>
      <c r="CE35" s="143"/>
      <c r="CF35" s="119"/>
      <c r="CG35" s="181" t="s">
        <v>411</v>
      </c>
      <c r="CH35" s="182">
        <v>7</v>
      </c>
      <c r="CI35" s="157">
        <v>0</v>
      </c>
      <c r="CJ35" s="158">
        <v>1.2</v>
      </c>
      <c r="CK35" s="159">
        <v>2</v>
      </c>
      <c r="CL35" s="159">
        <v>3.15</v>
      </c>
      <c r="CM35" s="160">
        <v>3.2</v>
      </c>
      <c r="CN35" s="158">
        <v>3.15</v>
      </c>
      <c r="CO35" s="159">
        <v>2.5499999999999998</v>
      </c>
      <c r="CP35" s="159">
        <v>3.2</v>
      </c>
      <c r="CQ35" s="159">
        <v>4.8499999999999996</v>
      </c>
      <c r="CR35" s="159">
        <v>6.7</v>
      </c>
      <c r="CS35" s="160">
        <v>7.1</v>
      </c>
      <c r="CT35" s="161">
        <v>3.15</v>
      </c>
      <c r="CU35" s="159">
        <v>2.5499999999999998</v>
      </c>
      <c r="CV35" s="159">
        <v>3.2</v>
      </c>
      <c r="CW35" s="159">
        <v>4.8499999999999996</v>
      </c>
      <c r="CX35" s="159">
        <v>6.7</v>
      </c>
      <c r="CY35" s="160">
        <v>7.1</v>
      </c>
      <c r="CZ35" s="183"/>
      <c r="DA35" s="90"/>
      <c r="DB35" s="91"/>
      <c r="DC35" s="91"/>
    </row>
    <row r="36" spans="1:107">
      <c r="A36" s="107"/>
      <c r="B36" s="107"/>
      <c r="C36" s="107"/>
      <c r="D36" s="107"/>
      <c r="E36" s="551"/>
      <c r="F36" s="552"/>
      <c r="G36" s="552"/>
      <c r="H36" s="553"/>
      <c r="I36" s="545"/>
      <c r="J36" s="546"/>
      <c r="K36" s="546"/>
      <c r="L36" s="547"/>
      <c r="M36" s="545"/>
      <c r="N36" s="546"/>
      <c r="O36" s="546"/>
      <c r="P36" s="547"/>
      <c r="Q36" s="545"/>
      <c r="R36" s="546"/>
      <c r="S36" s="546"/>
      <c r="T36" s="547"/>
      <c r="U36" s="545"/>
      <c r="V36" s="546"/>
      <c r="W36" s="546"/>
      <c r="X36" s="547"/>
      <c r="Y36" s="545"/>
      <c r="Z36" s="546"/>
      <c r="AA36" s="546"/>
      <c r="AB36" s="547"/>
      <c r="AC36" s="545"/>
      <c r="AD36" s="546"/>
      <c r="AE36" s="546"/>
      <c r="AF36" s="547"/>
      <c r="AG36" s="545"/>
      <c r="AH36" s="546"/>
      <c r="AI36" s="546"/>
      <c r="AJ36" s="547"/>
      <c r="AK36" s="545"/>
      <c r="AL36" s="546"/>
      <c r="AM36" s="546"/>
      <c r="AN36" s="547"/>
      <c r="AO36" s="545"/>
      <c r="AP36" s="546"/>
      <c r="AQ36" s="546"/>
      <c r="AR36" s="547"/>
      <c r="AS36" s="545"/>
      <c r="AT36" s="546"/>
      <c r="AU36" s="546"/>
      <c r="AV36" s="547"/>
      <c r="AW36" s="545"/>
      <c r="AX36" s="546"/>
      <c r="AY36" s="546"/>
      <c r="AZ36" s="547"/>
      <c r="BG36" s="93"/>
      <c r="BH36" s="93"/>
      <c r="BI36" s="93"/>
      <c r="BJ36" s="180">
        <v>3.5</v>
      </c>
      <c r="BK36" s="164">
        <v>0</v>
      </c>
      <c r="BL36" s="165">
        <v>16.79</v>
      </c>
      <c r="BM36" s="165">
        <v>18.899999999999999</v>
      </c>
      <c r="BN36" s="165">
        <v>22.17</v>
      </c>
      <c r="BO36" s="165">
        <v>22.48</v>
      </c>
      <c r="BP36" s="165">
        <v>24.95</v>
      </c>
      <c r="BQ36" s="165">
        <v>21.06</v>
      </c>
      <c r="BR36" s="165">
        <v>25.19</v>
      </c>
      <c r="BS36" s="165">
        <v>28.43</v>
      </c>
      <c r="BT36" s="165">
        <v>33.51</v>
      </c>
      <c r="BU36" s="165">
        <v>36.86</v>
      </c>
      <c r="BV36" s="165">
        <v>24.95</v>
      </c>
      <c r="BW36" s="165">
        <v>21.06</v>
      </c>
      <c r="BX36" s="165">
        <v>25.19</v>
      </c>
      <c r="BY36" s="165">
        <v>28.43</v>
      </c>
      <c r="BZ36" s="165">
        <v>33.51</v>
      </c>
      <c r="CA36" s="165">
        <v>36.86</v>
      </c>
      <c r="CB36" s="180"/>
      <c r="CC36" s="126"/>
      <c r="CD36" s="126"/>
      <c r="CE36" s="143"/>
      <c r="CF36" s="119"/>
      <c r="CG36" s="184" t="s">
        <v>412</v>
      </c>
      <c r="CH36" s="185">
        <v>8</v>
      </c>
      <c r="CI36" s="157">
        <v>0</v>
      </c>
      <c r="CJ36" s="158">
        <v>1.4</v>
      </c>
      <c r="CK36" s="159">
        <v>1.95</v>
      </c>
      <c r="CL36" s="159">
        <v>3.1</v>
      </c>
      <c r="CM36" s="160">
        <v>3.15</v>
      </c>
      <c r="CN36" s="158">
        <v>3.15</v>
      </c>
      <c r="CO36" s="159">
        <v>2.5499999999999998</v>
      </c>
      <c r="CP36" s="159">
        <v>3.15</v>
      </c>
      <c r="CQ36" s="159">
        <v>4.6500000000000004</v>
      </c>
      <c r="CR36" s="159">
        <v>6.75</v>
      </c>
      <c r="CS36" s="160">
        <v>7.25</v>
      </c>
      <c r="CT36" s="161">
        <v>3.15</v>
      </c>
      <c r="CU36" s="159">
        <v>2.5499999999999998</v>
      </c>
      <c r="CV36" s="159">
        <v>3.15</v>
      </c>
      <c r="CW36" s="159">
        <v>4.6500000000000004</v>
      </c>
      <c r="CX36" s="159">
        <v>6.75</v>
      </c>
      <c r="CY36" s="160">
        <v>7.25</v>
      </c>
      <c r="CZ36" s="186"/>
    </row>
    <row r="37" spans="1:107" s="105" customFormat="1">
      <c r="A37" s="107"/>
      <c r="B37" s="107"/>
      <c r="C37" s="107"/>
      <c r="D37" s="107"/>
      <c r="E37" s="557"/>
      <c r="F37" s="558"/>
      <c r="G37" s="558"/>
      <c r="H37" s="559"/>
      <c r="I37" s="540"/>
      <c r="J37" s="541"/>
      <c r="K37" s="541"/>
      <c r="L37" s="542"/>
      <c r="M37" s="540"/>
      <c r="N37" s="541"/>
      <c r="O37" s="541"/>
      <c r="P37" s="542"/>
      <c r="Q37" s="540"/>
      <c r="R37" s="541"/>
      <c r="S37" s="541"/>
      <c r="T37" s="542"/>
      <c r="U37" s="540"/>
      <c r="V37" s="541"/>
      <c r="W37" s="541"/>
      <c r="X37" s="542"/>
      <c r="Y37" s="540"/>
      <c r="Z37" s="541"/>
      <c r="AA37" s="541"/>
      <c r="AB37" s="542"/>
      <c r="AC37" s="540"/>
      <c r="AD37" s="541"/>
      <c r="AE37" s="541"/>
      <c r="AF37" s="542"/>
      <c r="AG37" s="540"/>
      <c r="AH37" s="541"/>
      <c r="AI37" s="541"/>
      <c r="AJ37" s="542"/>
      <c r="AK37" s="540"/>
      <c r="AL37" s="541"/>
      <c r="AM37" s="541"/>
      <c r="AN37" s="542"/>
      <c r="AO37" s="540"/>
      <c r="AP37" s="541"/>
      <c r="AQ37" s="541"/>
      <c r="AR37" s="542"/>
      <c r="AS37" s="540"/>
      <c r="AT37" s="541"/>
      <c r="AU37" s="541"/>
      <c r="AV37" s="542"/>
      <c r="AW37" s="540"/>
      <c r="AX37" s="541"/>
      <c r="AY37" s="541"/>
      <c r="AZ37" s="542"/>
      <c r="BG37" s="93"/>
      <c r="BH37" s="93"/>
      <c r="BI37" s="93"/>
      <c r="BJ37" s="180">
        <v>4</v>
      </c>
      <c r="BK37" s="164">
        <v>0</v>
      </c>
      <c r="BL37" s="165">
        <v>17.34</v>
      </c>
      <c r="BM37" s="165">
        <v>19.72</v>
      </c>
      <c r="BN37" s="165">
        <v>23.37</v>
      </c>
      <c r="BO37" s="165">
        <v>23.69</v>
      </c>
      <c r="BP37" s="165">
        <v>26.05</v>
      </c>
      <c r="BQ37" s="165">
        <v>22.04</v>
      </c>
      <c r="BR37" s="165">
        <v>26.34</v>
      </c>
      <c r="BS37" s="165">
        <v>29.86</v>
      </c>
      <c r="BT37" s="165">
        <v>35.520000000000003</v>
      </c>
      <c r="BU37" s="165">
        <v>39.11</v>
      </c>
      <c r="BV37" s="165">
        <v>26.05</v>
      </c>
      <c r="BW37" s="165">
        <v>22.04</v>
      </c>
      <c r="BX37" s="165">
        <v>26.34</v>
      </c>
      <c r="BY37" s="165">
        <v>29.86</v>
      </c>
      <c r="BZ37" s="165">
        <v>35.520000000000003</v>
      </c>
      <c r="CA37" s="165">
        <v>39.11</v>
      </c>
      <c r="CB37" s="180"/>
      <c r="CC37" s="126"/>
      <c r="CD37" s="126"/>
      <c r="CE37" s="143"/>
      <c r="CF37" s="119"/>
      <c r="CG37" s="166" t="s">
        <v>413</v>
      </c>
      <c r="CH37" s="167">
        <v>9</v>
      </c>
      <c r="CI37" s="157">
        <v>0</v>
      </c>
      <c r="CJ37" s="158">
        <v>3.4</v>
      </c>
      <c r="CK37" s="159">
        <v>5</v>
      </c>
      <c r="CL37" s="159">
        <v>7.3</v>
      </c>
      <c r="CM37" s="160">
        <v>7.5</v>
      </c>
      <c r="CN37" s="158">
        <v>8</v>
      </c>
      <c r="CO37" s="159">
        <v>6.7</v>
      </c>
      <c r="CP37" s="159">
        <v>8.1</v>
      </c>
      <c r="CQ37" s="159">
        <v>12.7</v>
      </c>
      <c r="CR37" s="159">
        <v>18.5</v>
      </c>
      <c r="CS37" s="160">
        <v>19.5</v>
      </c>
      <c r="CT37" s="161">
        <v>8</v>
      </c>
      <c r="CU37" s="159">
        <v>6.7</v>
      </c>
      <c r="CV37" s="159">
        <v>8.1</v>
      </c>
      <c r="CW37" s="159">
        <v>12.7</v>
      </c>
      <c r="CX37" s="159">
        <v>18.5</v>
      </c>
      <c r="CY37" s="160">
        <v>19.5</v>
      </c>
      <c r="CZ37" s="168"/>
      <c r="DA37" s="187" t="s">
        <v>414</v>
      </c>
      <c r="DB37" s="91"/>
      <c r="DC37" s="91"/>
    </row>
    <row r="38" spans="1:107">
      <c r="A38" s="107"/>
      <c r="B38" s="107"/>
      <c r="C38" s="107"/>
      <c r="D38" s="107"/>
      <c r="E38" s="551"/>
      <c r="F38" s="552"/>
      <c r="G38" s="552"/>
      <c r="H38" s="553"/>
      <c r="I38" s="545"/>
      <c r="J38" s="546"/>
      <c r="K38" s="546"/>
      <c r="L38" s="547"/>
      <c r="M38" s="545"/>
      <c r="N38" s="546"/>
      <c r="O38" s="546"/>
      <c r="P38" s="547"/>
      <c r="Q38" s="545"/>
      <c r="R38" s="546"/>
      <c r="S38" s="546"/>
      <c r="T38" s="547"/>
      <c r="U38" s="545"/>
      <c r="V38" s="546"/>
      <c r="W38" s="546"/>
      <c r="X38" s="547"/>
      <c r="Y38" s="545"/>
      <c r="Z38" s="546"/>
      <c r="AA38" s="546"/>
      <c r="AB38" s="547"/>
      <c r="AC38" s="545"/>
      <c r="AD38" s="546"/>
      <c r="AE38" s="546"/>
      <c r="AF38" s="547"/>
      <c r="AG38" s="545"/>
      <c r="AH38" s="546"/>
      <c r="AI38" s="546"/>
      <c r="AJ38" s="547"/>
      <c r="AK38" s="545"/>
      <c r="AL38" s="546"/>
      <c r="AM38" s="546"/>
      <c r="AN38" s="547"/>
      <c r="AO38" s="545"/>
      <c r="AP38" s="546"/>
      <c r="AQ38" s="546"/>
      <c r="AR38" s="547"/>
      <c r="AS38" s="545"/>
      <c r="AT38" s="546"/>
      <c r="AU38" s="546"/>
      <c r="AV38" s="547"/>
      <c r="AW38" s="545"/>
      <c r="AX38" s="546"/>
      <c r="AY38" s="546"/>
      <c r="AZ38" s="547"/>
      <c r="BG38" s="93"/>
      <c r="BH38" s="93"/>
      <c r="BI38" s="93"/>
      <c r="BJ38" s="180">
        <v>4.5</v>
      </c>
      <c r="BK38" s="164">
        <v>0</v>
      </c>
      <c r="BL38" s="165">
        <v>17.89</v>
      </c>
      <c r="BM38" s="165">
        <v>20.54</v>
      </c>
      <c r="BN38" s="165">
        <v>24.56</v>
      </c>
      <c r="BO38" s="165">
        <v>24.9</v>
      </c>
      <c r="BP38" s="165">
        <v>27.15</v>
      </c>
      <c r="BQ38" s="165">
        <v>23.01</v>
      </c>
      <c r="BR38" s="165">
        <v>27.48</v>
      </c>
      <c r="BS38" s="165">
        <v>31.29</v>
      </c>
      <c r="BT38" s="165">
        <v>37.54</v>
      </c>
      <c r="BU38" s="165">
        <v>41.36</v>
      </c>
      <c r="BV38" s="165">
        <v>27.15</v>
      </c>
      <c r="BW38" s="165">
        <v>23.01</v>
      </c>
      <c r="BX38" s="165">
        <v>27.48</v>
      </c>
      <c r="BY38" s="165">
        <v>31.29</v>
      </c>
      <c r="BZ38" s="165">
        <v>37.54</v>
      </c>
      <c r="CA38" s="165">
        <v>41.36</v>
      </c>
      <c r="CB38" s="180"/>
      <c r="CC38" s="126"/>
      <c r="CD38" s="126"/>
      <c r="CE38" s="143"/>
      <c r="CF38" s="119"/>
      <c r="CG38" s="188" t="s">
        <v>415</v>
      </c>
      <c r="CH38" s="189">
        <v>10</v>
      </c>
      <c r="CI38" s="157">
        <v>0</v>
      </c>
      <c r="CJ38" s="158">
        <v>4.2</v>
      </c>
      <c r="CK38" s="159">
        <v>6.3</v>
      </c>
      <c r="CL38" s="159">
        <v>8.6999999999999993</v>
      </c>
      <c r="CM38" s="160">
        <v>8.6999999999999993</v>
      </c>
      <c r="CN38" s="158">
        <v>9.4</v>
      </c>
      <c r="CO38" s="159">
        <v>7.6</v>
      </c>
      <c r="CP38" s="159">
        <v>9.5</v>
      </c>
      <c r="CQ38" s="159">
        <v>14.5</v>
      </c>
      <c r="CR38" s="159">
        <v>21.1</v>
      </c>
      <c r="CS38" s="160">
        <v>22.2</v>
      </c>
      <c r="CT38" s="161">
        <v>9.4</v>
      </c>
      <c r="CU38" s="159">
        <v>7.6</v>
      </c>
      <c r="CV38" s="159">
        <v>9.5</v>
      </c>
      <c r="CW38" s="159">
        <v>14.5</v>
      </c>
      <c r="CX38" s="159">
        <v>21.1</v>
      </c>
      <c r="CY38" s="160">
        <v>22.2</v>
      </c>
      <c r="CZ38" s="190"/>
      <c r="DA38" s="187" t="s">
        <v>414</v>
      </c>
    </row>
    <row r="39" spans="1:107" s="105" customFormat="1" ht="16" thickBot="1">
      <c r="A39" s="107"/>
      <c r="B39" s="107"/>
      <c r="C39" s="107"/>
      <c r="D39" s="107"/>
      <c r="E39" s="548"/>
      <c r="F39" s="549"/>
      <c r="G39" s="549"/>
      <c r="H39" s="550"/>
      <c r="I39" s="540"/>
      <c r="J39" s="541"/>
      <c r="K39" s="541"/>
      <c r="L39" s="542"/>
      <c r="M39" s="540"/>
      <c r="N39" s="541"/>
      <c r="O39" s="541"/>
      <c r="P39" s="542"/>
      <c r="Q39" s="540"/>
      <c r="R39" s="541"/>
      <c r="S39" s="541"/>
      <c r="T39" s="542"/>
      <c r="U39" s="540"/>
      <c r="V39" s="541"/>
      <c r="W39" s="541"/>
      <c r="X39" s="542"/>
      <c r="Y39" s="540"/>
      <c r="Z39" s="541"/>
      <c r="AA39" s="541"/>
      <c r="AB39" s="542"/>
      <c r="AC39" s="540"/>
      <c r="AD39" s="541"/>
      <c r="AE39" s="541"/>
      <c r="AF39" s="542"/>
      <c r="AG39" s="540"/>
      <c r="AH39" s="541"/>
      <c r="AI39" s="541"/>
      <c r="AJ39" s="542"/>
      <c r="AK39" s="540"/>
      <c r="AL39" s="541"/>
      <c r="AM39" s="541"/>
      <c r="AN39" s="542"/>
      <c r="AO39" s="540"/>
      <c r="AP39" s="541"/>
      <c r="AQ39" s="541"/>
      <c r="AR39" s="542"/>
      <c r="AS39" s="540"/>
      <c r="AT39" s="541"/>
      <c r="AU39" s="541"/>
      <c r="AV39" s="542"/>
      <c r="AW39" s="540"/>
      <c r="AX39" s="541"/>
      <c r="AY39" s="541"/>
      <c r="AZ39" s="542"/>
      <c r="BG39" s="93"/>
      <c r="BH39" s="93"/>
      <c r="BI39" s="93"/>
      <c r="BJ39" s="180">
        <v>5</v>
      </c>
      <c r="BK39" s="164">
        <v>0</v>
      </c>
      <c r="BL39" s="165">
        <v>18.440000000000001</v>
      </c>
      <c r="BM39" s="165">
        <v>21.36</v>
      </c>
      <c r="BN39" s="165">
        <v>25.75</v>
      </c>
      <c r="BO39" s="165">
        <v>26.11</v>
      </c>
      <c r="BP39" s="165">
        <v>28.26</v>
      </c>
      <c r="BQ39" s="165">
        <v>23.98</v>
      </c>
      <c r="BR39" s="165">
        <v>28.63</v>
      </c>
      <c r="BS39" s="165">
        <v>32.72</v>
      </c>
      <c r="BT39" s="165">
        <v>39.549999999999997</v>
      </c>
      <c r="BU39" s="165">
        <v>43.61</v>
      </c>
      <c r="BV39" s="165">
        <v>28.26</v>
      </c>
      <c r="BW39" s="165">
        <v>23.98</v>
      </c>
      <c r="BX39" s="165">
        <v>28.63</v>
      </c>
      <c r="BY39" s="165">
        <v>32.72</v>
      </c>
      <c r="BZ39" s="165">
        <v>39.549999999999997</v>
      </c>
      <c r="CA39" s="165">
        <v>43.61</v>
      </c>
      <c r="CB39" s="180"/>
      <c r="CC39" s="126"/>
      <c r="CD39" s="126"/>
      <c r="CE39" s="143"/>
      <c r="CF39" s="119"/>
      <c r="CG39" s="191" t="s">
        <v>416</v>
      </c>
      <c r="CH39" s="192">
        <v>11</v>
      </c>
      <c r="CI39" s="193">
        <v>0</v>
      </c>
      <c r="CJ39" s="194">
        <v>4.6000000000000005</v>
      </c>
      <c r="CK39" s="195">
        <v>6.9</v>
      </c>
      <c r="CL39" s="195">
        <v>9.6000000000000014</v>
      </c>
      <c r="CM39" s="196">
        <v>9.6000000000000014</v>
      </c>
      <c r="CN39" s="194">
        <v>10.350000000000001</v>
      </c>
      <c r="CO39" s="195">
        <v>8.3000000000000007</v>
      </c>
      <c r="CP39" s="195">
        <v>10.450000000000001</v>
      </c>
      <c r="CQ39" s="195">
        <v>15.9</v>
      </c>
      <c r="CR39" s="195">
        <v>23.200000000000003</v>
      </c>
      <c r="CS39" s="196">
        <v>24.400000000000002</v>
      </c>
      <c r="CT39" s="197">
        <v>10.350000000000001</v>
      </c>
      <c r="CU39" s="195">
        <v>8.3000000000000007</v>
      </c>
      <c r="CV39" s="195">
        <v>10.450000000000001</v>
      </c>
      <c r="CW39" s="195">
        <v>15.9</v>
      </c>
      <c r="CX39" s="195">
        <v>23.200000000000003</v>
      </c>
      <c r="CY39" s="196">
        <v>24.400000000000002</v>
      </c>
      <c r="CZ39" s="198"/>
      <c r="DA39" s="187" t="s">
        <v>414</v>
      </c>
      <c r="DB39" s="91"/>
      <c r="DC39" s="91"/>
    </row>
    <row r="40" spans="1:107" ht="16" thickBot="1">
      <c r="A40" s="107"/>
      <c r="B40" s="107"/>
      <c r="C40" s="107"/>
      <c r="D40" s="107"/>
      <c r="E40" s="551"/>
      <c r="F40" s="552"/>
      <c r="G40" s="552"/>
      <c r="H40" s="553"/>
      <c r="I40" s="545"/>
      <c r="J40" s="546"/>
      <c r="K40" s="546"/>
      <c r="L40" s="547"/>
      <c r="M40" s="545"/>
      <c r="N40" s="546"/>
      <c r="O40" s="546"/>
      <c r="P40" s="547"/>
      <c r="Q40" s="545"/>
      <c r="R40" s="546"/>
      <c r="S40" s="546"/>
      <c r="T40" s="547"/>
      <c r="U40" s="545"/>
      <c r="V40" s="546"/>
      <c r="W40" s="546"/>
      <c r="X40" s="547"/>
      <c r="Y40" s="545"/>
      <c r="Z40" s="546"/>
      <c r="AA40" s="546"/>
      <c r="AB40" s="547"/>
      <c r="AC40" s="545"/>
      <c r="AD40" s="546"/>
      <c r="AE40" s="546"/>
      <c r="AF40" s="547"/>
      <c r="AG40" s="545"/>
      <c r="AH40" s="546"/>
      <c r="AI40" s="546"/>
      <c r="AJ40" s="547"/>
      <c r="AK40" s="545"/>
      <c r="AL40" s="546"/>
      <c r="AM40" s="546"/>
      <c r="AN40" s="547"/>
      <c r="AO40" s="545"/>
      <c r="AP40" s="546"/>
      <c r="AQ40" s="546"/>
      <c r="AR40" s="547"/>
      <c r="AS40" s="545"/>
      <c r="AT40" s="546"/>
      <c r="AU40" s="546"/>
      <c r="AV40" s="547"/>
      <c r="AW40" s="545"/>
      <c r="AX40" s="546"/>
      <c r="AY40" s="546"/>
      <c r="AZ40" s="547"/>
      <c r="BG40" s="93"/>
      <c r="BH40" s="93"/>
      <c r="BI40" s="93"/>
      <c r="BJ40" s="199">
        <v>5.5</v>
      </c>
      <c r="BK40" s="164">
        <v>0</v>
      </c>
      <c r="BL40" s="165">
        <v>18.98</v>
      </c>
      <c r="BM40" s="165">
        <v>22.23</v>
      </c>
      <c r="BN40" s="165">
        <v>26.89</v>
      </c>
      <c r="BO40" s="165">
        <v>27.27</v>
      </c>
      <c r="BP40" s="165">
        <v>29.34</v>
      </c>
      <c r="BQ40" s="165">
        <v>24.92</v>
      </c>
      <c r="BR40" s="165">
        <v>29.69</v>
      </c>
      <c r="BS40" s="165">
        <v>34.14</v>
      </c>
      <c r="BT40" s="165">
        <v>41.49</v>
      </c>
      <c r="BU40" s="165">
        <v>45.79</v>
      </c>
      <c r="BV40" s="165">
        <v>29.34</v>
      </c>
      <c r="BW40" s="165">
        <v>24.92</v>
      </c>
      <c r="BX40" s="165">
        <v>29.69</v>
      </c>
      <c r="BY40" s="165">
        <v>34.14</v>
      </c>
      <c r="BZ40" s="165">
        <v>41.49</v>
      </c>
      <c r="CA40" s="165">
        <v>45.79</v>
      </c>
      <c r="CB40" s="199"/>
      <c r="CC40" s="126"/>
      <c r="CD40" s="126"/>
      <c r="CE40" s="143"/>
      <c r="CF40" s="119"/>
      <c r="CG40" s="119"/>
      <c r="CH40" s="119"/>
      <c r="CI40" s="119"/>
      <c r="CJ40" s="119"/>
      <c r="CK40" s="119"/>
      <c r="CL40" s="119"/>
      <c r="CM40" s="119"/>
      <c r="CN40" s="119"/>
      <c r="CO40" s="119"/>
      <c r="CP40" s="119"/>
      <c r="CQ40" s="119"/>
      <c r="CR40" s="119"/>
      <c r="CS40" s="119"/>
      <c r="CT40" s="119"/>
      <c r="CU40" s="119"/>
      <c r="CV40" s="119"/>
      <c r="CW40" s="119"/>
      <c r="CX40" s="119"/>
      <c r="CY40" s="119"/>
      <c r="CZ40" s="119"/>
    </row>
    <row r="41" spans="1:107" s="105" customFormat="1" ht="17" thickBot="1">
      <c r="A41" s="107"/>
      <c r="B41" s="107"/>
      <c r="C41" s="107"/>
      <c r="D41" s="107"/>
      <c r="E41" s="548"/>
      <c r="F41" s="549"/>
      <c r="G41" s="549"/>
      <c r="H41" s="550"/>
      <c r="I41" s="540"/>
      <c r="J41" s="541"/>
      <c r="K41" s="541"/>
      <c r="L41" s="542"/>
      <c r="M41" s="540"/>
      <c r="N41" s="541"/>
      <c r="O41" s="541"/>
      <c r="P41" s="542"/>
      <c r="Q41" s="540"/>
      <c r="R41" s="541"/>
      <c r="S41" s="541"/>
      <c r="T41" s="542"/>
      <c r="U41" s="540"/>
      <c r="V41" s="541"/>
      <c r="W41" s="541"/>
      <c r="X41" s="542"/>
      <c r="Y41" s="540"/>
      <c r="Z41" s="541"/>
      <c r="AA41" s="541"/>
      <c r="AB41" s="542"/>
      <c r="AC41" s="540"/>
      <c r="AD41" s="541"/>
      <c r="AE41" s="541"/>
      <c r="AF41" s="542"/>
      <c r="AG41" s="540"/>
      <c r="AH41" s="541"/>
      <c r="AI41" s="541"/>
      <c r="AJ41" s="542"/>
      <c r="AK41" s="540"/>
      <c r="AL41" s="541"/>
      <c r="AM41" s="541"/>
      <c r="AN41" s="542"/>
      <c r="AO41" s="540"/>
      <c r="AP41" s="541"/>
      <c r="AQ41" s="541"/>
      <c r="AR41" s="542"/>
      <c r="AS41" s="540"/>
      <c r="AT41" s="541"/>
      <c r="AU41" s="541"/>
      <c r="AV41" s="542"/>
      <c r="AW41" s="540"/>
      <c r="AX41" s="541"/>
      <c r="AY41" s="541"/>
      <c r="AZ41" s="542"/>
      <c r="BG41" s="93"/>
      <c r="BH41" s="93"/>
      <c r="BI41" s="93"/>
      <c r="BJ41" s="199">
        <v>6</v>
      </c>
      <c r="BK41" s="164">
        <v>0</v>
      </c>
      <c r="BL41" s="165">
        <v>19.52</v>
      </c>
      <c r="BM41" s="165">
        <v>23.1</v>
      </c>
      <c r="BN41" s="165">
        <v>28.02</v>
      </c>
      <c r="BO41" s="165">
        <v>28.44</v>
      </c>
      <c r="BP41" s="165">
        <v>30.43</v>
      </c>
      <c r="BQ41" s="165">
        <v>25.86</v>
      </c>
      <c r="BR41" s="165">
        <v>30.75</v>
      </c>
      <c r="BS41" s="165">
        <v>35.549999999999997</v>
      </c>
      <c r="BT41" s="165">
        <v>43.43</v>
      </c>
      <c r="BU41" s="165">
        <v>47.96</v>
      </c>
      <c r="BV41" s="165">
        <v>30.43</v>
      </c>
      <c r="BW41" s="165">
        <v>25.86</v>
      </c>
      <c r="BX41" s="165">
        <v>30.75</v>
      </c>
      <c r="BY41" s="165">
        <v>35.549999999999997</v>
      </c>
      <c r="BZ41" s="165">
        <v>43.43</v>
      </c>
      <c r="CA41" s="165">
        <v>47.96</v>
      </c>
      <c r="CB41" s="199"/>
      <c r="CC41" s="126"/>
      <c r="CD41" s="126"/>
      <c r="CE41" s="143"/>
      <c r="CF41" s="119"/>
      <c r="CG41" s="129" t="s">
        <v>417</v>
      </c>
      <c r="CH41" s="130" t="s">
        <v>418</v>
      </c>
      <c r="CI41" s="131">
        <v>0</v>
      </c>
      <c r="CJ41" s="132">
        <v>1</v>
      </c>
      <c r="CK41" s="133">
        <v>2</v>
      </c>
      <c r="CL41" s="133">
        <v>3</v>
      </c>
      <c r="CM41" s="134">
        <v>4</v>
      </c>
      <c r="CN41" s="132">
        <v>5</v>
      </c>
      <c r="CO41" s="133">
        <v>6</v>
      </c>
      <c r="CP41" s="133">
        <v>7</v>
      </c>
      <c r="CQ41" s="133">
        <v>8</v>
      </c>
      <c r="CR41" s="133">
        <v>9</v>
      </c>
      <c r="CS41" s="134">
        <v>10</v>
      </c>
      <c r="CT41" s="135">
        <v>5</v>
      </c>
      <c r="CU41" s="133">
        <v>6</v>
      </c>
      <c r="CV41" s="133">
        <v>7</v>
      </c>
      <c r="CW41" s="133">
        <v>8</v>
      </c>
      <c r="CX41" s="133">
        <v>9</v>
      </c>
      <c r="CY41" s="134">
        <v>10</v>
      </c>
      <c r="CZ41" s="136"/>
      <c r="DA41" s="90"/>
      <c r="DB41" s="91"/>
      <c r="DC41" s="91"/>
    </row>
    <row r="42" spans="1:107">
      <c r="A42" s="107"/>
      <c r="B42" s="107"/>
      <c r="C42" s="107"/>
      <c r="D42" s="107"/>
      <c r="E42" s="551"/>
      <c r="F42" s="552"/>
      <c r="G42" s="552"/>
      <c r="H42" s="553"/>
      <c r="I42" s="545"/>
      <c r="J42" s="546"/>
      <c r="K42" s="546"/>
      <c r="L42" s="547"/>
      <c r="M42" s="545"/>
      <c r="N42" s="546"/>
      <c r="O42" s="546"/>
      <c r="P42" s="547"/>
      <c r="Q42" s="545"/>
      <c r="R42" s="546"/>
      <c r="S42" s="546"/>
      <c r="T42" s="547"/>
      <c r="U42" s="545"/>
      <c r="V42" s="546"/>
      <c r="W42" s="546"/>
      <c r="X42" s="547"/>
      <c r="Y42" s="545"/>
      <c r="Z42" s="546"/>
      <c r="AA42" s="546"/>
      <c r="AB42" s="547"/>
      <c r="AC42" s="545"/>
      <c r="AD42" s="546"/>
      <c r="AE42" s="546"/>
      <c r="AF42" s="547"/>
      <c r="AG42" s="545"/>
      <c r="AH42" s="546"/>
      <c r="AI42" s="546"/>
      <c r="AJ42" s="547"/>
      <c r="AK42" s="545"/>
      <c r="AL42" s="546"/>
      <c r="AM42" s="546"/>
      <c r="AN42" s="547"/>
      <c r="AO42" s="545"/>
      <c r="AP42" s="546"/>
      <c r="AQ42" s="546"/>
      <c r="AR42" s="547"/>
      <c r="AS42" s="545"/>
      <c r="AT42" s="546"/>
      <c r="AU42" s="546"/>
      <c r="AV42" s="547"/>
      <c r="AW42" s="545"/>
      <c r="AX42" s="546"/>
      <c r="AY42" s="546"/>
      <c r="AZ42" s="547"/>
      <c r="BG42" s="93"/>
      <c r="BH42" s="93"/>
      <c r="BI42" s="93"/>
      <c r="BJ42" s="199">
        <v>6.5</v>
      </c>
      <c r="BK42" s="164">
        <v>0</v>
      </c>
      <c r="BL42" s="165">
        <v>20.059999999999999</v>
      </c>
      <c r="BM42" s="165">
        <v>23.96</v>
      </c>
      <c r="BN42" s="165">
        <v>29.16</v>
      </c>
      <c r="BO42" s="165">
        <v>29.6</v>
      </c>
      <c r="BP42" s="165">
        <v>31.52</v>
      </c>
      <c r="BQ42" s="165">
        <v>26.8</v>
      </c>
      <c r="BR42" s="165">
        <v>31.8</v>
      </c>
      <c r="BS42" s="165">
        <v>36.97</v>
      </c>
      <c r="BT42" s="165">
        <v>45.37</v>
      </c>
      <c r="BU42" s="165">
        <v>50.14</v>
      </c>
      <c r="BV42" s="165">
        <v>31.52</v>
      </c>
      <c r="BW42" s="165">
        <v>26.8</v>
      </c>
      <c r="BX42" s="165">
        <v>31.8</v>
      </c>
      <c r="BY42" s="165">
        <v>36.97</v>
      </c>
      <c r="BZ42" s="165">
        <v>45.37</v>
      </c>
      <c r="CA42" s="165">
        <v>50.14</v>
      </c>
      <c r="CB42" s="199"/>
      <c r="CC42" s="126"/>
      <c r="CD42" s="126"/>
      <c r="CE42" s="143"/>
      <c r="CF42" s="119"/>
      <c r="CG42" s="144" t="s">
        <v>406</v>
      </c>
      <c r="CH42" s="145">
        <v>1</v>
      </c>
      <c r="CI42" s="146">
        <v>0</v>
      </c>
      <c r="CJ42" s="147">
        <v>48.18</v>
      </c>
      <c r="CK42" s="148">
        <v>50.6</v>
      </c>
      <c r="CL42" s="148">
        <v>55.2</v>
      </c>
      <c r="CM42" s="149">
        <v>56.02</v>
      </c>
      <c r="CN42" s="147">
        <v>58.06</v>
      </c>
      <c r="CO42" s="148">
        <v>47.25</v>
      </c>
      <c r="CP42" s="148">
        <v>59.05</v>
      </c>
      <c r="CQ42" s="148">
        <v>59.36</v>
      </c>
      <c r="CR42" s="148">
        <v>61.49</v>
      </c>
      <c r="CS42" s="149">
        <v>77.290000000000006</v>
      </c>
      <c r="CT42" s="150">
        <v>70.2</v>
      </c>
      <c r="CU42" s="148">
        <v>60.48</v>
      </c>
      <c r="CV42" s="148">
        <v>70.75</v>
      </c>
      <c r="CW42" s="148">
        <v>79.150000000000006</v>
      </c>
      <c r="CX42" s="148">
        <v>82.56</v>
      </c>
      <c r="CY42" s="149">
        <v>91.27</v>
      </c>
      <c r="CZ42" s="151"/>
    </row>
    <row r="43" spans="1:107" s="105" customFormat="1">
      <c r="A43" s="107"/>
      <c r="B43" s="107"/>
      <c r="C43" s="107"/>
      <c r="D43" s="107"/>
      <c r="E43" s="548"/>
      <c r="F43" s="549"/>
      <c r="G43" s="549"/>
      <c r="H43" s="550"/>
      <c r="I43" s="540"/>
      <c r="J43" s="541"/>
      <c r="K43" s="541"/>
      <c r="L43" s="542"/>
      <c r="M43" s="540"/>
      <c r="N43" s="541"/>
      <c r="O43" s="541"/>
      <c r="P43" s="542"/>
      <c r="Q43" s="540"/>
      <c r="R43" s="541"/>
      <c r="S43" s="541"/>
      <c r="T43" s="542"/>
      <c r="U43" s="540"/>
      <c r="V43" s="541"/>
      <c r="W43" s="541"/>
      <c r="X43" s="542"/>
      <c r="Y43" s="540"/>
      <c r="Z43" s="541"/>
      <c r="AA43" s="541"/>
      <c r="AB43" s="542"/>
      <c r="AC43" s="540"/>
      <c r="AD43" s="541"/>
      <c r="AE43" s="541"/>
      <c r="AF43" s="542"/>
      <c r="AG43" s="540"/>
      <c r="AH43" s="541"/>
      <c r="AI43" s="541"/>
      <c r="AJ43" s="542"/>
      <c r="AK43" s="540"/>
      <c r="AL43" s="541"/>
      <c r="AM43" s="541"/>
      <c r="AN43" s="542"/>
      <c r="AO43" s="540"/>
      <c r="AP43" s="541"/>
      <c r="AQ43" s="541"/>
      <c r="AR43" s="542"/>
      <c r="AS43" s="540"/>
      <c r="AT43" s="541"/>
      <c r="AU43" s="541"/>
      <c r="AV43" s="542"/>
      <c r="AW43" s="540"/>
      <c r="AX43" s="541"/>
      <c r="AY43" s="541"/>
      <c r="AZ43" s="542"/>
      <c r="BG43" s="93"/>
      <c r="BH43" s="93"/>
      <c r="BI43" s="93"/>
      <c r="BJ43" s="199">
        <v>7</v>
      </c>
      <c r="BK43" s="164">
        <v>0</v>
      </c>
      <c r="BL43" s="165">
        <v>20.6</v>
      </c>
      <c r="BM43" s="165">
        <v>24.83</v>
      </c>
      <c r="BN43" s="165">
        <v>30.29</v>
      </c>
      <c r="BO43" s="165">
        <v>30.76</v>
      </c>
      <c r="BP43" s="165">
        <v>32.61</v>
      </c>
      <c r="BQ43" s="165">
        <v>27.73</v>
      </c>
      <c r="BR43" s="165">
        <v>32.86</v>
      </c>
      <c r="BS43" s="165">
        <v>38.39</v>
      </c>
      <c r="BT43" s="165">
        <v>47.31</v>
      </c>
      <c r="BU43" s="165">
        <v>52.32</v>
      </c>
      <c r="BV43" s="165">
        <v>32.61</v>
      </c>
      <c r="BW43" s="165">
        <v>27.73</v>
      </c>
      <c r="BX43" s="165">
        <v>32.86</v>
      </c>
      <c r="BY43" s="165">
        <v>38.39</v>
      </c>
      <c r="BZ43" s="165">
        <v>47.31</v>
      </c>
      <c r="CA43" s="165">
        <v>52.32</v>
      </c>
      <c r="CB43" s="199"/>
      <c r="CC43" s="126"/>
      <c r="CD43" s="126"/>
      <c r="CE43" s="143"/>
      <c r="CF43" s="119"/>
      <c r="CG43" s="155" t="s">
        <v>407</v>
      </c>
      <c r="CH43" s="156">
        <v>2</v>
      </c>
      <c r="CI43" s="157">
        <v>0</v>
      </c>
      <c r="CJ43" s="158">
        <v>9.1999999999999993</v>
      </c>
      <c r="CK43" s="159">
        <v>8.84</v>
      </c>
      <c r="CL43" s="159">
        <v>10.51</v>
      </c>
      <c r="CM43" s="160">
        <v>10.64</v>
      </c>
      <c r="CN43" s="158">
        <v>9.52</v>
      </c>
      <c r="CO43" s="159">
        <v>6.03</v>
      </c>
      <c r="CP43" s="159">
        <v>9.52</v>
      </c>
      <c r="CQ43" s="159">
        <v>10.32</v>
      </c>
      <c r="CR43" s="159">
        <v>14.61</v>
      </c>
      <c r="CS43" s="160">
        <v>15.29</v>
      </c>
      <c r="CT43" s="161">
        <v>8.9499999999999993</v>
      </c>
      <c r="CU43" s="159">
        <v>5.96</v>
      </c>
      <c r="CV43" s="159">
        <v>8.9499999999999993</v>
      </c>
      <c r="CW43" s="159">
        <v>10.06</v>
      </c>
      <c r="CX43" s="159">
        <v>14.73</v>
      </c>
      <c r="CY43" s="160">
        <v>14.98</v>
      </c>
      <c r="CZ43" s="162"/>
      <c r="DA43" s="90"/>
      <c r="DB43" s="91"/>
      <c r="DC43" s="91"/>
    </row>
    <row r="44" spans="1:107">
      <c r="A44" s="107"/>
      <c r="B44" s="107"/>
      <c r="C44" s="107"/>
      <c r="D44" s="107"/>
      <c r="E44" s="551"/>
      <c r="F44" s="552"/>
      <c r="G44" s="552"/>
      <c r="H44" s="553"/>
      <c r="I44" s="545"/>
      <c r="J44" s="546"/>
      <c r="K44" s="546"/>
      <c r="L44" s="547"/>
      <c r="M44" s="545"/>
      <c r="N44" s="546"/>
      <c r="O44" s="546"/>
      <c r="P44" s="547"/>
      <c r="Q44" s="545"/>
      <c r="R44" s="546"/>
      <c r="S44" s="546"/>
      <c r="T44" s="547"/>
      <c r="U44" s="545"/>
      <c r="V44" s="546"/>
      <c r="W44" s="546"/>
      <c r="X44" s="547"/>
      <c r="Y44" s="545"/>
      <c r="Z44" s="546"/>
      <c r="AA44" s="546"/>
      <c r="AB44" s="547"/>
      <c r="AC44" s="545"/>
      <c r="AD44" s="546"/>
      <c r="AE44" s="546"/>
      <c r="AF44" s="547"/>
      <c r="AG44" s="545"/>
      <c r="AH44" s="546"/>
      <c r="AI44" s="546"/>
      <c r="AJ44" s="547"/>
      <c r="AK44" s="545"/>
      <c r="AL44" s="546"/>
      <c r="AM44" s="546"/>
      <c r="AN44" s="547"/>
      <c r="AO44" s="545"/>
      <c r="AP44" s="546"/>
      <c r="AQ44" s="546"/>
      <c r="AR44" s="547"/>
      <c r="AS44" s="545"/>
      <c r="AT44" s="546"/>
      <c r="AU44" s="546"/>
      <c r="AV44" s="547"/>
      <c r="AW44" s="545"/>
      <c r="AX44" s="546"/>
      <c r="AY44" s="546"/>
      <c r="AZ44" s="547"/>
      <c r="BG44" s="93"/>
      <c r="BH44" s="93"/>
      <c r="BI44" s="93"/>
      <c r="BJ44" s="199">
        <v>7.5</v>
      </c>
      <c r="BK44" s="164">
        <v>0</v>
      </c>
      <c r="BL44" s="165">
        <v>21.14</v>
      </c>
      <c r="BM44" s="165">
        <v>25.7</v>
      </c>
      <c r="BN44" s="165">
        <v>31.43</v>
      </c>
      <c r="BO44" s="165">
        <v>31.93</v>
      </c>
      <c r="BP44" s="165">
        <v>33.700000000000003</v>
      </c>
      <c r="BQ44" s="165">
        <v>28.67</v>
      </c>
      <c r="BR44" s="165">
        <v>33.92</v>
      </c>
      <c r="BS44" s="165">
        <v>39.81</v>
      </c>
      <c r="BT44" s="165">
        <v>49.25</v>
      </c>
      <c r="BU44" s="165">
        <v>54.49</v>
      </c>
      <c r="BV44" s="165">
        <v>33.700000000000003</v>
      </c>
      <c r="BW44" s="165">
        <v>28.67</v>
      </c>
      <c r="BX44" s="165">
        <v>33.92</v>
      </c>
      <c r="BY44" s="165">
        <v>39.81</v>
      </c>
      <c r="BZ44" s="165">
        <v>49.25</v>
      </c>
      <c r="CA44" s="165">
        <v>54.49</v>
      </c>
      <c r="CB44" s="199"/>
      <c r="CC44" s="126"/>
      <c r="CD44" s="126"/>
      <c r="CE44" s="143"/>
      <c r="CF44" s="119"/>
      <c r="CG44" s="166" t="s">
        <v>408</v>
      </c>
      <c r="CH44" s="167">
        <v>3</v>
      </c>
      <c r="CI44" s="157">
        <v>0</v>
      </c>
      <c r="CJ44" s="158">
        <v>2.68</v>
      </c>
      <c r="CK44" s="159">
        <v>4.16</v>
      </c>
      <c r="CL44" s="159">
        <v>5.6</v>
      </c>
      <c r="CM44" s="160">
        <v>5.66</v>
      </c>
      <c r="CN44" s="158">
        <v>5.23</v>
      </c>
      <c r="CO44" s="159">
        <v>4.16</v>
      </c>
      <c r="CP44" s="159">
        <v>5.23</v>
      </c>
      <c r="CQ44" s="159">
        <v>6.46</v>
      </c>
      <c r="CR44" s="159">
        <v>9.4700000000000006</v>
      </c>
      <c r="CS44" s="160">
        <v>9.8800000000000008</v>
      </c>
      <c r="CT44" s="161">
        <v>5.23</v>
      </c>
      <c r="CU44" s="159">
        <v>4.41</v>
      </c>
      <c r="CV44" s="159">
        <v>5.23</v>
      </c>
      <c r="CW44" s="159">
        <v>5.77</v>
      </c>
      <c r="CX44" s="159">
        <v>8.52</v>
      </c>
      <c r="CY44" s="160">
        <v>9.52</v>
      </c>
      <c r="CZ44" s="168"/>
    </row>
    <row r="45" spans="1:107" s="105" customFormat="1">
      <c r="A45" s="107"/>
      <c r="B45" s="107"/>
      <c r="C45" s="107"/>
      <c r="D45" s="107"/>
      <c r="E45" s="548"/>
      <c r="F45" s="549"/>
      <c r="G45" s="549"/>
      <c r="H45" s="550"/>
      <c r="I45" s="540"/>
      <c r="J45" s="541"/>
      <c r="K45" s="541"/>
      <c r="L45" s="542"/>
      <c r="M45" s="540"/>
      <c r="N45" s="541"/>
      <c r="O45" s="541"/>
      <c r="P45" s="542"/>
      <c r="Q45" s="540"/>
      <c r="R45" s="541"/>
      <c r="S45" s="541"/>
      <c r="T45" s="542"/>
      <c r="U45" s="540"/>
      <c r="V45" s="541"/>
      <c r="W45" s="541"/>
      <c r="X45" s="542"/>
      <c r="Y45" s="540"/>
      <c r="Z45" s="541"/>
      <c r="AA45" s="541"/>
      <c r="AB45" s="542"/>
      <c r="AC45" s="540"/>
      <c r="AD45" s="541"/>
      <c r="AE45" s="541"/>
      <c r="AF45" s="542"/>
      <c r="AG45" s="540"/>
      <c r="AH45" s="541"/>
      <c r="AI45" s="541"/>
      <c r="AJ45" s="542"/>
      <c r="AK45" s="540"/>
      <c r="AL45" s="541"/>
      <c r="AM45" s="541"/>
      <c r="AN45" s="542"/>
      <c r="AO45" s="540"/>
      <c r="AP45" s="541"/>
      <c r="AQ45" s="541"/>
      <c r="AR45" s="542"/>
      <c r="AS45" s="540"/>
      <c r="AT45" s="541"/>
      <c r="AU45" s="541"/>
      <c r="AV45" s="542"/>
      <c r="AW45" s="540"/>
      <c r="AX45" s="541"/>
      <c r="AY45" s="541"/>
      <c r="AZ45" s="542"/>
      <c r="BG45" s="93"/>
      <c r="BH45" s="93"/>
      <c r="BI45" s="93"/>
      <c r="BJ45" s="199">
        <v>8</v>
      </c>
      <c r="BK45" s="164">
        <v>0</v>
      </c>
      <c r="BL45" s="165">
        <v>21.68</v>
      </c>
      <c r="BM45" s="165">
        <v>26.56</v>
      </c>
      <c r="BN45" s="165">
        <v>32.56</v>
      </c>
      <c r="BO45" s="165">
        <v>33.090000000000003</v>
      </c>
      <c r="BP45" s="165">
        <v>34.79</v>
      </c>
      <c r="BQ45" s="165">
        <v>29.61</v>
      </c>
      <c r="BR45" s="165">
        <v>34.979999999999997</v>
      </c>
      <c r="BS45" s="165">
        <v>41.23</v>
      </c>
      <c r="BT45" s="165">
        <v>51.19</v>
      </c>
      <c r="BU45" s="165">
        <v>56.67</v>
      </c>
      <c r="BV45" s="165">
        <v>34.79</v>
      </c>
      <c r="BW45" s="165">
        <v>29.61</v>
      </c>
      <c r="BX45" s="165">
        <v>34.979999999999997</v>
      </c>
      <c r="BY45" s="165">
        <v>41.23</v>
      </c>
      <c r="BZ45" s="165">
        <v>51.19</v>
      </c>
      <c r="CA45" s="165">
        <v>56.67</v>
      </c>
      <c r="CB45" s="199"/>
      <c r="CC45" s="126"/>
      <c r="CD45" s="126"/>
      <c r="CE45" s="143"/>
      <c r="CF45" s="119"/>
      <c r="CG45" s="170">
        <v>2.5</v>
      </c>
      <c r="CH45" s="171">
        <v>4</v>
      </c>
      <c r="CI45" s="157">
        <v>0</v>
      </c>
      <c r="CJ45" s="158">
        <v>2.61</v>
      </c>
      <c r="CK45" s="159">
        <v>4.1100000000000003</v>
      </c>
      <c r="CL45" s="159">
        <v>5.54</v>
      </c>
      <c r="CM45" s="160">
        <v>5.6</v>
      </c>
      <c r="CN45" s="158">
        <v>16.740000000000009</v>
      </c>
      <c r="CO45" s="159">
        <v>18.069999999999993</v>
      </c>
      <c r="CP45" s="159">
        <v>16.360000000000014</v>
      </c>
      <c r="CQ45" s="159">
        <v>23.92</v>
      </c>
      <c r="CR45" s="159">
        <v>27.810000000000002</v>
      </c>
      <c r="CS45" s="160">
        <v>22.47</v>
      </c>
      <c r="CT45" s="161">
        <v>5.17</v>
      </c>
      <c r="CU45" s="159">
        <v>4.41</v>
      </c>
      <c r="CV45" s="159">
        <v>5.23</v>
      </c>
      <c r="CW45" s="159">
        <v>5.77</v>
      </c>
      <c r="CX45" s="159">
        <v>8.52</v>
      </c>
      <c r="CY45" s="160">
        <v>9.52</v>
      </c>
      <c r="CZ45" s="172"/>
      <c r="DA45" s="90"/>
      <c r="DB45" s="91"/>
      <c r="DC45" s="91"/>
    </row>
    <row r="46" spans="1:107">
      <c r="A46" s="107"/>
      <c r="B46" s="107"/>
      <c r="C46" s="107"/>
      <c r="D46" s="107"/>
      <c r="E46" s="551"/>
      <c r="F46" s="552"/>
      <c r="G46" s="552"/>
      <c r="H46" s="553"/>
      <c r="I46" s="545"/>
      <c r="J46" s="546"/>
      <c r="K46" s="546"/>
      <c r="L46" s="547"/>
      <c r="M46" s="545"/>
      <c r="N46" s="546"/>
      <c r="O46" s="546"/>
      <c r="P46" s="547"/>
      <c r="Q46" s="545"/>
      <c r="R46" s="546"/>
      <c r="S46" s="546"/>
      <c r="T46" s="547"/>
      <c r="U46" s="545"/>
      <c r="V46" s="546"/>
      <c r="W46" s="546"/>
      <c r="X46" s="547"/>
      <c r="Y46" s="545"/>
      <c r="Z46" s="546"/>
      <c r="AA46" s="546"/>
      <c r="AB46" s="547"/>
      <c r="AC46" s="545"/>
      <c r="AD46" s="546"/>
      <c r="AE46" s="546"/>
      <c r="AF46" s="547"/>
      <c r="AG46" s="545"/>
      <c r="AH46" s="546"/>
      <c r="AI46" s="546"/>
      <c r="AJ46" s="547"/>
      <c r="AK46" s="545"/>
      <c r="AL46" s="546"/>
      <c r="AM46" s="546"/>
      <c r="AN46" s="547"/>
      <c r="AO46" s="545"/>
      <c r="AP46" s="546"/>
      <c r="AQ46" s="546"/>
      <c r="AR46" s="547"/>
      <c r="AS46" s="545"/>
      <c r="AT46" s="546"/>
      <c r="AU46" s="546"/>
      <c r="AV46" s="547"/>
      <c r="AW46" s="545"/>
      <c r="AX46" s="546"/>
      <c r="AY46" s="546"/>
      <c r="AZ46" s="547"/>
      <c r="BG46" s="93"/>
      <c r="BH46" s="93"/>
      <c r="BI46" s="93"/>
      <c r="BJ46" s="199">
        <v>8.5</v>
      </c>
      <c r="BK46" s="164">
        <v>0</v>
      </c>
      <c r="BL46" s="165">
        <v>22.22</v>
      </c>
      <c r="BM46" s="165">
        <v>27.43</v>
      </c>
      <c r="BN46" s="165">
        <v>33.700000000000003</v>
      </c>
      <c r="BO46" s="165">
        <v>34.26</v>
      </c>
      <c r="BP46" s="165">
        <v>35.880000000000003</v>
      </c>
      <c r="BQ46" s="165">
        <v>30.55</v>
      </c>
      <c r="BR46" s="165">
        <v>36.04</v>
      </c>
      <c r="BS46" s="165">
        <v>42.65</v>
      </c>
      <c r="BT46" s="165">
        <v>53.13</v>
      </c>
      <c r="BU46" s="165">
        <v>58.85</v>
      </c>
      <c r="BV46" s="165">
        <v>35.880000000000003</v>
      </c>
      <c r="BW46" s="165">
        <v>30.55</v>
      </c>
      <c r="BX46" s="165">
        <v>36.04</v>
      </c>
      <c r="BY46" s="165">
        <v>42.65</v>
      </c>
      <c r="BZ46" s="165">
        <v>53.13</v>
      </c>
      <c r="CA46" s="165">
        <v>58.85</v>
      </c>
      <c r="CB46" s="199"/>
      <c r="CC46" s="126"/>
      <c r="CD46" s="126"/>
      <c r="CE46" s="143"/>
      <c r="CF46" s="119"/>
      <c r="CG46" s="173" t="s">
        <v>409</v>
      </c>
      <c r="CH46" s="174">
        <v>5</v>
      </c>
      <c r="CI46" s="157">
        <v>0</v>
      </c>
      <c r="CJ46" s="158">
        <v>2.2999999999999998</v>
      </c>
      <c r="CK46" s="159">
        <v>3.43</v>
      </c>
      <c r="CL46" s="159">
        <v>4.97</v>
      </c>
      <c r="CM46" s="160">
        <v>5.04</v>
      </c>
      <c r="CN46" s="158">
        <v>4.59</v>
      </c>
      <c r="CO46" s="159">
        <v>4.05</v>
      </c>
      <c r="CP46" s="159">
        <v>4.78</v>
      </c>
      <c r="CQ46" s="159">
        <v>5.96</v>
      </c>
      <c r="CR46" s="159">
        <v>8.39</v>
      </c>
      <c r="CS46" s="160">
        <v>9.3800000000000008</v>
      </c>
      <c r="CT46" s="161">
        <v>4.59</v>
      </c>
      <c r="CU46" s="159">
        <v>4.05</v>
      </c>
      <c r="CV46" s="159">
        <v>4.78</v>
      </c>
      <c r="CW46" s="159">
        <v>5.96</v>
      </c>
      <c r="CX46" s="159">
        <v>8.39</v>
      </c>
      <c r="CY46" s="160">
        <v>9.3800000000000008</v>
      </c>
      <c r="CZ46" s="175"/>
    </row>
    <row r="47" spans="1:107" s="105" customFormat="1">
      <c r="A47" s="107"/>
      <c r="B47" s="107"/>
      <c r="C47" s="107"/>
      <c r="D47" s="107"/>
      <c r="E47" s="548"/>
      <c r="F47" s="549"/>
      <c r="G47" s="549"/>
      <c r="H47" s="550"/>
      <c r="I47" s="540"/>
      <c r="J47" s="541"/>
      <c r="K47" s="541"/>
      <c r="L47" s="542"/>
      <c r="M47" s="540"/>
      <c r="N47" s="541"/>
      <c r="O47" s="541"/>
      <c r="P47" s="542"/>
      <c r="Q47" s="540"/>
      <c r="R47" s="541"/>
      <c r="S47" s="541"/>
      <c r="T47" s="542"/>
      <c r="U47" s="540"/>
      <c r="V47" s="541"/>
      <c r="W47" s="541"/>
      <c r="X47" s="542"/>
      <c r="Y47" s="540"/>
      <c r="Z47" s="541"/>
      <c r="AA47" s="541"/>
      <c r="AB47" s="542"/>
      <c r="AC47" s="540"/>
      <c r="AD47" s="541"/>
      <c r="AE47" s="541"/>
      <c r="AF47" s="542"/>
      <c r="AG47" s="540"/>
      <c r="AH47" s="541"/>
      <c r="AI47" s="541"/>
      <c r="AJ47" s="542"/>
      <c r="AK47" s="540"/>
      <c r="AL47" s="541"/>
      <c r="AM47" s="541"/>
      <c r="AN47" s="542"/>
      <c r="AO47" s="540"/>
      <c r="AP47" s="541"/>
      <c r="AQ47" s="541"/>
      <c r="AR47" s="542"/>
      <c r="AS47" s="540"/>
      <c r="AT47" s="541"/>
      <c r="AU47" s="541"/>
      <c r="AV47" s="542"/>
      <c r="AW47" s="540"/>
      <c r="AX47" s="541"/>
      <c r="AY47" s="541"/>
      <c r="AZ47" s="542"/>
      <c r="BG47" s="93"/>
      <c r="BH47" s="93"/>
      <c r="BI47" s="93"/>
      <c r="BJ47" s="199">
        <v>9</v>
      </c>
      <c r="BK47" s="164">
        <v>0</v>
      </c>
      <c r="BL47" s="165">
        <v>22.76</v>
      </c>
      <c r="BM47" s="165">
        <v>28.3</v>
      </c>
      <c r="BN47" s="165">
        <v>34.83</v>
      </c>
      <c r="BO47" s="165">
        <v>35.42</v>
      </c>
      <c r="BP47" s="165">
        <v>36.97</v>
      </c>
      <c r="BQ47" s="165">
        <v>31.49</v>
      </c>
      <c r="BR47" s="165">
        <v>37.1</v>
      </c>
      <c r="BS47" s="165">
        <v>44.06</v>
      </c>
      <c r="BT47" s="165">
        <v>55.07</v>
      </c>
      <c r="BU47" s="165">
        <v>61.02</v>
      </c>
      <c r="BV47" s="165">
        <v>36.97</v>
      </c>
      <c r="BW47" s="165">
        <v>31.49</v>
      </c>
      <c r="BX47" s="165">
        <v>37.1</v>
      </c>
      <c r="BY47" s="165">
        <v>44.06</v>
      </c>
      <c r="BZ47" s="165">
        <v>55.07</v>
      </c>
      <c r="CA47" s="165">
        <v>61.02</v>
      </c>
      <c r="CB47" s="199"/>
      <c r="CC47" s="126"/>
      <c r="CD47" s="126"/>
      <c r="CE47" s="143"/>
      <c r="CF47" s="119"/>
      <c r="CG47" s="177" t="s">
        <v>410</v>
      </c>
      <c r="CH47" s="178">
        <v>6</v>
      </c>
      <c r="CI47" s="157">
        <v>0</v>
      </c>
      <c r="CJ47" s="158">
        <v>2.25</v>
      </c>
      <c r="CK47" s="159">
        <v>3.61</v>
      </c>
      <c r="CL47" s="159">
        <v>4.7300000000000004</v>
      </c>
      <c r="CM47" s="160">
        <v>4.8499999999999996</v>
      </c>
      <c r="CN47" s="158">
        <v>4.54</v>
      </c>
      <c r="CO47" s="159">
        <v>3.91</v>
      </c>
      <c r="CP47" s="159">
        <v>4.41</v>
      </c>
      <c r="CQ47" s="159">
        <v>5.91</v>
      </c>
      <c r="CR47" s="159">
        <v>8.08</v>
      </c>
      <c r="CS47" s="160">
        <v>9.07</v>
      </c>
      <c r="CT47" s="161">
        <v>4.54</v>
      </c>
      <c r="CU47" s="159">
        <v>3.91</v>
      </c>
      <c r="CV47" s="159">
        <v>4.41</v>
      </c>
      <c r="CW47" s="159">
        <v>5.91</v>
      </c>
      <c r="CX47" s="159">
        <v>8.08</v>
      </c>
      <c r="CY47" s="160">
        <v>9.07</v>
      </c>
      <c r="CZ47" s="179"/>
      <c r="DA47" s="90"/>
      <c r="DB47" s="91"/>
      <c r="DC47" s="91"/>
    </row>
    <row r="48" spans="1:107">
      <c r="A48" s="107"/>
      <c r="B48" s="107"/>
      <c r="C48" s="107"/>
      <c r="D48" s="107"/>
      <c r="E48" s="551"/>
      <c r="F48" s="552"/>
      <c r="G48" s="552"/>
      <c r="H48" s="553"/>
      <c r="I48" s="545"/>
      <c r="J48" s="546"/>
      <c r="K48" s="546"/>
      <c r="L48" s="547"/>
      <c r="M48" s="545"/>
      <c r="N48" s="546"/>
      <c r="O48" s="546"/>
      <c r="P48" s="547"/>
      <c r="Q48" s="545"/>
      <c r="R48" s="546"/>
      <c r="S48" s="546"/>
      <c r="T48" s="547"/>
      <c r="U48" s="545"/>
      <c r="V48" s="546"/>
      <c r="W48" s="546"/>
      <c r="X48" s="547"/>
      <c r="Y48" s="545"/>
      <c r="Z48" s="546"/>
      <c r="AA48" s="546"/>
      <c r="AB48" s="547"/>
      <c r="AC48" s="545"/>
      <c r="AD48" s="546"/>
      <c r="AE48" s="546"/>
      <c r="AF48" s="547"/>
      <c r="AG48" s="545"/>
      <c r="AH48" s="546"/>
      <c r="AI48" s="546"/>
      <c r="AJ48" s="547"/>
      <c r="AK48" s="545"/>
      <c r="AL48" s="546"/>
      <c r="AM48" s="546"/>
      <c r="AN48" s="547"/>
      <c r="AO48" s="545"/>
      <c r="AP48" s="546"/>
      <c r="AQ48" s="546"/>
      <c r="AR48" s="547"/>
      <c r="AS48" s="545"/>
      <c r="AT48" s="546"/>
      <c r="AU48" s="546"/>
      <c r="AV48" s="547"/>
      <c r="AW48" s="545"/>
      <c r="AX48" s="546"/>
      <c r="AY48" s="546"/>
      <c r="AZ48" s="547"/>
      <c r="BG48" s="93"/>
      <c r="BH48" s="93"/>
      <c r="BI48" s="93"/>
      <c r="BJ48" s="199">
        <v>9.5</v>
      </c>
      <c r="BK48" s="164">
        <v>0</v>
      </c>
      <c r="BL48" s="165">
        <v>23.3</v>
      </c>
      <c r="BM48" s="165">
        <v>29.16</v>
      </c>
      <c r="BN48" s="165">
        <v>35.97</v>
      </c>
      <c r="BO48" s="165">
        <v>36.58</v>
      </c>
      <c r="BP48" s="165">
        <v>38.06</v>
      </c>
      <c r="BQ48" s="165">
        <v>32.43</v>
      </c>
      <c r="BR48" s="165">
        <v>38.159999999999997</v>
      </c>
      <c r="BS48" s="165">
        <v>45.48</v>
      </c>
      <c r="BT48" s="165">
        <v>57</v>
      </c>
      <c r="BU48" s="165">
        <v>63.2</v>
      </c>
      <c r="BV48" s="165">
        <v>38.06</v>
      </c>
      <c r="BW48" s="165">
        <v>32.43</v>
      </c>
      <c r="BX48" s="165">
        <v>38.159999999999997</v>
      </c>
      <c r="BY48" s="165">
        <v>45.48</v>
      </c>
      <c r="BZ48" s="165">
        <v>57</v>
      </c>
      <c r="CA48" s="165">
        <v>63.2</v>
      </c>
      <c r="CB48" s="199"/>
      <c r="CC48" s="126"/>
      <c r="CD48" s="126"/>
      <c r="CE48" s="143"/>
      <c r="CF48" s="119"/>
      <c r="CG48" s="181" t="s">
        <v>411</v>
      </c>
      <c r="CH48" s="182">
        <v>7</v>
      </c>
      <c r="CI48" s="157">
        <v>0</v>
      </c>
      <c r="CJ48" s="158">
        <v>1.43</v>
      </c>
      <c r="CK48" s="159">
        <v>2.36</v>
      </c>
      <c r="CL48" s="159">
        <v>3.66</v>
      </c>
      <c r="CM48" s="160">
        <v>3.74</v>
      </c>
      <c r="CN48" s="158">
        <v>3.66</v>
      </c>
      <c r="CO48" s="159">
        <v>2.98</v>
      </c>
      <c r="CP48" s="159">
        <v>3.74</v>
      </c>
      <c r="CQ48" s="159">
        <v>5.66</v>
      </c>
      <c r="CR48" s="159">
        <v>7.83</v>
      </c>
      <c r="CS48" s="160">
        <v>8.26</v>
      </c>
      <c r="CT48" s="161">
        <v>3.66</v>
      </c>
      <c r="CU48" s="159">
        <v>2.98</v>
      </c>
      <c r="CV48" s="159">
        <v>3.74</v>
      </c>
      <c r="CW48" s="159">
        <v>5.66</v>
      </c>
      <c r="CX48" s="159">
        <v>7.83</v>
      </c>
      <c r="CY48" s="160">
        <v>8.26</v>
      </c>
      <c r="CZ48" s="183"/>
    </row>
    <row r="49" spans="1:107" s="105" customFormat="1">
      <c r="A49" s="107"/>
      <c r="B49" s="107"/>
      <c r="C49" s="107"/>
      <c r="D49" s="107"/>
      <c r="E49" s="548"/>
      <c r="F49" s="549"/>
      <c r="G49" s="549"/>
      <c r="H49" s="550"/>
      <c r="I49" s="540"/>
      <c r="J49" s="541"/>
      <c r="K49" s="541"/>
      <c r="L49" s="542"/>
      <c r="M49" s="540"/>
      <c r="N49" s="541"/>
      <c r="O49" s="541"/>
      <c r="P49" s="542"/>
      <c r="Q49" s="540"/>
      <c r="R49" s="541"/>
      <c r="S49" s="541"/>
      <c r="T49" s="542"/>
      <c r="U49" s="540"/>
      <c r="V49" s="541"/>
      <c r="W49" s="541"/>
      <c r="X49" s="542"/>
      <c r="Y49" s="540"/>
      <c r="Z49" s="541"/>
      <c r="AA49" s="541"/>
      <c r="AB49" s="542"/>
      <c r="AC49" s="540"/>
      <c r="AD49" s="541"/>
      <c r="AE49" s="541"/>
      <c r="AF49" s="542"/>
      <c r="AG49" s="540"/>
      <c r="AH49" s="541"/>
      <c r="AI49" s="541"/>
      <c r="AJ49" s="542"/>
      <c r="AK49" s="540"/>
      <c r="AL49" s="541"/>
      <c r="AM49" s="541"/>
      <c r="AN49" s="542"/>
      <c r="AO49" s="540"/>
      <c r="AP49" s="541"/>
      <c r="AQ49" s="541"/>
      <c r="AR49" s="542"/>
      <c r="AS49" s="540"/>
      <c r="AT49" s="541"/>
      <c r="AU49" s="541"/>
      <c r="AV49" s="542"/>
      <c r="AW49" s="540"/>
      <c r="AX49" s="541"/>
      <c r="AY49" s="541"/>
      <c r="AZ49" s="542"/>
      <c r="BG49" s="93"/>
      <c r="BH49" s="93"/>
      <c r="BI49" s="93"/>
      <c r="BJ49" s="199">
        <v>10</v>
      </c>
      <c r="BK49" s="164">
        <v>0</v>
      </c>
      <c r="BL49" s="165">
        <v>23.84</v>
      </c>
      <c r="BM49" s="165">
        <v>30.03</v>
      </c>
      <c r="BN49" s="165">
        <v>37.1</v>
      </c>
      <c r="BO49" s="165">
        <v>37.75</v>
      </c>
      <c r="BP49" s="165">
        <v>39.15</v>
      </c>
      <c r="BQ49" s="165">
        <v>33.36</v>
      </c>
      <c r="BR49" s="165">
        <v>39.21</v>
      </c>
      <c r="BS49" s="165">
        <v>46.9</v>
      </c>
      <c r="BT49" s="165">
        <v>58.94</v>
      </c>
      <c r="BU49" s="165">
        <v>65.38</v>
      </c>
      <c r="BV49" s="165">
        <v>39.15</v>
      </c>
      <c r="BW49" s="165">
        <v>33.36</v>
      </c>
      <c r="BX49" s="165">
        <v>39.21</v>
      </c>
      <c r="BY49" s="165">
        <v>46.9</v>
      </c>
      <c r="BZ49" s="165">
        <v>58.94</v>
      </c>
      <c r="CA49" s="165">
        <v>65.38</v>
      </c>
      <c r="CB49" s="199"/>
      <c r="CC49" s="126"/>
      <c r="CD49" s="126"/>
      <c r="CE49" s="143"/>
      <c r="CF49" s="119"/>
      <c r="CG49" s="184" t="s">
        <v>412</v>
      </c>
      <c r="CH49" s="185">
        <v>8</v>
      </c>
      <c r="CI49" s="157">
        <v>0</v>
      </c>
      <c r="CJ49" s="158">
        <v>1.62</v>
      </c>
      <c r="CK49" s="159">
        <v>2.2999999999999998</v>
      </c>
      <c r="CL49" s="159">
        <v>3.61</v>
      </c>
      <c r="CM49" s="160">
        <v>3.66</v>
      </c>
      <c r="CN49" s="158">
        <v>3.66</v>
      </c>
      <c r="CO49" s="159">
        <v>2.98</v>
      </c>
      <c r="CP49" s="159">
        <v>3.66</v>
      </c>
      <c r="CQ49" s="159">
        <v>5.41</v>
      </c>
      <c r="CR49" s="159">
        <v>7.9</v>
      </c>
      <c r="CS49" s="160">
        <v>8.4600000000000009</v>
      </c>
      <c r="CT49" s="161">
        <v>3.66</v>
      </c>
      <c r="CU49" s="159">
        <v>2.98</v>
      </c>
      <c r="CV49" s="159">
        <v>3.66</v>
      </c>
      <c r="CW49" s="159">
        <v>5.41</v>
      </c>
      <c r="CX49" s="159">
        <v>7.9</v>
      </c>
      <c r="CY49" s="160">
        <v>8.4600000000000009</v>
      </c>
      <c r="CZ49" s="186"/>
      <c r="DA49" s="90"/>
      <c r="DB49" s="91"/>
      <c r="DC49" s="91"/>
    </row>
    <row r="50" spans="1:107">
      <c r="A50" s="107"/>
      <c r="B50" s="107"/>
      <c r="C50" s="107"/>
      <c r="D50" s="107"/>
      <c r="E50" s="551"/>
      <c r="F50" s="552"/>
      <c r="G50" s="552"/>
      <c r="H50" s="553"/>
      <c r="I50" s="545"/>
      <c r="J50" s="546"/>
      <c r="K50" s="546"/>
      <c r="L50" s="547"/>
      <c r="M50" s="545"/>
      <c r="N50" s="546"/>
      <c r="O50" s="546"/>
      <c r="P50" s="547"/>
      <c r="Q50" s="545"/>
      <c r="R50" s="546"/>
      <c r="S50" s="546"/>
      <c r="T50" s="547"/>
      <c r="U50" s="545"/>
      <c r="V50" s="546"/>
      <c r="W50" s="546"/>
      <c r="X50" s="547"/>
      <c r="Y50" s="545"/>
      <c r="Z50" s="546"/>
      <c r="AA50" s="546"/>
      <c r="AB50" s="547"/>
      <c r="AC50" s="545"/>
      <c r="AD50" s="546"/>
      <c r="AE50" s="546"/>
      <c r="AF50" s="547"/>
      <c r="AG50" s="545"/>
      <c r="AH50" s="546"/>
      <c r="AI50" s="546"/>
      <c r="AJ50" s="547"/>
      <c r="AK50" s="545"/>
      <c r="AL50" s="546"/>
      <c r="AM50" s="546"/>
      <c r="AN50" s="547"/>
      <c r="AO50" s="545"/>
      <c r="AP50" s="546"/>
      <c r="AQ50" s="546"/>
      <c r="AR50" s="547"/>
      <c r="AS50" s="545"/>
      <c r="AT50" s="546"/>
      <c r="AU50" s="546"/>
      <c r="AV50" s="547"/>
      <c r="AW50" s="545"/>
      <c r="AX50" s="546"/>
      <c r="AY50" s="546"/>
      <c r="AZ50" s="547"/>
      <c r="BG50" s="93"/>
      <c r="BH50" s="93"/>
      <c r="BI50" s="93"/>
      <c r="BJ50" s="200">
        <v>10.5</v>
      </c>
      <c r="BK50" s="164">
        <v>0</v>
      </c>
      <c r="BL50" s="165">
        <v>24.19</v>
      </c>
      <c r="BM50" s="165">
        <v>30.6</v>
      </c>
      <c r="BN50" s="165">
        <v>37.979999999999997</v>
      </c>
      <c r="BO50" s="165">
        <v>38.64</v>
      </c>
      <c r="BP50" s="165">
        <v>40.03</v>
      </c>
      <c r="BQ50" s="165">
        <v>34.08</v>
      </c>
      <c r="BR50" s="165">
        <v>40.11</v>
      </c>
      <c r="BS50" s="165">
        <v>48.26</v>
      </c>
      <c r="BT50" s="165">
        <v>60.82</v>
      </c>
      <c r="BU50" s="165">
        <v>67.36</v>
      </c>
      <c r="BV50" s="165">
        <v>40.03</v>
      </c>
      <c r="BW50" s="165">
        <v>34.08</v>
      </c>
      <c r="BX50" s="165">
        <v>40.11</v>
      </c>
      <c r="BY50" s="165">
        <v>48.26</v>
      </c>
      <c r="BZ50" s="165">
        <v>60.82</v>
      </c>
      <c r="CA50" s="165">
        <v>67.36</v>
      </c>
      <c r="CB50" s="200"/>
      <c r="CC50" s="126"/>
      <c r="CD50" s="126"/>
      <c r="CE50" s="143"/>
      <c r="CF50" s="119"/>
      <c r="CG50" s="166" t="s">
        <v>413</v>
      </c>
      <c r="CH50" s="167">
        <v>9</v>
      </c>
      <c r="CI50" s="157">
        <v>0</v>
      </c>
      <c r="CJ50" s="158">
        <v>4</v>
      </c>
      <c r="CK50" s="159">
        <v>5.86</v>
      </c>
      <c r="CL50" s="159">
        <v>8.56</v>
      </c>
      <c r="CM50" s="160">
        <v>8.7100000000000009</v>
      </c>
      <c r="CN50" s="158">
        <v>9.33</v>
      </c>
      <c r="CO50" s="159">
        <v>7.9</v>
      </c>
      <c r="CP50" s="159">
        <v>9.4600000000000009</v>
      </c>
      <c r="CQ50" s="159">
        <v>14.89</v>
      </c>
      <c r="CR50" s="159">
        <v>21.62</v>
      </c>
      <c r="CS50" s="160">
        <v>22.75</v>
      </c>
      <c r="CT50" s="161">
        <v>9.33</v>
      </c>
      <c r="CU50" s="159">
        <v>7.9</v>
      </c>
      <c r="CV50" s="159">
        <v>9.4600000000000009</v>
      </c>
      <c r="CW50" s="159">
        <v>14.89</v>
      </c>
      <c r="CX50" s="159">
        <v>21.62</v>
      </c>
      <c r="CY50" s="160">
        <v>22.75</v>
      </c>
      <c r="CZ50" s="168"/>
      <c r="DA50" s="187" t="s">
        <v>414</v>
      </c>
    </row>
    <row r="51" spans="1:107" s="105" customFormat="1">
      <c r="A51" s="107"/>
      <c r="B51" s="107"/>
      <c r="C51" s="107"/>
      <c r="D51" s="107"/>
      <c r="E51" s="548"/>
      <c r="F51" s="549"/>
      <c r="G51" s="549"/>
      <c r="H51" s="550"/>
      <c r="I51" s="540"/>
      <c r="J51" s="541"/>
      <c r="K51" s="541"/>
      <c r="L51" s="542"/>
      <c r="M51" s="540"/>
      <c r="N51" s="541"/>
      <c r="O51" s="541"/>
      <c r="P51" s="542"/>
      <c r="Q51" s="540"/>
      <c r="R51" s="541"/>
      <c r="S51" s="541"/>
      <c r="T51" s="542"/>
      <c r="U51" s="540"/>
      <c r="V51" s="541"/>
      <c r="W51" s="541"/>
      <c r="X51" s="542"/>
      <c r="Y51" s="540"/>
      <c r="Z51" s="541"/>
      <c r="AA51" s="541"/>
      <c r="AB51" s="542"/>
      <c r="AC51" s="540"/>
      <c r="AD51" s="541"/>
      <c r="AE51" s="541"/>
      <c r="AF51" s="542"/>
      <c r="AG51" s="540"/>
      <c r="AH51" s="541"/>
      <c r="AI51" s="541"/>
      <c r="AJ51" s="542"/>
      <c r="AK51" s="540"/>
      <c r="AL51" s="541"/>
      <c r="AM51" s="541"/>
      <c r="AN51" s="542"/>
      <c r="AO51" s="540"/>
      <c r="AP51" s="541"/>
      <c r="AQ51" s="541"/>
      <c r="AR51" s="542"/>
      <c r="AS51" s="540"/>
      <c r="AT51" s="541"/>
      <c r="AU51" s="541"/>
      <c r="AV51" s="542"/>
      <c r="AW51" s="540"/>
      <c r="AX51" s="541"/>
      <c r="AY51" s="541"/>
      <c r="AZ51" s="542"/>
      <c r="BG51" s="93"/>
      <c r="BH51" s="93"/>
      <c r="BI51" s="93"/>
      <c r="BJ51" s="200">
        <v>11</v>
      </c>
      <c r="BK51" s="164">
        <v>0</v>
      </c>
      <c r="BL51" s="165">
        <v>24.53</v>
      </c>
      <c r="BM51" s="165">
        <v>31.16</v>
      </c>
      <c r="BN51" s="165">
        <v>38.86</v>
      </c>
      <c r="BO51" s="165">
        <v>39.54</v>
      </c>
      <c r="BP51" s="165">
        <v>40.909999999999997</v>
      </c>
      <c r="BQ51" s="165">
        <v>34.799999999999997</v>
      </c>
      <c r="BR51" s="165">
        <v>41.01</v>
      </c>
      <c r="BS51" s="165">
        <v>49.62</v>
      </c>
      <c r="BT51" s="165">
        <v>62.7</v>
      </c>
      <c r="BU51" s="165">
        <v>69.34</v>
      </c>
      <c r="BV51" s="165">
        <v>40.909999999999997</v>
      </c>
      <c r="BW51" s="165">
        <v>34.799999999999997</v>
      </c>
      <c r="BX51" s="165">
        <v>41.01</v>
      </c>
      <c r="BY51" s="165">
        <v>49.62</v>
      </c>
      <c r="BZ51" s="165">
        <v>62.7</v>
      </c>
      <c r="CA51" s="165">
        <v>69.34</v>
      </c>
      <c r="CB51" s="200"/>
      <c r="CC51" s="126"/>
      <c r="CD51" s="126"/>
      <c r="CE51" s="143"/>
      <c r="CF51" s="119"/>
      <c r="CG51" s="188" t="s">
        <v>415</v>
      </c>
      <c r="CH51" s="189">
        <v>10</v>
      </c>
      <c r="CI51" s="157">
        <v>0</v>
      </c>
      <c r="CJ51" s="158">
        <v>4.8600000000000003</v>
      </c>
      <c r="CK51" s="159">
        <v>7.33</v>
      </c>
      <c r="CL51" s="159">
        <v>10.18</v>
      </c>
      <c r="CM51" s="160">
        <v>10.18</v>
      </c>
      <c r="CN51" s="158">
        <v>10.93</v>
      </c>
      <c r="CO51" s="159">
        <v>9.07</v>
      </c>
      <c r="CP51" s="159">
        <v>11.08</v>
      </c>
      <c r="CQ51" s="159">
        <v>17.23</v>
      </c>
      <c r="CR51" s="159">
        <v>24.62</v>
      </c>
      <c r="CS51" s="160">
        <v>25.86</v>
      </c>
      <c r="CT51" s="161">
        <v>10.93</v>
      </c>
      <c r="CU51" s="159">
        <v>9.07</v>
      </c>
      <c r="CV51" s="159">
        <v>11.08</v>
      </c>
      <c r="CW51" s="159">
        <v>17.23</v>
      </c>
      <c r="CX51" s="159">
        <v>24.62</v>
      </c>
      <c r="CY51" s="160">
        <v>25.86</v>
      </c>
      <c r="CZ51" s="190"/>
      <c r="DA51" s="187" t="s">
        <v>414</v>
      </c>
      <c r="DB51" s="91"/>
      <c r="DC51" s="91"/>
    </row>
    <row r="52" spans="1:107" ht="16" thickBot="1">
      <c r="A52" s="107"/>
      <c r="B52" s="107"/>
      <c r="C52" s="107"/>
      <c r="D52" s="107"/>
      <c r="E52" s="551"/>
      <c r="F52" s="552"/>
      <c r="G52" s="552"/>
      <c r="H52" s="553"/>
      <c r="I52" s="545"/>
      <c r="J52" s="546"/>
      <c r="K52" s="546"/>
      <c r="L52" s="547"/>
      <c r="M52" s="545"/>
      <c r="N52" s="546"/>
      <c r="O52" s="546"/>
      <c r="P52" s="547"/>
      <c r="Q52" s="545"/>
      <c r="R52" s="546"/>
      <c r="S52" s="546"/>
      <c r="T52" s="547"/>
      <c r="U52" s="545"/>
      <c r="V52" s="546"/>
      <c r="W52" s="546"/>
      <c r="X52" s="547"/>
      <c r="Y52" s="545"/>
      <c r="Z52" s="546"/>
      <c r="AA52" s="546"/>
      <c r="AB52" s="547"/>
      <c r="AC52" s="545"/>
      <c r="AD52" s="546"/>
      <c r="AE52" s="546"/>
      <c r="AF52" s="547"/>
      <c r="AG52" s="545"/>
      <c r="AH52" s="546"/>
      <c r="AI52" s="546"/>
      <c r="AJ52" s="547"/>
      <c r="AK52" s="545"/>
      <c r="AL52" s="546"/>
      <c r="AM52" s="546"/>
      <c r="AN52" s="547"/>
      <c r="AO52" s="545"/>
      <c r="AP52" s="546"/>
      <c r="AQ52" s="546"/>
      <c r="AR52" s="547"/>
      <c r="AS52" s="545"/>
      <c r="AT52" s="546"/>
      <c r="AU52" s="546"/>
      <c r="AV52" s="547"/>
      <c r="AW52" s="545"/>
      <c r="AX52" s="546"/>
      <c r="AY52" s="546"/>
      <c r="AZ52" s="547"/>
      <c r="BG52" s="93"/>
      <c r="BH52" s="93"/>
      <c r="BI52" s="93"/>
      <c r="BJ52" s="200">
        <v>11.5</v>
      </c>
      <c r="BK52" s="164">
        <v>0</v>
      </c>
      <c r="BL52" s="165">
        <v>24.87</v>
      </c>
      <c r="BM52" s="165">
        <v>31.73</v>
      </c>
      <c r="BN52" s="165">
        <v>39.74</v>
      </c>
      <c r="BO52" s="165">
        <v>40.44</v>
      </c>
      <c r="BP52" s="165">
        <v>41.79</v>
      </c>
      <c r="BQ52" s="165">
        <v>35.51</v>
      </c>
      <c r="BR52" s="165">
        <v>41.91</v>
      </c>
      <c r="BS52" s="165">
        <v>50.98</v>
      </c>
      <c r="BT52" s="165">
        <v>64.58</v>
      </c>
      <c r="BU52" s="165">
        <v>71.33</v>
      </c>
      <c r="BV52" s="165">
        <v>41.79</v>
      </c>
      <c r="BW52" s="165">
        <v>35.51</v>
      </c>
      <c r="BX52" s="165">
        <v>41.91</v>
      </c>
      <c r="BY52" s="165">
        <v>50.98</v>
      </c>
      <c r="BZ52" s="165">
        <v>64.58</v>
      </c>
      <c r="CA52" s="165">
        <v>71.33</v>
      </c>
      <c r="CB52" s="200"/>
      <c r="CC52" s="126"/>
      <c r="CD52" s="126"/>
      <c r="CE52" s="143"/>
      <c r="CF52" s="119"/>
      <c r="CG52" s="191" t="s">
        <v>416</v>
      </c>
      <c r="CH52" s="192">
        <v>11</v>
      </c>
      <c r="CI52" s="193">
        <v>0</v>
      </c>
      <c r="CJ52" s="194">
        <v>5.09</v>
      </c>
      <c r="CK52" s="195">
        <v>7.69</v>
      </c>
      <c r="CL52" s="195">
        <v>10.69</v>
      </c>
      <c r="CM52" s="196">
        <v>10.69</v>
      </c>
      <c r="CN52" s="194">
        <v>11.46</v>
      </c>
      <c r="CO52" s="195">
        <v>10.52</v>
      </c>
      <c r="CP52" s="195">
        <v>11.63</v>
      </c>
      <c r="CQ52" s="195">
        <v>19.7</v>
      </c>
      <c r="CR52" s="195">
        <v>25.82</v>
      </c>
      <c r="CS52" s="196">
        <v>27.11</v>
      </c>
      <c r="CT52" s="197">
        <v>11.46</v>
      </c>
      <c r="CU52" s="195">
        <v>10.52</v>
      </c>
      <c r="CV52" s="195">
        <v>11.63</v>
      </c>
      <c r="CW52" s="195">
        <v>19.7</v>
      </c>
      <c r="CX52" s="195">
        <v>25.82</v>
      </c>
      <c r="CY52" s="196">
        <v>27.11</v>
      </c>
      <c r="CZ52" s="198"/>
      <c r="DA52" s="187" t="s">
        <v>414</v>
      </c>
    </row>
    <row r="53" spans="1:107" s="105" customFormat="1" ht="16" thickBot="1">
      <c r="A53" s="107"/>
      <c r="B53" s="107"/>
      <c r="C53" s="107"/>
      <c r="D53" s="107"/>
      <c r="E53" s="548"/>
      <c r="F53" s="549"/>
      <c r="G53" s="549"/>
      <c r="H53" s="550"/>
      <c r="I53" s="540"/>
      <c r="J53" s="541"/>
      <c r="K53" s="541"/>
      <c r="L53" s="542"/>
      <c r="M53" s="540"/>
      <c r="N53" s="541"/>
      <c r="O53" s="541"/>
      <c r="P53" s="542"/>
      <c r="Q53" s="540"/>
      <c r="R53" s="541"/>
      <c r="S53" s="541"/>
      <c r="T53" s="542"/>
      <c r="U53" s="540"/>
      <c r="V53" s="541"/>
      <c r="W53" s="541"/>
      <c r="X53" s="542"/>
      <c r="Y53" s="540"/>
      <c r="Z53" s="541"/>
      <c r="AA53" s="541"/>
      <c r="AB53" s="542"/>
      <c r="AC53" s="540"/>
      <c r="AD53" s="541"/>
      <c r="AE53" s="541"/>
      <c r="AF53" s="542"/>
      <c r="AG53" s="540"/>
      <c r="AH53" s="541"/>
      <c r="AI53" s="541"/>
      <c r="AJ53" s="542"/>
      <c r="AK53" s="540"/>
      <c r="AL53" s="541"/>
      <c r="AM53" s="541"/>
      <c r="AN53" s="542"/>
      <c r="AO53" s="540"/>
      <c r="AP53" s="541"/>
      <c r="AQ53" s="541"/>
      <c r="AR53" s="542"/>
      <c r="AS53" s="540"/>
      <c r="AT53" s="541"/>
      <c r="AU53" s="541"/>
      <c r="AV53" s="542"/>
      <c r="AW53" s="540"/>
      <c r="AX53" s="541"/>
      <c r="AY53" s="541"/>
      <c r="AZ53" s="542"/>
      <c r="BG53" s="93"/>
      <c r="BH53" s="93"/>
      <c r="BI53" s="93"/>
      <c r="BJ53" s="200">
        <v>12</v>
      </c>
      <c r="BK53" s="164">
        <v>0</v>
      </c>
      <c r="BL53" s="165">
        <v>25.22</v>
      </c>
      <c r="BM53" s="165">
        <v>32.29</v>
      </c>
      <c r="BN53" s="165">
        <v>40.619999999999997</v>
      </c>
      <c r="BO53" s="165">
        <v>41.34</v>
      </c>
      <c r="BP53" s="165">
        <v>42.66</v>
      </c>
      <c r="BQ53" s="165">
        <v>36.229999999999997</v>
      </c>
      <c r="BR53" s="165">
        <v>42.8</v>
      </c>
      <c r="BS53" s="165">
        <v>52.33</v>
      </c>
      <c r="BT53" s="165">
        <v>66.459999999999994</v>
      </c>
      <c r="BU53" s="165">
        <v>73.31</v>
      </c>
      <c r="BV53" s="165">
        <v>42.66</v>
      </c>
      <c r="BW53" s="165">
        <v>36.229999999999997</v>
      </c>
      <c r="BX53" s="165">
        <v>42.8</v>
      </c>
      <c r="BY53" s="165">
        <v>52.33</v>
      </c>
      <c r="BZ53" s="165">
        <v>66.459999999999994</v>
      </c>
      <c r="CA53" s="165">
        <v>73.31</v>
      </c>
      <c r="CB53" s="200"/>
      <c r="CC53" s="126"/>
      <c r="CD53" s="126"/>
      <c r="CE53" s="143"/>
      <c r="CF53" s="119"/>
      <c r="CG53" s="201"/>
      <c r="CH53" s="201"/>
      <c r="CI53" s="201"/>
      <c r="CJ53" s="201"/>
      <c r="CK53" s="201"/>
      <c r="CL53" s="201"/>
      <c r="CM53" s="201"/>
      <c r="CN53" s="201"/>
      <c r="CO53" s="201"/>
      <c r="CP53" s="201"/>
      <c r="CQ53" s="201"/>
      <c r="CR53" s="201"/>
      <c r="CS53" s="201"/>
      <c r="CT53" s="201"/>
      <c r="CU53" s="201"/>
      <c r="CV53" s="201"/>
      <c r="CW53" s="201"/>
      <c r="CX53" s="201"/>
      <c r="CY53" s="201"/>
      <c r="CZ53" s="201"/>
      <c r="DA53" s="90"/>
      <c r="DB53" s="91"/>
      <c r="DC53" s="91"/>
    </row>
    <row r="54" spans="1:107" ht="17" thickBot="1">
      <c r="A54" s="107"/>
      <c r="B54" s="107"/>
      <c r="C54" s="107"/>
      <c r="D54" s="107"/>
      <c r="E54" s="551"/>
      <c r="F54" s="552"/>
      <c r="G54" s="552"/>
      <c r="H54" s="553"/>
      <c r="I54" s="545"/>
      <c r="J54" s="546"/>
      <c r="K54" s="546"/>
      <c r="L54" s="547"/>
      <c r="M54" s="545"/>
      <c r="N54" s="546"/>
      <c r="O54" s="546"/>
      <c r="P54" s="547"/>
      <c r="Q54" s="545"/>
      <c r="R54" s="546"/>
      <c r="S54" s="546"/>
      <c r="T54" s="547"/>
      <c r="U54" s="545"/>
      <c r="V54" s="546"/>
      <c r="W54" s="546"/>
      <c r="X54" s="547"/>
      <c r="Y54" s="545"/>
      <c r="Z54" s="546"/>
      <c r="AA54" s="546"/>
      <c r="AB54" s="547"/>
      <c r="AC54" s="545"/>
      <c r="AD54" s="546"/>
      <c r="AE54" s="546"/>
      <c r="AF54" s="547"/>
      <c r="AG54" s="545"/>
      <c r="AH54" s="546"/>
      <c r="AI54" s="546"/>
      <c r="AJ54" s="547"/>
      <c r="AK54" s="545"/>
      <c r="AL54" s="546"/>
      <c r="AM54" s="546"/>
      <c r="AN54" s="547"/>
      <c r="AO54" s="545"/>
      <c r="AP54" s="546"/>
      <c r="AQ54" s="546"/>
      <c r="AR54" s="547"/>
      <c r="AS54" s="545"/>
      <c r="AT54" s="546"/>
      <c r="AU54" s="546"/>
      <c r="AV54" s="547"/>
      <c r="AW54" s="545"/>
      <c r="AX54" s="546"/>
      <c r="AY54" s="546"/>
      <c r="AZ54" s="547"/>
      <c r="BG54" s="93"/>
      <c r="BH54" s="93"/>
      <c r="BI54" s="93"/>
      <c r="BJ54" s="200">
        <v>12.5</v>
      </c>
      <c r="BK54" s="164">
        <v>0</v>
      </c>
      <c r="BL54" s="165">
        <v>25.56</v>
      </c>
      <c r="BM54" s="165">
        <v>32.86</v>
      </c>
      <c r="BN54" s="165">
        <v>41.5</v>
      </c>
      <c r="BO54" s="165">
        <v>42.24</v>
      </c>
      <c r="BP54" s="165">
        <v>43.54</v>
      </c>
      <c r="BQ54" s="165">
        <v>36.94</v>
      </c>
      <c r="BR54" s="165">
        <v>43.7</v>
      </c>
      <c r="BS54" s="165">
        <v>53.69</v>
      </c>
      <c r="BT54" s="165">
        <v>68.34</v>
      </c>
      <c r="BU54" s="165">
        <v>75.290000000000006</v>
      </c>
      <c r="BV54" s="165">
        <v>43.54</v>
      </c>
      <c r="BW54" s="165">
        <v>36.94</v>
      </c>
      <c r="BX54" s="165">
        <v>43.7</v>
      </c>
      <c r="BY54" s="165">
        <v>53.69</v>
      </c>
      <c r="BZ54" s="165">
        <v>68.34</v>
      </c>
      <c r="CA54" s="165">
        <v>75.290000000000006</v>
      </c>
      <c r="CB54" s="200"/>
      <c r="CC54" s="126"/>
      <c r="CD54" s="126"/>
      <c r="CE54" s="143"/>
      <c r="CF54" s="119"/>
      <c r="CG54" s="129" t="s">
        <v>419</v>
      </c>
      <c r="CH54" s="130" t="s">
        <v>420</v>
      </c>
      <c r="CI54" s="131">
        <v>0</v>
      </c>
      <c r="CJ54" s="132">
        <v>1</v>
      </c>
      <c r="CK54" s="133">
        <v>2</v>
      </c>
      <c r="CL54" s="133">
        <v>3</v>
      </c>
      <c r="CM54" s="134">
        <v>4</v>
      </c>
      <c r="CN54" s="132">
        <v>5</v>
      </c>
      <c r="CO54" s="133">
        <v>6</v>
      </c>
      <c r="CP54" s="133">
        <v>7</v>
      </c>
      <c r="CQ54" s="133">
        <v>8</v>
      </c>
      <c r="CR54" s="133">
        <v>9</v>
      </c>
      <c r="CS54" s="134">
        <v>10</v>
      </c>
      <c r="CT54" s="135">
        <v>5</v>
      </c>
      <c r="CU54" s="133">
        <v>6</v>
      </c>
      <c r="CV54" s="133">
        <v>7</v>
      </c>
      <c r="CW54" s="133">
        <v>8</v>
      </c>
      <c r="CX54" s="133">
        <v>9</v>
      </c>
      <c r="CY54" s="134">
        <v>10</v>
      </c>
      <c r="CZ54" s="136"/>
    </row>
    <row r="55" spans="1:107" s="105" customFormat="1">
      <c r="A55" s="107"/>
      <c r="B55" s="107"/>
      <c r="C55" s="107"/>
      <c r="D55" s="107"/>
      <c r="E55" s="548"/>
      <c r="F55" s="549"/>
      <c r="G55" s="549"/>
      <c r="H55" s="550"/>
      <c r="I55" s="540"/>
      <c r="J55" s="541"/>
      <c r="K55" s="541"/>
      <c r="L55" s="542"/>
      <c r="M55" s="540"/>
      <c r="N55" s="541"/>
      <c r="O55" s="541"/>
      <c r="P55" s="542"/>
      <c r="Q55" s="540"/>
      <c r="R55" s="541"/>
      <c r="S55" s="541"/>
      <c r="T55" s="542"/>
      <c r="U55" s="540"/>
      <c r="V55" s="541"/>
      <c r="W55" s="541"/>
      <c r="X55" s="542"/>
      <c r="Y55" s="540"/>
      <c r="Z55" s="541"/>
      <c r="AA55" s="541"/>
      <c r="AB55" s="542"/>
      <c r="AC55" s="540"/>
      <c r="AD55" s="541"/>
      <c r="AE55" s="541"/>
      <c r="AF55" s="542"/>
      <c r="AG55" s="540"/>
      <c r="AH55" s="541"/>
      <c r="AI55" s="541"/>
      <c r="AJ55" s="542"/>
      <c r="AK55" s="540"/>
      <c r="AL55" s="541"/>
      <c r="AM55" s="541"/>
      <c r="AN55" s="542"/>
      <c r="AO55" s="540"/>
      <c r="AP55" s="541"/>
      <c r="AQ55" s="541"/>
      <c r="AR55" s="542"/>
      <c r="AS55" s="540"/>
      <c r="AT55" s="541"/>
      <c r="AU55" s="541"/>
      <c r="AV55" s="542"/>
      <c r="AW55" s="540"/>
      <c r="AX55" s="541"/>
      <c r="AY55" s="541"/>
      <c r="AZ55" s="542"/>
      <c r="BG55" s="93"/>
      <c r="BH55" s="93"/>
      <c r="BI55" s="93"/>
      <c r="BJ55" s="200">
        <v>13</v>
      </c>
      <c r="BK55" s="164">
        <v>0</v>
      </c>
      <c r="BL55" s="165">
        <v>25.9</v>
      </c>
      <c r="BM55" s="165">
        <v>33.43</v>
      </c>
      <c r="BN55" s="165">
        <v>42.37</v>
      </c>
      <c r="BO55" s="165">
        <v>43.13</v>
      </c>
      <c r="BP55" s="165">
        <v>44.42</v>
      </c>
      <c r="BQ55" s="165">
        <v>37.659999999999997</v>
      </c>
      <c r="BR55" s="165">
        <v>44.6</v>
      </c>
      <c r="BS55" s="165">
        <v>55.05</v>
      </c>
      <c r="BT55" s="165">
        <v>70.22</v>
      </c>
      <c r="BU55" s="165">
        <v>77.27</v>
      </c>
      <c r="BV55" s="165">
        <v>44.42</v>
      </c>
      <c r="BW55" s="165">
        <v>37.659999999999997</v>
      </c>
      <c r="BX55" s="165">
        <v>44.6</v>
      </c>
      <c r="BY55" s="165">
        <v>55.05</v>
      </c>
      <c r="BZ55" s="165">
        <v>70.22</v>
      </c>
      <c r="CA55" s="165">
        <v>77.27</v>
      </c>
      <c r="CB55" s="200"/>
      <c r="CC55" s="126"/>
      <c r="CD55" s="126"/>
      <c r="CE55" s="143"/>
      <c r="CF55" s="119"/>
      <c r="CG55" s="144" t="s">
        <v>406</v>
      </c>
      <c r="CH55" s="145">
        <v>1</v>
      </c>
      <c r="CI55" s="146">
        <v>0</v>
      </c>
      <c r="CJ55" s="147">
        <v>38.229999999999997</v>
      </c>
      <c r="CK55" s="148">
        <v>40.65</v>
      </c>
      <c r="CL55" s="148">
        <v>45.25</v>
      </c>
      <c r="CM55" s="149">
        <v>46.07</v>
      </c>
      <c r="CN55" s="147">
        <v>48.12</v>
      </c>
      <c r="CO55" s="148">
        <v>37.31</v>
      </c>
      <c r="CP55" s="148">
        <v>49.11</v>
      </c>
      <c r="CQ55" s="148">
        <v>49.43</v>
      </c>
      <c r="CR55" s="148">
        <v>51.54</v>
      </c>
      <c r="CS55" s="149">
        <v>67.33</v>
      </c>
      <c r="CT55" s="150">
        <v>60.25</v>
      </c>
      <c r="CU55" s="148">
        <v>50.54</v>
      </c>
      <c r="CV55" s="148">
        <v>60.8</v>
      </c>
      <c r="CW55" s="148">
        <v>69.209999999999994</v>
      </c>
      <c r="CX55" s="148">
        <v>72.62</v>
      </c>
      <c r="CY55" s="149">
        <v>81.319999999999993</v>
      </c>
      <c r="CZ55" s="151"/>
      <c r="DA55" s="90"/>
      <c r="DB55" s="91"/>
      <c r="DC55" s="91"/>
    </row>
    <row r="56" spans="1:107">
      <c r="A56" s="107"/>
      <c r="B56" s="107"/>
      <c r="C56" s="107"/>
      <c r="D56" s="107"/>
      <c r="E56" s="551"/>
      <c r="F56" s="552"/>
      <c r="G56" s="552"/>
      <c r="H56" s="553"/>
      <c r="I56" s="545"/>
      <c r="J56" s="546"/>
      <c r="K56" s="546"/>
      <c r="L56" s="547"/>
      <c r="M56" s="545"/>
      <c r="N56" s="546"/>
      <c r="O56" s="546"/>
      <c r="P56" s="547"/>
      <c r="Q56" s="545"/>
      <c r="R56" s="546"/>
      <c r="S56" s="546"/>
      <c r="T56" s="547"/>
      <c r="U56" s="545"/>
      <c r="V56" s="546"/>
      <c r="W56" s="546"/>
      <c r="X56" s="547"/>
      <c r="Y56" s="545"/>
      <c r="Z56" s="546"/>
      <c r="AA56" s="546"/>
      <c r="AB56" s="547"/>
      <c r="AC56" s="545"/>
      <c r="AD56" s="546"/>
      <c r="AE56" s="546"/>
      <c r="AF56" s="547"/>
      <c r="AG56" s="545"/>
      <c r="AH56" s="546"/>
      <c r="AI56" s="546"/>
      <c r="AJ56" s="547"/>
      <c r="AK56" s="545"/>
      <c r="AL56" s="546"/>
      <c r="AM56" s="546"/>
      <c r="AN56" s="547"/>
      <c r="AO56" s="545"/>
      <c r="AP56" s="546"/>
      <c r="AQ56" s="546"/>
      <c r="AR56" s="547"/>
      <c r="AS56" s="545"/>
      <c r="AT56" s="546"/>
      <c r="AU56" s="546"/>
      <c r="AV56" s="547"/>
      <c r="AW56" s="545"/>
      <c r="AX56" s="546"/>
      <c r="AY56" s="546"/>
      <c r="AZ56" s="547"/>
      <c r="BG56" s="93"/>
      <c r="BH56" s="93"/>
      <c r="BI56" s="93"/>
      <c r="BJ56" s="200">
        <v>13.5</v>
      </c>
      <c r="BK56" s="164">
        <v>0</v>
      </c>
      <c r="BL56" s="165">
        <v>26.25</v>
      </c>
      <c r="BM56" s="165">
        <v>33.99</v>
      </c>
      <c r="BN56" s="165">
        <v>43.25</v>
      </c>
      <c r="BO56" s="165">
        <v>44.03</v>
      </c>
      <c r="BP56" s="165">
        <v>45.3</v>
      </c>
      <c r="BQ56" s="165">
        <v>38.369999999999997</v>
      </c>
      <c r="BR56" s="165">
        <v>45.5</v>
      </c>
      <c r="BS56" s="165">
        <v>56.41</v>
      </c>
      <c r="BT56" s="165">
        <v>72.099999999999994</v>
      </c>
      <c r="BU56" s="165">
        <v>79.260000000000005</v>
      </c>
      <c r="BV56" s="165">
        <v>45.3</v>
      </c>
      <c r="BW56" s="165">
        <v>38.369999999999997</v>
      </c>
      <c r="BX56" s="165">
        <v>45.5</v>
      </c>
      <c r="BY56" s="165">
        <v>56.41</v>
      </c>
      <c r="BZ56" s="165">
        <v>72.099999999999994</v>
      </c>
      <c r="CA56" s="165">
        <v>79.260000000000005</v>
      </c>
      <c r="CB56" s="200"/>
      <c r="CC56" s="126"/>
      <c r="CD56" s="126"/>
      <c r="CE56" s="143"/>
      <c r="CF56" s="119"/>
      <c r="CG56" s="155" t="s">
        <v>407</v>
      </c>
      <c r="CH56" s="156">
        <v>2</v>
      </c>
      <c r="CI56" s="157">
        <v>0</v>
      </c>
      <c r="CJ56" s="158">
        <v>9.1999999999999993</v>
      </c>
      <c r="CK56" s="159">
        <v>8.84</v>
      </c>
      <c r="CL56" s="159">
        <v>10.51</v>
      </c>
      <c r="CM56" s="160">
        <v>10.64</v>
      </c>
      <c r="CN56" s="158">
        <v>9.52</v>
      </c>
      <c r="CO56" s="159">
        <v>6.03</v>
      </c>
      <c r="CP56" s="159">
        <v>9.52</v>
      </c>
      <c r="CQ56" s="159">
        <v>10.32</v>
      </c>
      <c r="CR56" s="159">
        <v>14.61</v>
      </c>
      <c r="CS56" s="160">
        <v>15.29</v>
      </c>
      <c r="CT56" s="161">
        <v>8.9499999999999993</v>
      </c>
      <c r="CU56" s="159">
        <v>5.96</v>
      </c>
      <c r="CV56" s="159">
        <v>8.9499999999999993</v>
      </c>
      <c r="CW56" s="159">
        <v>10.06</v>
      </c>
      <c r="CX56" s="159">
        <v>14.73</v>
      </c>
      <c r="CY56" s="160">
        <v>14.98</v>
      </c>
      <c r="CZ56" s="162"/>
    </row>
    <row r="57" spans="1:107" s="105" customFormat="1">
      <c r="A57" s="107"/>
      <c r="B57" s="107"/>
      <c r="C57" s="107"/>
      <c r="D57" s="107"/>
      <c r="E57" s="557"/>
      <c r="F57" s="558"/>
      <c r="G57" s="558"/>
      <c r="H57" s="559"/>
      <c r="I57" s="540"/>
      <c r="J57" s="541"/>
      <c r="K57" s="541"/>
      <c r="L57" s="542"/>
      <c r="M57" s="540"/>
      <c r="N57" s="541"/>
      <c r="O57" s="541"/>
      <c r="P57" s="542"/>
      <c r="Q57" s="540"/>
      <c r="R57" s="541"/>
      <c r="S57" s="541"/>
      <c r="T57" s="542"/>
      <c r="U57" s="540"/>
      <c r="V57" s="541"/>
      <c r="W57" s="541"/>
      <c r="X57" s="542"/>
      <c r="Y57" s="540"/>
      <c r="Z57" s="541"/>
      <c r="AA57" s="541"/>
      <c r="AB57" s="542"/>
      <c r="AC57" s="540"/>
      <c r="AD57" s="541"/>
      <c r="AE57" s="541"/>
      <c r="AF57" s="542"/>
      <c r="AG57" s="540"/>
      <c r="AH57" s="541"/>
      <c r="AI57" s="541"/>
      <c r="AJ57" s="542"/>
      <c r="AK57" s="540"/>
      <c r="AL57" s="541"/>
      <c r="AM57" s="541"/>
      <c r="AN57" s="542"/>
      <c r="AO57" s="540"/>
      <c r="AP57" s="541"/>
      <c r="AQ57" s="541"/>
      <c r="AR57" s="542"/>
      <c r="AS57" s="540"/>
      <c r="AT57" s="541"/>
      <c r="AU57" s="541"/>
      <c r="AV57" s="542"/>
      <c r="AW57" s="540"/>
      <c r="AX57" s="541"/>
      <c r="AY57" s="541"/>
      <c r="AZ57" s="542"/>
      <c r="BG57" s="93"/>
      <c r="BH57" s="93"/>
      <c r="BI57" s="93"/>
      <c r="BJ57" s="200">
        <v>14</v>
      </c>
      <c r="BK57" s="164">
        <v>0</v>
      </c>
      <c r="BL57" s="165">
        <v>26.59</v>
      </c>
      <c r="BM57" s="165">
        <v>34.56</v>
      </c>
      <c r="BN57" s="165">
        <v>44.13</v>
      </c>
      <c r="BO57" s="165">
        <v>44.93</v>
      </c>
      <c r="BP57" s="165">
        <v>46.18</v>
      </c>
      <c r="BQ57" s="165">
        <v>39.090000000000003</v>
      </c>
      <c r="BR57" s="165">
        <v>46.39</v>
      </c>
      <c r="BS57" s="165">
        <v>57.77</v>
      </c>
      <c r="BT57" s="165">
        <v>73.98</v>
      </c>
      <c r="BU57" s="165">
        <v>81.239999999999995</v>
      </c>
      <c r="BV57" s="165">
        <v>46.18</v>
      </c>
      <c r="BW57" s="165">
        <v>39.090000000000003</v>
      </c>
      <c r="BX57" s="165">
        <v>46.39</v>
      </c>
      <c r="BY57" s="165">
        <v>57.77</v>
      </c>
      <c r="BZ57" s="165">
        <v>73.98</v>
      </c>
      <c r="CA57" s="165">
        <v>81.239999999999995</v>
      </c>
      <c r="CB57" s="200"/>
      <c r="CC57" s="126"/>
      <c r="CD57" s="126"/>
      <c r="CE57" s="143"/>
      <c r="CF57" s="119"/>
      <c r="CG57" s="166" t="s">
        <v>408</v>
      </c>
      <c r="CH57" s="167">
        <v>3</v>
      </c>
      <c r="CI57" s="157">
        <v>0</v>
      </c>
      <c r="CJ57" s="158">
        <v>2.68</v>
      </c>
      <c r="CK57" s="159">
        <v>4.16</v>
      </c>
      <c r="CL57" s="159">
        <v>5.6</v>
      </c>
      <c r="CM57" s="160">
        <v>5.66</v>
      </c>
      <c r="CN57" s="158">
        <v>5.23</v>
      </c>
      <c r="CO57" s="159">
        <v>4.16</v>
      </c>
      <c r="CP57" s="159">
        <v>5.23</v>
      </c>
      <c r="CQ57" s="159">
        <v>6.46</v>
      </c>
      <c r="CR57" s="159">
        <v>9.4700000000000006</v>
      </c>
      <c r="CS57" s="160">
        <v>9.8800000000000008</v>
      </c>
      <c r="CT57" s="161">
        <v>5.23</v>
      </c>
      <c r="CU57" s="159">
        <v>4.41</v>
      </c>
      <c r="CV57" s="159">
        <v>5.23</v>
      </c>
      <c r="CW57" s="159">
        <v>5.77</v>
      </c>
      <c r="CX57" s="159">
        <v>8.52</v>
      </c>
      <c r="CY57" s="160">
        <v>9.52</v>
      </c>
      <c r="CZ57" s="168"/>
      <c r="DA57" s="90"/>
      <c r="DB57" s="91"/>
      <c r="DC57" s="91"/>
    </row>
    <row r="58" spans="1:107">
      <c r="A58" s="107"/>
      <c r="B58" s="107"/>
      <c r="C58" s="107"/>
      <c r="D58" s="107"/>
      <c r="E58" s="551"/>
      <c r="F58" s="552"/>
      <c r="G58" s="552"/>
      <c r="H58" s="553"/>
      <c r="I58" s="545"/>
      <c r="J58" s="546"/>
      <c r="K58" s="546"/>
      <c r="L58" s="547"/>
      <c r="M58" s="545"/>
      <c r="N58" s="546"/>
      <c r="O58" s="546"/>
      <c r="P58" s="547"/>
      <c r="Q58" s="545"/>
      <c r="R58" s="546"/>
      <c r="S58" s="546"/>
      <c r="T58" s="547"/>
      <c r="U58" s="545"/>
      <c r="V58" s="546"/>
      <c r="W58" s="546"/>
      <c r="X58" s="547"/>
      <c r="Y58" s="545"/>
      <c r="Z58" s="546"/>
      <c r="AA58" s="546"/>
      <c r="AB58" s="547"/>
      <c r="AC58" s="545"/>
      <c r="AD58" s="546"/>
      <c r="AE58" s="546"/>
      <c r="AF58" s="547"/>
      <c r="AG58" s="545"/>
      <c r="AH58" s="546"/>
      <c r="AI58" s="546"/>
      <c r="AJ58" s="547"/>
      <c r="AK58" s="545"/>
      <c r="AL58" s="546"/>
      <c r="AM58" s="546"/>
      <c r="AN58" s="547"/>
      <c r="AO58" s="545"/>
      <c r="AP58" s="546"/>
      <c r="AQ58" s="546"/>
      <c r="AR58" s="547"/>
      <c r="AS58" s="545"/>
      <c r="AT58" s="546"/>
      <c r="AU58" s="546"/>
      <c r="AV58" s="547"/>
      <c r="AW58" s="545"/>
      <c r="AX58" s="546"/>
      <c r="AY58" s="546"/>
      <c r="AZ58" s="547"/>
      <c r="BG58" s="93"/>
      <c r="BH58" s="93"/>
      <c r="BI58" s="93"/>
      <c r="BJ58" s="200">
        <v>14.5</v>
      </c>
      <c r="BK58" s="164">
        <v>0</v>
      </c>
      <c r="BL58" s="165">
        <v>26.93</v>
      </c>
      <c r="BM58" s="165">
        <v>35.130000000000003</v>
      </c>
      <c r="BN58" s="165">
        <v>45.01</v>
      </c>
      <c r="BO58" s="165">
        <v>45.83</v>
      </c>
      <c r="BP58" s="165">
        <v>47.06</v>
      </c>
      <c r="BQ58" s="165">
        <v>39.799999999999997</v>
      </c>
      <c r="BR58" s="165">
        <v>47.29</v>
      </c>
      <c r="BS58" s="165">
        <v>59.13</v>
      </c>
      <c r="BT58" s="165">
        <v>75.86</v>
      </c>
      <c r="BU58" s="165">
        <v>83.22</v>
      </c>
      <c r="BV58" s="165">
        <v>47.06</v>
      </c>
      <c r="BW58" s="165">
        <v>39.799999999999997</v>
      </c>
      <c r="BX58" s="165">
        <v>47.29</v>
      </c>
      <c r="BY58" s="165">
        <v>59.13</v>
      </c>
      <c r="BZ58" s="165">
        <v>75.86</v>
      </c>
      <c r="CA58" s="165">
        <v>83.22</v>
      </c>
      <c r="CB58" s="200"/>
      <c r="CC58" s="126"/>
      <c r="CD58" s="126"/>
      <c r="CE58" s="143"/>
      <c r="CF58" s="119"/>
      <c r="CG58" s="170">
        <v>2.5</v>
      </c>
      <c r="CH58" s="171">
        <v>4</v>
      </c>
      <c r="CI58" s="157">
        <v>0</v>
      </c>
      <c r="CJ58" s="158">
        <v>2.61</v>
      </c>
      <c r="CK58" s="159">
        <v>4.1100000000000003</v>
      </c>
      <c r="CL58" s="159">
        <v>5.54</v>
      </c>
      <c r="CM58" s="160">
        <v>5.6</v>
      </c>
      <c r="CN58" s="158">
        <v>16.730000000000004</v>
      </c>
      <c r="CO58" s="159">
        <v>18.069999999999993</v>
      </c>
      <c r="CP58" s="159">
        <v>16.350000000000009</v>
      </c>
      <c r="CQ58" s="159">
        <v>23.909999999999997</v>
      </c>
      <c r="CR58" s="159">
        <v>27.819999999999993</v>
      </c>
      <c r="CS58" s="160">
        <v>22.47999999999999</v>
      </c>
      <c r="CT58" s="161">
        <v>5.17</v>
      </c>
      <c r="CU58" s="159">
        <v>4.41</v>
      </c>
      <c r="CV58" s="159">
        <v>5.23</v>
      </c>
      <c r="CW58" s="159">
        <v>5.77</v>
      </c>
      <c r="CX58" s="159">
        <v>8.52</v>
      </c>
      <c r="CY58" s="160">
        <v>9.52</v>
      </c>
      <c r="CZ58" s="172"/>
    </row>
    <row r="59" spans="1:107">
      <c r="A59" s="107"/>
      <c r="B59" s="107"/>
      <c r="C59" s="107"/>
      <c r="D59" s="107"/>
      <c r="E59" s="548"/>
      <c r="F59" s="549"/>
      <c r="G59" s="549"/>
      <c r="H59" s="550"/>
      <c r="I59" s="540"/>
      <c r="J59" s="541"/>
      <c r="K59" s="541"/>
      <c r="L59" s="542"/>
      <c r="M59" s="540"/>
      <c r="N59" s="541"/>
      <c r="O59" s="541"/>
      <c r="P59" s="542"/>
      <c r="Q59" s="540"/>
      <c r="R59" s="541"/>
      <c r="S59" s="541"/>
      <c r="T59" s="542"/>
      <c r="U59" s="540"/>
      <c r="V59" s="541"/>
      <c r="W59" s="541"/>
      <c r="X59" s="542"/>
      <c r="Y59" s="540"/>
      <c r="Z59" s="541"/>
      <c r="AA59" s="541"/>
      <c r="AB59" s="542"/>
      <c r="AC59" s="540"/>
      <c r="AD59" s="541"/>
      <c r="AE59" s="541"/>
      <c r="AF59" s="542"/>
      <c r="AG59" s="540"/>
      <c r="AH59" s="541"/>
      <c r="AI59" s="541"/>
      <c r="AJ59" s="542"/>
      <c r="AK59" s="540"/>
      <c r="AL59" s="541"/>
      <c r="AM59" s="541"/>
      <c r="AN59" s="542"/>
      <c r="AO59" s="540"/>
      <c r="AP59" s="541"/>
      <c r="AQ59" s="541"/>
      <c r="AR59" s="542"/>
      <c r="AS59" s="540"/>
      <c r="AT59" s="541"/>
      <c r="AU59" s="541"/>
      <c r="AV59" s="542"/>
      <c r="AW59" s="540"/>
      <c r="AX59" s="541"/>
      <c r="AY59" s="541"/>
      <c r="AZ59" s="542"/>
      <c r="BG59" s="93"/>
      <c r="BH59" s="93"/>
      <c r="BI59" s="93"/>
      <c r="BJ59" s="200">
        <v>15</v>
      </c>
      <c r="BK59" s="164">
        <v>0</v>
      </c>
      <c r="BL59" s="165">
        <v>27.28</v>
      </c>
      <c r="BM59" s="165">
        <v>35.69</v>
      </c>
      <c r="BN59" s="165">
        <v>45.89</v>
      </c>
      <c r="BO59" s="165">
        <v>46.72</v>
      </c>
      <c r="BP59" s="165">
        <v>47.94</v>
      </c>
      <c r="BQ59" s="165">
        <v>40.520000000000003</v>
      </c>
      <c r="BR59" s="165">
        <v>48.19</v>
      </c>
      <c r="BS59" s="165">
        <v>60.48</v>
      </c>
      <c r="BT59" s="165">
        <v>77.739999999999995</v>
      </c>
      <c r="BU59" s="165">
        <v>85.2</v>
      </c>
      <c r="BV59" s="165">
        <v>47.94</v>
      </c>
      <c r="BW59" s="165">
        <v>40.520000000000003</v>
      </c>
      <c r="BX59" s="165">
        <v>48.19</v>
      </c>
      <c r="BY59" s="165">
        <v>60.48</v>
      </c>
      <c r="BZ59" s="165">
        <v>77.739999999999995</v>
      </c>
      <c r="CA59" s="165">
        <v>85.2</v>
      </c>
      <c r="CB59" s="200"/>
      <c r="CC59" s="126"/>
      <c r="CD59" s="126"/>
      <c r="CE59" s="143"/>
      <c r="CF59" s="119"/>
      <c r="CG59" s="173" t="s">
        <v>409</v>
      </c>
      <c r="CH59" s="174">
        <v>5</v>
      </c>
      <c r="CI59" s="157">
        <v>0</v>
      </c>
      <c r="CJ59" s="158">
        <v>2.2999999999999998</v>
      </c>
      <c r="CK59" s="159">
        <v>3.43</v>
      </c>
      <c r="CL59" s="159">
        <v>4.97</v>
      </c>
      <c r="CM59" s="160">
        <v>5.04</v>
      </c>
      <c r="CN59" s="158">
        <v>4.59</v>
      </c>
      <c r="CO59" s="159">
        <v>4.05</v>
      </c>
      <c r="CP59" s="159">
        <v>4.78</v>
      </c>
      <c r="CQ59" s="159">
        <v>5.96</v>
      </c>
      <c r="CR59" s="159">
        <v>8.39</v>
      </c>
      <c r="CS59" s="160">
        <v>9.3800000000000008</v>
      </c>
      <c r="CT59" s="161">
        <v>4.59</v>
      </c>
      <c r="CU59" s="159">
        <v>4.05</v>
      </c>
      <c r="CV59" s="159">
        <v>4.78</v>
      </c>
      <c r="CW59" s="159">
        <v>5.96</v>
      </c>
      <c r="CX59" s="159">
        <v>8.39</v>
      </c>
      <c r="CY59" s="160">
        <v>9.3800000000000008</v>
      </c>
      <c r="CZ59" s="175"/>
    </row>
    <row r="60" spans="1:107">
      <c r="A60" s="107"/>
      <c r="B60" s="107"/>
      <c r="C60" s="107"/>
      <c r="D60" s="107"/>
      <c r="E60" s="551"/>
      <c r="F60" s="552"/>
      <c r="G60" s="552"/>
      <c r="H60" s="553"/>
      <c r="I60" s="545"/>
      <c r="J60" s="546"/>
      <c r="K60" s="546"/>
      <c r="L60" s="547"/>
      <c r="M60" s="545"/>
      <c r="N60" s="546"/>
      <c r="O60" s="546"/>
      <c r="P60" s="547"/>
      <c r="Q60" s="545"/>
      <c r="R60" s="546"/>
      <c r="S60" s="546"/>
      <c r="T60" s="547"/>
      <c r="U60" s="545"/>
      <c r="V60" s="546"/>
      <c r="W60" s="546"/>
      <c r="X60" s="547"/>
      <c r="Y60" s="545"/>
      <c r="Z60" s="546"/>
      <c r="AA60" s="546"/>
      <c r="AB60" s="547"/>
      <c r="AC60" s="545"/>
      <c r="AD60" s="546"/>
      <c r="AE60" s="546"/>
      <c r="AF60" s="547"/>
      <c r="AG60" s="545"/>
      <c r="AH60" s="546"/>
      <c r="AI60" s="546"/>
      <c r="AJ60" s="547"/>
      <c r="AK60" s="545"/>
      <c r="AL60" s="546"/>
      <c r="AM60" s="546"/>
      <c r="AN60" s="547"/>
      <c r="AO60" s="545"/>
      <c r="AP60" s="546"/>
      <c r="AQ60" s="546"/>
      <c r="AR60" s="547"/>
      <c r="AS60" s="545"/>
      <c r="AT60" s="546"/>
      <c r="AU60" s="546"/>
      <c r="AV60" s="547"/>
      <c r="AW60" s="545"/>
      <c r="AX60" s="546"/>
      <c r="AY60" s="546"/>
      <c r="AZ60" s="547"/>
      <c r="BG60" s="93"/>
      <c r="BH60" s="93"/>
      <c r="BI60" s="93"/>
      <c r="BJ60" s="200">
        <v>15.5</v>
      </c>
      <c r="BK60" s="164">
        <v>0</v>
      </c>
      <c r="BL60" s="165">
        <v>27.62</v>
      </c>
      <c r="BM60" s="165">
        <v>36.26</v>
      </c>
      <c r="BN60" s="165">
        <v>46.77</v>
      </c>
      <c r="BO60" s="165">
        <v>47.62</v>
      </c>
      <c r="BP60" s="165">
        <v>48.81</v>
      </c>
      <c r="BQ60" s="165">
        <v>41.23</v>
      </c>
      <c r="BR60" s="165">
        <v>49.09</v>
      </c>
      <c r="BS60" s="165">
        <v>61.84</v>
      </c>
      <c r="BT60" s="165">
        <v>79.62</v>
      </c>
      <c r="BU60" s="165">
        <v>87.18</v>
      </c>
      <c r="BV60" s="165">
        <v>48.81</v>
      </c>
      <c r="BW60" s="165">
        <v>41.23</v>
      </c>
      <c r="BX60" s="165">
        <v>49.09</v>
      </c>
      <c r="BY60" s="165">
        <v>61.84</v>
      </c>
      <c r="BZ60" s="165">
        <v>79.62</v>
      </c>
      <c r="CA60" s="165">
        <v>87.18</v>
      </c>
      <c r="CB60" s="200"/>
      <c r="CC60" s="126"/>
      <c r="CD60" s="126"/>
      <c r="CE60" s="143"/>
      <c r="CF60" s="202"/>
      <c r="CG60" s="177" t="s">
        <v>410</v>
      </c>
      <c r="CH60" s="178">
        <v>6</v>
      </c>
      <c r="CI60" s="157">
        <v>0</v>
      </c>
      <c r="CJ60" s="158">
        <v>2.25</v>
      </c>
      <c r="CK60" s="159">
        <v>3.61</v>
      </c>
      <c r="CL60" s="159">
        <v>4.7300000000000004</v>
      </c>
      <c r="CM60" s="160">
        <v>4.8499999999999996</v>
      </c>
      <c r="CN60" s="158">
        <v>4.54</v>
      </c>
      <c r="CO60" s="159">
        <v>3.91</v>
      </c>
      <c r="CP60" s="159">
        <v>4.41</v>
      </c>
      <c r="CQ60" s="159">
        <v>5.91</v>
      </c>
      <c r="CR60" s="159">
        <v>8.08</v>
      </c>
      <c r="CS60" s="160">
        <v>9.07</v>
      </c>
      <c r="CT60" s="161">
        <v>4.54</v>
      </c>
      <c r="CU60" s="159">
        <v>3.91</v>
      </c>
      <c r="CV60" s="159">
        <v>4.41</v>
      </c>
      <c r="CW60" s="159">
        <v>5.91</v>
      </c>
      <c r="CX60" s="159">
        <v>8.08</v>
      </c>
      <c r="CY60" s="160">
        <v>9.07</v>
      </c>
      <c r="CZ60" s="179"/>
    </row>
    <row r="61" spans="1:107">
      <c r="A61" s="107"/>
      <c r="B61" s="107"/>
      <c r="C61" s="107"/>
      <c r="D61" s="107"/>
      <c r="E61" s="548"/>
      <c r="F61" s="549"/>
      <c r="G61" s="549"/>
      <c r="H61" s="550"/>
      <c r="I61" s="540"/>
      <c r="J61" s="541"/>
      <c r="K61" s="541"/>
      <c r="L61" s="542"/>
      <c r="M61" s="540"/>
      <c r="N61" s="541"/>
      <c r="O61" s="541"/>
      <c r="P61" s="542"/>
      <c r="Q61" s="540"/>
      <c r="R61" s="541"/>
      <c r="S61" s="541"/>
      <c r="T61" s="542"/>
      <c r="U61" s="540"/>
      <c r="V61" s="541"/>
      <c r="W61" s="541"/>
      <c r="X61" s="542"/>
      <c r="Y61" s="540"/>
      <c r="Z61" s="541"/>
      <c r="AA61" s="541"/>
      <c r="AB61" s="542"/>
      <c r="AC61" s="540"/>
      <c r="AD61" s="541"/>
      <c r="AE61" s="541"/>
      <c r="AF61" s="542"/>
      <c r="AG61" s="540"/>
      <c r="AH61" s="541"/>
      <c r="AI61" s="541"/>
      <c r="AJ61" s="542"/>
      <c r="AK61" s="540"/>
      <c r="AL61" s="541"/>
      <c r="AM61" s="541"/>
      <c r="AN61" s="542"/>
      <c r="AO61" s="540"/>
      <c r="AP61" s="541"/>
      <c r="AQ61" s="541"/>
      <c r="AR61" s="542"/>
      <c r="AS61" s="540"/>
      <c r="AT61" s="541"/>
      <c r="AU61" s="541"/>
      <c r="AV61" s="542"/>
      <c r="AW61" s="540"/>
      <c r="AX61" s="541"/>
      <c r="AY61" s="541"/>
      <c r="AZ61" s="542"/>
      <c r="BG61" s="93"/>
      <c r="BH61" s="93"/>
      <c r="BI61" s="93"/>
      <c r="BJ61" s="200">
        <v>16</v>
      </c>
      <c r="BK61" s="164">
        <v>0</v>
      </c>
      <c r="BL61" s="165">
        <v>27.96</v>
      </c>
      <c r="BM61" s="165">
        <v>36.83</v>
      </c>
      <c r="BN61" s="165">
        <v>47.64</v>
      </c>
      <c r="BO61" s="165">
        <v>48.52</v>
      </c>
      <c r="BP61" s="165">
        <v>49.69</v>
      </c>
      <c r="BQ61" s="165">
        <v>41.95</v>
      </c>
      <c r="BR61" s="165">
        <v>49.98</v>
      </c>
      <c r="BS61" s="165">
        <v>63.2</v>
      </c>
      <c r="BT61" s="165">
        <v>81.489999999999995</v>
      </c>
      <c r="BU61" s="165">
        <v>89.17</v>
      </c>
      <c r="BV61" s="165">
        <v>49.69</v>
      </c>
      <c r="BW61" s="165">
        <v>41.95</v>
      </c>
      <c r="BX61" s="165">
        <v>49.98</v>
      </c>
      <c r="BY61" s="165">
        <v>63.2</v>
      </c>
      <c r="BZ61" s="165">
        <v>81.489999999999995</v>
      </c>
      <c r="CA61" s="165">
        <v>89.17</v>
      </c>
      <c r="CB61" s="200"/>
      <c r="CC61" s="126"/>
      <c r="CD61" s="126"/>
      <c r="CE61" s="143"/>
      <c r="CF61" s="119"/>
      <c r="CG61" s="181" t="s">
        <v>411</v>
      </c>
      <c r="CH61" s="182">
        <v>7</v>
      </c>
      <c r="CI61" s="157">
        <v>0</v>
      </c>
      <c r="CJ61" s="158">
        <v>1.43</v>
      </c>
      <c r="CK61" s="159">
        <v>2.36</v>
      </c>
      <c r="CL61" s="159">
        <v>3.66</v>
      </c>
      <c r="CM61" s="160">
        <v>3.74</v>
      </c>
      <c r="CN61" s="158">
        <v>3.66</v>
      </c>
      <c r="CO61" s="159">
        <v>2.98</v>
      </c>
      <c r="CP61" s="159">
        <v>3.74</v>
      </c>
      <c r="CQ61" s="159">
        <v>5.66</v>
      </c>
      <c r="CR61" s="159">
        <v>7.83</v>
      </c>
      <c r="CS61" s="160">
        <v>8.26</v>
      </c>
      <c r="CT61" s="161">
        <v>3.66</v>
      </c>
      <c r="CU61" s="159">
        <v>2.98</v>
      </c>
      <c r="CV61" s="159">
        <v>3.74</v>
      </c>
      <c r="CW61" s="159">
        <v>5.66</v>
      </c>
      <c r="CX61" s="159">
        <v>7.83</v>
      </c>
      <c r="CY61" s="160">
        <v>8.26</v>
      </c>
      <c r="CZ61" s="183"/>
    </row>
    <row r="62" spans="1:107">
      <c r="A62" s="107"/>
      <c r="B62" s="107"/>
      <c r="C62" s="107"/>
      <c r="D62" s="107"/>
      <c r="E62" s="551"/>
      <c r="F62" s="552"/>
      <c r="G62" s="552"/>
      <c r="H62" s="553"/>
      <c r="I62" s="545"/>
      <c r="J62" s="546"/>
      <c r="K62" s="546"/>
      <c r="L62" s="547"/>
      <c r="M62" s="545"/>
      <c r="N62" s="546"/>
      <c r="O62" s="546"/>
      <c r="P62" s="547"/>
      <c r="Q62" s="545"/>
      <c r="R62" s="546"/>
      <c r="S62" s="546"/>
      <c r="T62" s="547"/>
      <c r="U62" s="545"/>
      <c r="V62" s="546"/>
      <c r="W62" s="546"/>
      <c r="X62" s="547"/>
      <c r="Y62" s="545"/>
      <c r="Z62" s="546"/>
      <c r="AA62" s="546"/>
      <c r="AB62" s="547"/>
      <c r="AC62" s="545"/>
      <c r="AD62" s="546"/>
      <c r="AE62" s="546"/>
      <c r="AF62" s="547"/>
      <c r="AG62" s="545"/>
      <c r="AH62" s="546"/>
      <c r="AI62" s="546"/>
      <c r="AJ62" s="547"/>
      <c r="AK62" s="545"/>
      <c r="AL62" s="546"/>
      <c r="AM62" s="546"/>
      <c r="AN62" s="547"/>
      <c r="AO62" s="545"/>
      <c r="AP62" s="546"/>
      <c r="AQ62" s="546"/>
      <c r="AR62" s="547"/>
      <c r="AS62" s="545"/>
      <c r="AT62" s="546"/>
      <c r="AU62" s="546"/>
      <c r="AV62" s="547"/>
      <c r="AW62" s="545"/>
      <c r="AX62" s="546"/>
      <c r="AY62" s="546"/>
      <c r="AZ62" s="547"/>
      <c r="BG62" s="93"/>
      <c r="BH62" s="93"/>
      <c r="BI62" s="93"/>
      <c r="BJ62" s="200">
        <v>16.5</v>
      </c>
      <c r="BK62" s="164">
        <v>0</v>
      </c>
      <c r="BL62" s="165">
        <v>28.31</v>
      </c>
      <c r="BM62" s="165">
        <v>37.39</v>
      </c>
      <c r="BN62" s="165">
        <v>48.52</v>
      </c>
      <c r="BO62" s="165">
        <v>49.42</v>
      </c>
      <c r="BP62" s="165">
        <v>50.57</v>
      </c>
      <c r="BQ62" s="165">
        <v>42.66</v>
      </c>
      <c r="BR62" s="165">
        <v>50.88</v>
      </c>
      <c r="BS62" s="165">
        <v>64.56</v>
      </c>
      <c r="BT62" s="165">
        <v>83.37</v>
      </c>
      <c r="BU62" s="165">
        <v>91.15</v>
      </c>
      <c r="BV62" s="165">
        <v>50.57</v>
      </c>
      <c r="BW62" s="165">
        <v>42.66</v>
      </c>
      <c r="BX62" s="165">
        <v>50.88</v>
      </c>
      <c r="BY62" s="165">
        <v>64.56</v>
      </c>
      <c r="BZ62" s="165">
        <v>83.37</v>
      </c>
      <c r="CA62" s="165">
        <v>91.15</v>
      </c>
      <c r="CB62" s="200"/>
      <c r="CC62" s="126"/>
      <c r="CD62" s="126"/>
      <c r="CE62" s="143"/>
      <c r="CF62" s="119"/>
      <c r="CG62" s="184" t="s">
        <v>412</v>
      </c>
      <c r="CH62" s="185">
        <v>8</v>
      </c>
      <c r="CI62" s="157">
        <v>0</v>
      </c>
      <c r="CJ62" s="158">
        <v>1.62</v>
      </c>
      <c r="CK62" s="159">
        <v>2.2999999999999998</v>
      </c>
      <c r="CL62" s="159">
        <v>3.61</v>
      </c>
      <c r="CM62" s="160">
        <v>3.66</v>
      </c>
      <c r="CN62" s="158">
        <v>3.66</v>
      </c>
      <c r="CO62" s="159">
        <v>2.98</v>
      </c>
      <c r="CP62" s="159">
        <v>3.66</v>
      </c>
      <c r="CQ62" s="159">
        <v>5.41</v>
      </c>
      <c r="CR62" s="159">
        <v>7.9</v>
      </c>
      <c r="CS62" s="160">
        <v>8.4600000000000009</v>
      </c>
      <c r="CT62" s="161">
        <v>3.66</v>
      </c>
      <c r="CU62" s="159">
        <v>2.98</v>
      </c>
      <c r="CV62" s="159">
        <v>3.66</v>
      </c>
      <c r="CW62" s="159">
        <v>5.41</v>
      </c>
      <c r="CX62" s="159">
        <v>7.9</v>
      </c>
      <c r="CY62" s="160">
        <v>8.4600000000000009</v>
      </c>
      <c r="CZ62" s="186"/>
    </row>
    <row r="63" spans="1:107">
      <c r="A63" s="107"/>
      <c r="B63" s="107"/>
      <c r="C63" s="107"/>
      <c r="D63" s="107"/>
      <c r="E63" s="548"/>
      <c r="F63" s="549"/>
      <c r="G63" s="549"/>
      <c r="H63" s="550"/>
      <c r="I63" s="540"/>
      <c r="J63" s="541"/>
      <c r="K63" s="541"/>
      <c r="L63" s="542"/>
      <c r="M63" s="540"/>
      <c r="N63" s="541"/>
      <c r="O63" s="541"/>
      <c r="P63" s="542"/>
      <c r="Q63" s="540"/>
      <c r="R63" s="541"/>
      <c r="S63" s="541"/>
      <c r="T63" s="542"/>
      <c r="U63" s="540"/>
      <c r="V63" s="541"/>
      <c r="W63" s="541"/>
      <c r="X63" s="542"/>
      <c r="Y63" s="540"/>
      <c r="Z63" s="541"/>
      <c r="AA63" s="541"/>
      <c r="AB63" s="542"/>
      <c r="AC63" s="540"/>
      <c r="AD63" s="541"/>
      <c r="AE63" s="541"/>
      <c r="AF63" s="542"/>
      <c r="AG63" s="540"/>
      <c r="AH63" s="541"/>
      <c r="AI63" s="541"/>
      <c r="AJ63" s="542"/>
      <c r="AK63" s="540"/>
      <c r="AL63" s="541"/>
      <c r="AM63" s="541"/>
      <c r="AN63" s="542"/>
      <c r="AO63" s="540"/>
      <c r="AP63" s="541"/>
      <c r="AQ63" s="541"/>
      <c r="AR63" s="542"/>
      <c r="AS63" s="540"/>
      <c r="AT63" s="541"/>
      <c r="AU63" s="541"/>
      <c r="AV63" s="542"/>
      <c r="AW63" s="540"/>
      <c r="AX63" s="541"/>
      <c r="AY63" s="541"/>
      <c r="AZ63" s="542"/>
      <c r="BG63" s="93"/>
      <c r="BH63" s="93"/>
      <c r="BI63" s="93"/>
      <c r="BJ63" s="200">
        <v>17</v>
      </c>
      <c r="BK63" s="164">
        <v>0</v>
      </c>
      <c r="BL63" s="165">
        <v>28.65</v>
      </c>
      <c r="BM63" s="165">
        <v>37.96</v>
      </c>
      <c r="BN63" s="165">
        <v>49.4</v>
      </c>
      <c r="BO63" s="165">
        <v>50.31</v>
      </c>
      <c r="BP63" s="165">
        <v>51.45</v>
      </c>
      <c r="BQ63" s="165">
        <v>43.38</v>
      </c>
      <c r="BR63" s="165">
        <v>51.78</v>
      </c>
      <c r="BS63" s="165">
        <v>65.92</v>
      </c>
      <c r="BT63" s="165">
        <v>85.25</v>
      </c>
      <c r="BU63" s="165">
        <v>93.13</v>
      </c>
      <c r="BV63" s="165">
        <v>51.45</v>
      </c>
      <c r="BW63" s="165">
        <v>43.38</v>
      </c>
      <c r="BX63" s="165">
        <v>51.78</v>
      </c>
      <c r="BY63" s="165">
        <v>65.92</v>
      </c>
      <c r="BZ63" s="165">
        <v>85.25</v>
      </c>
      <c r="CA63" s="165">
        <v>93.13</v>
      </c>
      <c r="CB63" s="200"/>
      <c r="CC63" s="126"/>
      <c r="CD63" s="126"/>
      <c r="CE63" s="143"/>
      <c r="CF63" s="119"/>
      <c r="CG63" s="166" t="s">
        <v>413</v>
      </c>
      <c r="CH63" s="167">
        <v>9</v>
      </c>
      <c r="CI63" s="157">
        <v>0</v>
      </c>
      <c r="CJ63" s="158">
        <v>4</v>
      </c>
      <c r="CK63" s="159">
        <v>5.86</v>
      </c>
      <c r="CL63" s="159">
        <v>8.56</v>
      </c>
      <c r="CM63" s="160">
        <v>8.7100000000000009</v>
      </c>
      <c r="CN63" s="158">
        <v>9.33</v>
      </c>
      <c r="CO63" s="159">
        <v>7.9</v>
      </c>
      <c r="CP63" s="159">
        <v>9.4600000000000009</v>
      </c>
      <c r="CQ63" s="159">
        <v>14.89</v>
      </c>
      <c r="CR63" s="159">
        <v>21.62</v>
      </c>
      <c r="CS63" s="160">
        <v>22.75</v>
      </c>
      <c r="CT63" s="161">
        <v>9.33</v>
      </c>
      <c r="CU63" s="159">
        <v>7.9</v>
      </c>
      <c r="CV63" s="159">
        <v>9.4600000000000009</v>
      </c>
      <c r="CW63" s="159">
        <v>14.89</v>
      </c>
      <c r="CX63" s="159">
        <v>21.62</v>
      </c>
      <c r="CY63" s="160">
        <v>22.75</v>
      </c>
      <c r="CZ63" s="168"/>
      <c r="DA63" s="187" t="s">
        <v>414</v>
      </c>
    </row>
    <row r="64" spans="1:107">
      <c r="A64" s="107"/>
      <c r="B64" s="107"/>
      <c r="C64" s="107"/>
      <c r="D64" s="107"/>
      <c r="E64" s="551"/>
      <c r="F64" s="552"/>
      <c r="G64" s="552"/>
      <c r="H64" s="553"/>
      <c r="I64" s="545"/>
      <c r="J64" s="546"/>
      <c r="K64" s="546"/>
      <c r="L64" s="547"/>
      <c r="M64" s="545"/>
      <c r="N64" s="546"/>
      <c r="O64" s="546"/>
      <c r="P64" s="547"/>
      <c r="Q64" s="545"/>
      <c r="R64" s="546"/>
      <c r="S64" s="546"/>
      <c r="T64" s="547"/>
      <c r="U64" s="545"/>
      <c r="V64" s="546"/>
      <c r="W64" s="546"/>
      <c r="X64" s="547"/>
      <c r="Y64" s="545"/>
      <c r="Z64" s="546"/>
      <c r="AA64" s="546"/>
      <c r="AB64" s="547"/>
      <c r="AC64" s="545"/>
      <c r="AD64" s="546"/>
      <c r="AE64" s="546"/>
      <c r="AF64" s="547"/>
      <c r="AG64" s="545"/>
      <c r="AH64" s="546"/>
      <c r="AI64" s="546"/>
      <c r="AJ64" s="547"/>
      <c r="AK64" s="545"/>
      <c r="AL64" s="546"/>
      <c r="AM64" s="546"/>
      <c r="AN64" s="547"/>
      <c r="AO64" s="545"/>
      <c r="AP64" s="546"/>
      <c r="AQ64" s="546"/>
      <c r="AR64" s="547"/>
      <c r="AS64" s="545"/>
      <c r="AT64" s="546"/>
      <c r="AU64" s="546"/>
      <c r="AV64" s="547"/>
      <c r="AW64" s="545"/>
      <c r="AX64" s="546"/>
      <c r="AY64" s="546"/>
      <c r="AZ64" s="547"/>
      <c r="BG64" s="93"/>
      <c r="BH64" s="93"/>
      <c r="BI64" s="93"/>
      <c r="BJ64" s="200">
        <v>17.5</v>
      </c>
      <c r="BK64" s="164">
        <v>0</v>
      </c>
      <c r="BL64" s="165">
        <v>28.99</v>
      </c>
      <c r="BM64" s="165">
        <v>38.520000000000003</v>
      </c>
      <c r="BN64" s="165">
        <v>50.28</v>
      </c>
      <c r="BO64" s="165">
        <v>51.21</v>
      </c>
      <c r="BP64" s="165">
        <v>52.33</v>
      </c>
      <c r="BQ64" s="165">
        <v>44.09</v>
      </c>
      <c r="BR64" s="165">
        <v>52.68</v>
      </c>
      <c r="BS64" s="165">
        <v>67.28</v>
      </c>
      <c r="BT64" s="165">
        <v>87.13</v>
      </c>
      <c r="BU64" s="165">
        <v>95.11</v>
      </c>
      <c r="BV64" s="165">
        <v>52.33</v>
      </c>
      <c r="BW64" s="165">
        <v>44.09</v>
      </c>
      <c r="BX64" s="165">
        <v>52.68</v>
      </c>
      <c r="BY64" s="165">
        <v>67.28</v>
      </c>
      <c r="BZ64" s="165">
        <v>87.13</v>
      </c>
      <c r="CA64" s="165">
        <v>95.11</v>
      </c>
      <c r="CB64" s="200"/>
      <c r="CC64" s="126"/>
      <c r="CD64" s="126"/>
      <c r="CE64" s="143"/>
      <c r="CF64" s="119"/>
      <c r="CG64" s="188" t="s">
        <v>415</v>
      </c>
      <c r="CH64" s="189">
        <v>10</v>
      </c>
      <c r="CI64" s="157">
        <v>0</v>
      </c>
      <c r="CJ64" s="158">
        <v>4.8600000000000003</v>
      </c>
      <c r="CK64" s="159">
        <v>7.33</v>
      </c>
      <c r="CL64" s="159">
        <v>10.18</v>
      </c>
      <c r="CM64" s="160">
        <v>10.18</v>
      </c>
      <c r="CN64" s="158">
        <v>10.93</v>
      </c>
      <c r="CO64" s="159">
        <v>9.07</v>
      </c>
      <c r="CP64" s="159">
        <v>11.08</v>
      </c>
      <c r="CQ64" s="159">
        <v>17.23</v>
      </c>
      <c r="CR64" s="159">
        <v>24.62</v>
      </c>
      <c r="CS64" s="160">
        <v>25.86</v>
      </c>
      <c r="CT64" s="161">
        <v>10.93</v>
      </c>
      <c r="CU64" s="159">
        <v>9.07</v>
      </c>
      <c r="CV64" s="159">
        <v>11.08</v>
      </c>
      <c r="CW64" s="159">
        <v>17.23</v>
      </c>
      <c r="CX64" s="159">
        <v>24.62</v>
      </c>
      <c r="CY64" s="160">
        <v>25.86</v>
      </c>
      <c r="CZ64" s="190"/>
      <c r="DA64" s="187" t="s">
        <v>414</v>
      </c>
    </row>
    <row r="65" spans="1:105" ht="16" thickBot="1">
      <c r="A65" s="107"/>
      <c r="B65" s="107"/>
      <c r="C65" s="107"/>
      <c r="D65" s="107"/>
      <c r="E65" s="548"/>
      <c r="F65" s="549"/>
      <c r="G65" s="549"/>
      <c r="H65" s="550"/>
      <c r="I65" s="540"/>
      <c r="J65" s="541"/>
      <c r="K65" s="541"/>
      <c r="L65" s="542"/>
      <c r="M65" s="540"/>
      <c r="N65" s="541"/>
      <c r="O65" s="541"/>
      <c r="P65" s="542"/>
      <c r="Q65" s="540"/>
      <c r="R65" s="541"/>
      <c r="S65" s="541"/>
      <c r="T65" s="542"/>
      <c r="U65" s="540"/>
      <c r="V65" s="541"/>
      <c r="W65" s="541"/>
      <c r="X65" s="542"/>
      <c r="Y65" s="540"/>
      <c r="Z65" s="541"/>
      <c r="AA65" s="541"/>
      <c r="AB65" s="542"/>
      <c r="AC65" s="540"/>
      <c r="AD65" s="541"/>
      <c r="AE65" s="541"/>
      <c r="AF65" s="542"/>
      <c r="AG65" s="540"/>
      <c r="AH65" s="541"/>
      <c r="AI65" s="541"/>
      <c r="AJ65" s="542"/>
      <c r="AK65" s="540"/>
      <c r="AL65" s="541"/>
      <c r="AM65" s="541"/>
      <c r="AN65" s="542"/>
      <c r="AO65" s="540"/>
      <c r="AP65" s="541"/>
      <c r="AQ65" s="541"/>
      <c r="AR65" s="542"/>
      <c r="AS65" s="540"/>
      <c r="AT65" s="541"/>
      <c r="AU65" s="541"/>
      <c r="AV65" s="542"/>
      <c r="AW65" s="540"/>
      <c r="AX65" s="541"/>
      <c r="AY65" s="541"/>
      <c r="AZ65" s="542"/>
      <c r="BG65" s="93"/>
      <c r="BH65" s="93"/>
      <c r="BI65" s="93"/>
      <c r="BJ65" s="200">
        <v>18</v>
      </c>
      <c r="BK65" s="164">
        <v>0</v>
      </c>
      <c r="BL65" s="165">
        <v>29.34</v>
      </c>
      <c r="BM65" s="165">
        <v>39.090000000000003</v>
      </c>
      <c r="BN65" s="165">
        <v>51.16</v>
      </c>
      <c r="BO65" s="165">
        <v>52.11</v>
      </c>
      <c r="BP65" s="165">
        <v>53.21</v>
      </c>
      <c r="BQ65" s="165">
        <v>44.81</v>
      </c>
      <c r="BR65" s="165">
        <v>53.58</v>
      </c>
      <c r="BS65" s="165">
        <v>68.64</v>
      </c>
      <c r="BT65" s="165">
        <v>89.01</v>
      </c>
      <c r="BU65" s="165">
        <v>97.1</v>
      </c>
      <c r="BV65" s="165">
        <v>53.21</v>
      </c>
      <c r="BW65" s="165">
        <v>44.81</v>
      </c>
      <c r="BX65" s="165">
        <v>53.58</v>
      </c>
      <c r="BY65" s="165">
        <v>68.64</v>
      </c>
      <c r="BZ65" s="165">
        <v>89.01</v>
      </c>
      <c r="CA65" s="165">
        <v>97.1</v>
      </c>
      <c r="CB65" s="200"/>
      <c r="CC65" s="126"/>
      <c r="CD65" s="126"/>
      <c r="CE65" s="143"/>
      <c r="CF65" s="119"/>
      <c r="CG65" s="191" t="s">
        <v>416</v>
      </c>
      <c r="CH65" s="192">
        <v>11</v>
      </c>
      <c r="CI65" s="193">
        <v>0</v>
      </c>
      <c r="CJ65" s="194">
        <v>5.09</v>
      </c>
      <c r="CK65" s="195">
        <v>7.69</v>
      </c>
      <c r="CL65" s="195">
        <v>10.69</v>
      </c>
      <c r="CM65" s="196">
        <v>10.69</v>
      </c>
      <c r="CN65" s="194">
        <v>11.46</v>
      </c>
      <c r="CO65" s="195">
        <v>10.52</v>
      </c>
      <c r="CP65" s="195">
        <v>11.63</v>
      </c>
      <c r="CQ65" s="195">
        <v>19.7</v>
      </c>
      <c r="CR65" s="195">
        <v>25.82</v>
      </c>
      <c r="CS65" s="196">
        <v>27.11</v>
      </c>
      <c r="CT65" s="197">
        <v>11.46</v>
      </c>
      <c r="CU65" s="195">
        <v>10.52</v>
      </c>
      <c r="CV65" s="195">
        <v>11.63</v>
      </c>
      <c r="CW65" s="195">
        <v>19.7</v>
      </c>
      <c r="CX65" s="195">
        <v>25.82</v>
      </c>
      <c r="CY65" s="196">
        <v>27.11</v>
      </c>
      <c r="CZ65" s="198"/>
      <c r="DA65" s="187" t="s">
        <v>414</v>
      </c>
    </row>
    <row r="66" spans="1:105" ht="16" thickBot="1">
      <c r="A66" s="107"/>
      <c r="B66" s="107"/>
      <c r="C66" s="107"/>
      <c r="D66" s="107"/>
      <c r="E66" s="551"/>
      <c r="F66" s="552"/>
      <c r="G66" s="552"/>
      <c r="H66" s="553"/>
      <c r="I66" s="545"/>
      <c r="J66" s="546"/>
      <c r="K66" s="546"/>
      <c r="L66" s="547"/>
      <c r="M66" s="545"/>
      <c r="N66" s="546"/>
      <c r="O66" s="546"/>
      <c r="P66" s="547"/>
      <c r="Q66" s="545"/>
      <c r="R66" s="546"/>
      <c r="S66" s="546"/>
      <c r="T66" s="547"/>
      <c r="U66" s="545"/>
      <c r="V66" s="546"/>
      <c r="W66" s="546"/>
      <c r="X66" s="547"/>
      <c r="Y66" s="545"/>
      <c r="Z66" s="546"/>
      <c r="AA66" s="546"/>
      <c r="AB66" s="547"/>
      <c r="AC66" s="545"/>
      <c r="AD66" s="546"/>
      <c r="AE66" s="546"/>
      <c r="AF66" s="547"/>
      <c r="AG66" s="545"/>
      <c r="AH66" s="546"/>
      <c r="AI66" s="546"/>
      <c r="AJ66" s="547"/>
      <c r="AK66" s="545"/>
      <c r="AL66" s="546"/>
      <c r="AM66" s="546"/>
      <c r="AN66" s="547"/>
      <c r="AO66" s="545"/>
      <c r="AP66" s="546"/>
      <c r="AQ66" s="546"/>
      <c r="AR66" s="547"/>
      <c r="AS66" s="545"/>
      <c r="AT66" s="546"/>
      <c r="AU66" s="546"/>
      <c r="AV66" s="547"/>
      <c r="AW66" s="545"/>
      <c r="AX66" s="546"/>
      <c r="AY66" s="546"/>
      <c r="AZ66" s="547"/>
      <c r="BG66" s="93"/>
      <c r="BH66" s="93"/>
      <c r="BI66" s="93"/>
      <c r="BJ66" s="200">
        <v>18.5</v>
      </c>
      <c r="BK66" s="164">
        <v>0</v>
      </c>
      <c r="BL66" s="165">
        <v>29.68</v>
      </c>
      <c r="BM66" s="165">
        <v>39.659999999999997</v>
      </c>
      <c r="BN66" s="165">
        <v>52.04</v>
      </c>
      <c r="BO66" s="165">
        <v>53.01</v>
      </c>
      <c r="BP66" s="165">
        <v>54.08</v>
      </c>
      <c r="BQ66" s="165">
        <v>45.52</v>
      </c>
      <c r="BR66" s="165">
        <v>54.47</v>
      </c>
      <c r="BS66" s="165">
        <v>69.989999999999995</v>
      </c>
      <c r="BT66" s="165">
        <v>90.89</v>
      </c>
      <c r="BU66" s="165">
        <v>99.08</v>
      </c>
      <c r="BV66" s="165">
        <v>54.08</v>
      </c>
      <c r="BW66" s="165">
        <v>45.52</v>
      </c>
      <c r="BX66" s="165">
        <v>54.47</v>
      </c>
      <c r="BY66" s="165">
        <v>69.989999999999995</v>
      </c>
      <c r="BZ66" s="165">
        <v>90.89</v>
      </c>
      <c r="CA66" s="165">
        <v>99.08</v>
      </c>
      <c r="CB66" s="200"/>
      <c r="CC66" s="126"/>
      <c r="CD66" s="126"/>
      <c r="CE66" s="143"/>
      <c r="CF66" s="119"/>
      <c r="CG66" s="201"/>
      <c r="CH66" s="201"/>
      <c r="CI66" s="201"/>
      <c r="CJ66" s="201"/>
      <c r="CK66" s="201"/>
      <c r="CL66" s="201"/>
      <c r="CM66" s="201"/>
      <c r="CN66" s="201"/>
      <c r="CO66" s="201"/>
      <c r="CP66" s="201"/>
      <c r="CQ66" s="201"/>
      <c r="CR66" s="201"/>
      <c r="CS66" s="201"/>
      <c r="CT66" s="201"/>
      <c r="CU66" s="201"/>
      <c r="CV66" s="201"/>
      <c r="CW66" s="201"/>
      <c r="CX66" s="201"/>
      <c r="CY66" s="201"/>
      <c r="CZ66" s="201"/>
    </row>
    <row r="67" spans="1:105" ht="17" thickBot="1">
      <c r="A67" s="107"/>
      <c r="B67" s="107"/>
      <c r="C67" s="107"/>
      <c r="D67" s="107"/>
      <c r="E67" s="548"/>
      <c r="F67" s="549"/>
      <c r="G67" s="549"/>
      <c r="H67" s="550"/>
      <c r="I67" s="540"/>
      <c r="J67" s="541"/>
      <c r="K67" s="541"/>
      <c r="L67" s="542"/>
      <c r="M67" s="540"/>
      <c r="N67" s="541"/>
      <c r="O67" s="541"/>
      <c r="P67" s="542"/>
      <c r="Q67" s="540"/>
      <c r="R67" s="541"/>
      <c r="S67" s="541"/>
      <c r="T67" s="542"/>
      <c r="U67" s="540"/>
      <c r="V67" s="541"/>
      <c r="W67" s="541"/>
      <c r="X67" s="542"/>
      <c r="Y67" s="540"/>
      <c r="Z67" s="541"/>
      <c r="AA67" s="541"/>
      <c r="AB67" s="542"/>
      <c r="AC67" s="540"/>
      <c r="AD67" s="541"/>
      <c r="AE67" s="541"/>
      <c r="AF67" s="542"/>
      <c r="AG67" s="540"/>
      <c r="AH67" s="541"/>
      <c r="AI67" s="541"/>
      <c r="AJ67" s="542"/>
      <c r="AK67" s="540"/>
      <c r="AL67" s="541"/>
      <c r="AM67" s="541"/>
      <c r="AN67" s="542"/>
      <c r="AO67" s="540"/>
      <c r="AP67" s="541"/>
      <c r="AQ67" s="541"/>
      <c r="AR67" s="542"/>
      <c r="AS67" s="540"/>
      <c r="AT67" s="541"/>
      <c r="AU67" s="541"/>
      <c r="AV67" s="542"/>
      <c r="AW67" s="540"/>
      <c r="AX67" s="541"/>
      <c r="AY67" s="541"/>
      <c r="AZ67" s="542"/>
      <c r="BG67" s="93"/>
      <c r="BH67" s="93"/>
      <c r="BI67" s="93"/>
      <c r="BJ67" s="200">
        <v>19</v>
      </c>
      <c r="BK67" s="164">
        <v>0</v>
      </c>
      <c r="BL67" s="165">
        <v>30.02</v>
      </c>
      <c r="BM67" s="165">
        <v>40.22</v>
      </c>
      <c r="BN67" s="165">
        <v>52.92</v>
      </c>
      <c r="BO67" s="165">
        <v>53.9</v>
      </c>
      <c r="BP67" s="165">
        <v>54.96</v>
      </c>
      <c r="BQ67" s="165">
        <v>46.24</v>
      </c>
      <c r="BR67" s="165">
        <v>55.37</v>
      </c>
      <c r="BS67" s="165">
        <v>71.349999999999994</v>
      </c>
      <c r="BT67" s="165">
        <v>92.77</v>
      </c>
      <c r="BU67" s="165">
        <v>101.06</v>
      </c>
      <c r="BV67" s="165">
        <v>54.96</v>
      </c>
      <c r="BW67" s="165">
        <v>46.24</v>
      </c>
      <c r="BX67" s="165">
        <v>55.37</v>
      </c>
      <c r="BY67" s="165">
        <v>71.349999999999994</v>
      </c>
      <c r="BZ67" s="165">
        <v>92.77</v>
      </c>
      <c r="CA67" s="165">
        <v>101.06</v>
      </c>
      <c r="CB67" s="200"/>
      <c r="CC67" s="126"/>
      <c r="CD67" s="126"/>
      <c r="CE67" s="143"/>
      <c r="CF67" s="119"/>
      <c r="CG67" s="129" t="s">
        <v>421</v>
      </c>
      <c r="CH67" s="130" t="s">
        <v>422</v>
      </c>
      <c r="CI67" s="131">
        <v>0</v>
      </c>
      <c r="CJ67" s="132">
        <v>1</v>
      </c>
      <c r="CK67" s="133">
        <v>2</v>
      </c>
      <c r="CL67" s="133">
        <v>3</v>
      </c>
      <c r="CM67" s="134">
        <v>4</v>
      </c>
      <c r="CN67" s="132">
        <v>5</v>
      </c>
      <c r="CO67" s="133">
        <v>6</v>
      </c>
      <c r="CP67" s="133">
        <v>7</v>
      </c>
      <c r="CQ67" s="133">
        <v>8</v>
      </c>
      <c r="CR67" s="133">
        <v>9</v>
      </c>
      <c r="CS67" s="134">
        <v>10</v>
      </c>
      <c r="CT67" s="135">
        <v>5</v>
      </c>
      <c r="CU67" s="133">
        <v>6</v>
      </c>
      <c r="CV67" s="133">
        <v>7</v>
      </c>
      <c r="CW67" s="133">
        <v>8</v>
      </c>
      <c r="CX67" s="133">
        <v>9</v>
      </c>
      <c r="CY67" s="134">
        <v>10</v>
      </c>
      <c r="CZ67" s="136"/>
    </row>
    <row r="68" spans="1:105">
      <c r="A68" s="107"/>
      <c r="B68" s="107"/>
      <c r="C68" s="107"/>
      <c r="D68" s="107"/>
      <c r="E68" s="551"/>
      <c r="F68" s="552"/>
      <c r="G68" s="552"/>
      <c r="H68" s="553"/>
      <c r="I68" s="545"/>
      <c r="J68" s="546"/>
      <c r="K68" s="546"/>
      <c r="L68" s="547"/>
      <c r="M68" s="545"/>
      <c r="N68" s="546"/>
      <c r="O68" s="546"/>
      <c r="P68" s="547"/>
      <c r="Q68" s="545"/>
      <c r="R68" s="546"/>
      <c r="S68" s="546"/>
      <c r="T68" s="547"/>
      <c r="U68" s="545"/>
      <c r="V68" s="546"/>
      <c r="W68" s="546"/>
      <c r="X68" s="547"/>
      <c r="Y68" s="545"/>
      <c r="Z68" s="546"/>
      <c r="AA68" s="546"/>
      <c r="AB68" s="547"/>
      <c r="AC68" s="545"/>
      <c r="AD68" s="546"/>
      <c r="AE68" s="546"/>
      <c r="AF68" s="547"/>
      <c r="AG68" s="545"/>
      <c r="AH68" s="546"/>
      <c r="AI68" s="546"/>
      <c r="AJ68" s="547"/>
      <c r="AK68" s="545"/>
      <c r="AL68" s="546"/>
      <c r="AM68" s="546"/>
      <c r="AN68" s="547"/>
      <c r="AO68" s="545"/>
      <c r="AP68" s="546"/>
      <c r="AQ68" s="546"/>
      <c r="AR68" s="547"/>
      <c r="AS68" s="545"/>
      <c r="AT68" s="546"/>
      <c r="AU68" s="546"/>
      <c r="AV68" s="547"/>
      <c r="AW68" s="545"/>
      <c r="AX68" s="546"/>
      <c r="AY68" s="546"/>
      <c r="AZ68" s="547"/>
      <c r="BG68" s="93"/>
      <c r="BH68" s="93"/>
      <c r="BI68" s="93"/>
      <c r="BJ68" s="200">
        <v>19.5</v>
      </c>
      <c r="BK68" s="164">
        <v>0</v>
      </c>
      <c r="BL68" s="165">
        <v>30.36</v>
      </c>
      <c r="BM68" s="165">
        <v>40.79</v>
      </c>
      <c r="BN68" s="165">
        <v>53.79</v>
      </c>
      <c r="BO68" s="165">
        <v>54.8</v>
      </c>
      <c r="BP68" s="165">
        <v>55.84</v>
      </c>
      <c r="BQ68" s="165">
        <v>46.95</v>
      </c>
      <c r="BR68" s="165">
        <v>56.27</v>
      </c>
      <c r="BS68" s="165">
        <v>72.709999999999994</v>
      </c>
      <c r="BT68" s="165">
        <v>94.65</v>
      </c>
      <c r="BU68" s="165">
        <v>103.04</v>
      </c>
      <c r="BV68" s="165">
        <v>55.84</v>
      </c>
      <c r="BW68" s="165">
        <v>46.95</v>
      </c>
      <c r="BX68" s="165">
        <v>56.27</v>
      </c>
      <c r="BY68" s="165">
        <v>72.709999999999994</v>
      </c>
      <c r="BZ68" s="165">
        <v>94.65</v>
      </c>
      <c r="CA68" s="165">
        <v>103.04</v>
      </c>
      <c r="CB68" s="200"/>
      <c r="CC68" s="126"/>
      <c r="CD68" s="126"/>
      <c r="CE68" s="143"/>
      <c r="CF68" s="202"/>
      <c r="CG68" s="144" t="s">
        <v>406</v>
      </c>
      <c r="CH68" s="145">
        <v>1</v>
      </c>
      <c r="CI68" s="146">
        <v>0</v>
      </c>
      <c r="CJ68" s="147">
        <v>28.29</v>
      </c>
      <c r="CK68" s="148">
        <v>30.7</v>
      </c>
      <c r="CL68" s="148">
        <v>35.32</v>
      </c>
      <c r="CM68" s="149">
        <v>36.11</v>
      </c>
      <c r="CN68" s="147">
        <v>38.159999999999997</v>
      </c>
      <c r="CO68" s="148">
        <v>27.36</v>
      </c>
      <c r="CP68" s="148">
        <v>39.17</v>
      </c>
      <c r="CQ68" s="148">
        <v>39.479999999999997</v>
      </c>
      <c r="CR68" s="148">
        <v>41.59</v>
      </c>
      <c r="CS68" s="149">
        <v>57.39</v>
      </c>
      <c r="CT68" s="150">
        <v>50.31</v>
      </c>
      <c r="CU68" s="148">
        <v>40.590000000000003</v>
      </c>
      <c r="CV68" s="148">
        <v>50.85</v>
      </c>
      <c r="CW68" s="148">
        <v>59.26</v>
      </c>
      <c r="CX68" s="148">
        <v>62.68</v>
      </c>
      <c r="CY68" s="149">
        <v>71.38</v>
      </c>
      <c r="CZ68" s="151"/>
    </row>
    <row r="69" spans="1:105">
      <c r="A69" s="107"/>
      <c r="B69" s="107"/>
      <c r="C69" s="107"/>
      <c r="D69" s="107"/>
      <c r="E69" s="548"/>
      <c r="F69" s="549"/>
      <c r="G69" s="549"/>
      <c r="H69" s="550"/>
      <c r="I69" s="540"/>
      <c r="J69" s="541"/>
      <c r="K69" s="541"/>
      <c r="L69" s="542"/>
      <c r="M69" s="540"/>
      <c r="N69" s="541"/>
      <c r="O69" s="541"/>
      <c r="P69" s="542"/>
      <c r="Q69" s="540"/>
      <c r="R69" s="541"/>
      <c r="S69" s="541"/>
      <c r="T69" s="542"/>
      <c r="U69" s="540"/>
      <c r="V69" s="541"/>
      <c r="W69" s="541"/>
      <c r="X69" s="542"/>
      <c r="Y69" s="540"/>
      <c r="Z69" s="541"/>
      <c r="AA69" s="541"/>
      <c r="AB69" s="542"/>
      <c r="AC69" s="540"/>
      <c r="AD69" s="541"/>
      <c r="AE69" s="541"/>
      <c r="AF69" s="542"/>
      <c r="AG69" s="540"/>
      <c r="AH69" s="541"/>
      <c r="AI69" s="541"/>
      <c r="AJ69" s="542"/>
      <c r="AK69" s="540"/>
      <c r="AL69" s="541"/>
      <c r="AM69" s="541"/>
      <c r="AN69" s="542"/>
      <c r="AO69" s="540"/>
      <c r="AP69" s="541"/>
      <c r="AQ69" s="541"/>
      <c r="AR69" s="542"/>
      <c r="AS69" s="540"/>
      <c r="AT69" s="541"/>
      <c r="AU69" s="541"/>
      <c r="AV69" s="542"/>
      <c r="AW69" s="540"/>
      <c r="AX69" s="541"/>
      <c r="AY69" s="541"/>
      <c r="AZ69" s="542"/>
      <c r="BG69" s="93"/>
      <c r="BH69" s="93"/>
      <c r="BI69" s="93"/>
      <c r="BJ69" s="200">
        <v>20</v>
      </c>
      <c r="BK69" s="164">
        <v>0</v>
      </c>
      <c r="BL69" s="165">
        <v>30.71</v>
      </c>
      <c r="BM69" s="165">
        <v>41.36</v>
      </c>
      <c r="BN69" s="165">
        <v>54.67</v>
      </c>
      <c r="BO69" s="165">
        <v>55.7</v>
      </c>
      <c r="BP69" s="165">
        <v>56.72</v>
      </c>
      <c r="BQ69" s="165">
        <v>47.67</v>
      </c>
      <c r="BR69" s="165">
        <v>57.17</v>
      </c>
      <c r="BS69" s="165">
        <v>74.069999999999993</v>
      </c>
      <c r="BT69" s="165">
        <v>96.53</v>
      </c>
      <c r="BU69" s="165">
        <v>105.03</v>
      </c>
      <c r="BV69" s="165">
        <v>56.72</v>
      </c>
      <c r="BW69" s="165">
        <v>47.67</v>
      </c>
      <c r="BX69" s="165">
        <v>57.17</v>
      </c>
      <c r="BY69" s="165">
        <v>74.069999999999993</v>
      </c>
      <c r="BZ69" s="165">
        <v>96.53</v>
      </c>
      <c r="CA69" s="165">
        <v>105.03</v>
      </c>
      <c r="CB69" s="200"/>
      <c r="CC69" s="126"/>
      <c r="CD69" s="126"/>
      <c r="CE69" s="143"/>
      <c r="CF69" s="119"/>
      <c r="CG69" s="155" t="s">
        <v>407</v>
      </c>
      <c r="CH69" s="156">
        <v>2</v>
      </c>
      <c r="CI69" s="157">
        <v>0</v>
      </c>
      <c r="CJ69" s="158">
        <v>9.1999999999999993</v>
      </c>
      <c r="CK69" s="159">
        <v>8.84</v>
      </c>
      <c r="CL69" s="159">
        <v>10.51</v>
      </c>
      <c r="CM69" s="160">
        <v>10.64</v>
      </c>
      <c r="CN69" s="158">
        <v>9.52</v>
      </c>
      <c r="CO69" s="159">
        <v>6.03</v>
      </c>
      <c r="CP69" s="159">
        <v>9.52</v>
      </c>
      <c r="CQ69" s="159">
        <v>10.32</v>
      </c>
      <c r="CR69" s="159">
        <v>14.61</v>
      </c>
      <c r="CS69" s="160">
        <v>15.29</v>
      </c>
      <c r="CT69" s="161">
        <v>8.9499999999999993</v>
      </c>
      <c r="CU69" s="159">
        <v>5.96</v>
      </c>
      <c r="CV69" s="159">
        <v>8.9499999999999993</v>
      </c>
      <c r="CW69" s="159">
        <v>10.06</v>
      </c>
      <c r="CX69" s="159">
        <v>14.73</v>
      </c>
      <c r="CY69" s="160">
        <v>14.98</v>
      </c>
      <c r="CZ69" s="162"/>
    </row>
    <row r="70" spans="1:105">
      <c r="A70" s="107"/>
      <c r="B70" s="107"/>
      <c r="C70" s="107"/>
      <c r="D70" s="107"/>
      <c r="E70" s="551"/>
      <c r="F70" s="552"/>
      <c r="G70" s="552"/>
      <c r="H70" s="553"/>
      <c r="I70" s="545"/>
      <c r="J70" s="546"/>
      <c r="K70" s="546"/>
      <c r="L70" s="547"/>
      <c r="M70" s="545"/>
      <c r="N70" s="546"/>
      <c r="O70" s="546"/>
      <c r="P70" s="547"/>
      <c r="Q70" s="545"/>
      <c r="R70" s="546"/>
      <c r="S70" s="546"/>
      <c r="T70" s="547"/>
      <c r="U70" s="545"/>
      <c r="V70" s="546"/>
      <c r="W70" s="546"/>
      <c r="X70" s="547"/>
      <c r="Y70" s="545"/>
      <c r="Z70" s="546"/>
      <c r="AA70" s="546"/>
      <c r="AB70" s="547"/>
      <c r="AC70" s="545"/>
      <c r="AD70" s="546"/>
      <c r="AE70" s="546"/>
      <c r="AF70" s="547"/>
      <c r="AG70" s="545"/>
      <c r="AH70" s="546"/>
      <c r="AI70" s="546"/>
      <c r="AJ70" s="547"/>
      <c r="AK70" s="545"/>
      <c r="AL70" s="546"/>
      <c r="AM70" s="546"/>
      <c r="AN70" s="547"/>
      <c r="AO70" s="545"/>
      <c r="AP70" s="546"/>
      <c r="AQ70" s="546"/>
      <c r="AR70" s="547"/>
      <c r="AS70" s="545"/>
      <c r="AT70" s="546"/>
      <c r="AU70" s="546"/>
      <c r="AV70" s="547"/>
      <c r="AW70" s="545"/>
      <c r="AX70" s="546"/>
      <c r="AY70" s="546"/>
      <c r="AZ70" s="547"/>
      <c r="BG70" s="93"/>
      <c r="BH70" s="93"/>
      <c r="BI70" s="93"/>
      <c r="BJ70" s="203">
        <v>20.5</v>
      </c>
      <c r="BK70" s="164">
        <v>0</v>
      </c>
      <c r="BL70" s="165">
        <v>31.1</v>
      </c>
      <c r="BM70" s="165">
        <v>41.91</v>
      </c>
      <c r="BN70" s="165">
        <v>55.54</v>
      </c>
      <c r="BO70" s="165">
        <v>56.58</v>
      </c>
      <c r="BP70" s="165">
        <v>57.6</v>
      </c>
      <c r="BQ70" s="165">
        <v>48.38</v>
      </c>
      <c r="BR70" s="165">
        <v>58.04</v>
      </c>
      <c r="BS70" s="165">
        <v>75.37</v>
      </c>
      <c r="BT70" s="165">
        <v>98.42</v>
      </c>
      <c r="BU70" s="165">
        <v>107.06</v>
      </c>
      <c r="BV70" s="165">
        <v>57.6</v>
      </c>
      <c r="BW70" s="165">
        <v>48.38</v>
      </c>
      <c r="BX70" s="165">
        <v>58.04</v>
      </c>
      <c r="BY70" s="165">
        <v>75.37</v>
      </c>
      <c r="BZ70" s="165">
        <v>98.42</v>
      </c>
      <c r="CA70" s="165">
        <v>107.06</v>
      </c>
      <c r="CB70" s="203"/>
      <c r="CC70" s="126"/>
      <c r="CD70" s="126"/>
      <c r="CE70" s="143"/>
      <c r="CF70" s="119"/>
      <c r="CG70" s="166" t="s">
        <v>408</v>
      </c>
      <c r="CH70" s="167">
        <v>3</v>
      </c>
      <c r="CI70" s="157">
        <v>0</v>
      </c>
      <c r="CJ70" s="158">
        <v>2.68</v>
      </c>
      <c r="CK70" s="159">
        <v>4.16</v>
      </c>
      <c r="CL70" s="159">
        <v>5.6</v>
      </c>
      <c r="CM70" s="160">
        <v>5.66</v>
      </c>
      <c r="CN70" s="158">
        <v>5.23</v>
      </c>
      <c r="CO70" s="159">
        <v>4.16</v>
      </c>
      <c r="CP70" s="159">
        <v>5.23</v>
      </c>
      <c r="CQ70" s="159">
        <v>6.46</v>
      </c>
      <c r="CR70" s="159">
        <v>9.4700000000000006</v>
      </c>
      <c r="CS70" s="160">
        <v>9.8800000000000008</v>
      </c>
      <c r="CT70" s="161">
        <v>5.23</v>
      </c>
      <c r="CU70" s="159">
        <v>4.41</v>
      </c>
      <c r="CV70" s="159">
        <v>5.23</v>
      </c>
      <c r="CW70" s="159">
        <v>5.77</v>
      </c>
      <c r="CX70" s="159">
        <v>8.52</v>
      </c>
      <c r="CY70" s="160">
        <v>9.52</v>
      </c>
      <c r="CZ70" s="168"/>
    </row>
    <row r="71" spans="1:105">
      <c r="A71" s="107"/>
      <c r="B71" s="107"/>
      <c r="C71" s="107"/>
      <c r="D71" s="107"/>
      <c r="E71" s="548"/>
      <c r="F71" s="549"/>
      <c r="G71" s="549"/>
      <c r="H71" s="550"/>
      <c r="I71" s="540"/>
      <c r="J71" s="541"/>
      <c r="K71" s="541"/>
      <c r="L71" s="542"/>
      <c r="M71" s="540"/>
      <c r="N71" s="541"/>
      <c r="O71" s="541"/>
      <c r="P71" s="542"/>
      <c r="Q71" s="540"/>
      <c r="R71" s="541"/>
      <c r="S71" s="541"/>
      <c r="T71" s="542"/>
      <c r="U71" s="540"/>
      <c r="V71" s="541"/>
      <c r="W71" s="541"/>
      <c r="X71" s="542"/>
      <c r="Y71" s="540"/>
      <c r="Z71" s="541"/>
      <c r="AA71" s="541"/>
      <c r="AB71" s="542"/>
      <c r="AC71" s="540"/>
      <c r="AD71" s="541"/>
      <c r="AE71" s="541"/>
      <c r="AF71" s="542"/>
      <c r="AG71" s="540"/>
      <c r="AH71" s="541"/>
      <c r="AI71" s="541"/>
      <c r="AJ71" s="542"/>
      <c r="AK71" s="540"/>
      <c r="AL71" s="541"/>
      <c r="AM71" s="541"/>
      <c r="AN71" s="542"/>
      <c r="AO71" s="540"/>
      <c r="AP71" s="541"/>
      <c r="AQ71" s="541"/>
      <c r="AR71" s="542"/>
      <c r="AS71" s="540"/>
      <c r="AT71" s="541"/>
      <c r="AU71" s="541"/>
      <c r="AV71" s="542"/>
      <c r="AW71" s="540"/>
      <c r="AX71" s="541"/>
      <c r="AY71" s="541"/>
      <c r="AZ71" s="542"/>
      <c r="BG71" s="93"/>
      <c r="BH71" s="93"/>
      <c r="BI71" s="93"/>
      <c r="BJ71" s="203">
        <v>21</v>
      </c>
      <c r="BK71" s="164">
        <v>0</v>
      </c>
      <c r="BL71" s="165">
        <v>31.49</v>
      </c>
      <c r="BM71" s="165">
        <v>42.46</v>
      </c>
      <c r="BN71" s="165">
        <v>56.4</v>
      </c>
      <c r="BO71" s="165">
        <v>57.46</v>
      </c>
      <c r="BP71" s="165">
        <v>58.48</v>
      </c>
      <c r="BQ71" s="165">
        <v>49.1</v>
      </c>
      <c r="BR71" s="165">
        <v>58.92</v>
      </c>
      <c r="BS71" s="165">
        <v>76.67</v>
      </c>
      <c r="BT71" s="165">
        <v>100.32</v>
      </c>
      <c r="BU71" s="165">
        <v>109.09</v>
      </c>
      <c r="BV71" s="165">
        <v>58.48</v>
      </c>
      <c r="BW71" s="165">
        <v>49.1</v>
      </c>
      <c r="BX71" s="165">
        <v>58.92</v>
      </c>
      <c r="BY71" s="165">
        <v>76.67</v>
      </c>
      <c r="BZ71" s="165">
        <v>100.32</v>
      </c>
      <c r="CA71" s="165">
        <v>109.09</v>
      </c>
      <c r="CB71" s="203"/>
      <c r="CC71" s="126"/>
      <c r="CD71" s="126"/>
      <c r="CE71" s="143"/>
      <c r="CF71" s="119"/>
      <c r="CG71" s="170">
        <v>2.5</v>
      </c>
      <c r="CH71" s="171">
        <v>4</v>
      </c>
      <c r="CI71" s="157">
        <v>0</v>
      </c>
      <c r="CJ71" s="158">
        <v>2.61</v>
      </c>
      <c r="CK71" s="159">
        <v>4.1100000000000003</v>
      </c>
      <c r="CL71" s="159">
        <v>5.54</v>
      </c>
      <c r="CM71" s="160">
        <v>5.6</v>
      </c>
      <c r="CN71" s="158">
        <v>16.750000000000014</v>
      </c>
      <c r="CO71" s="159">
        <v>18.070000000000007</v>
      </c>
      <c r="CP71" s="159">
        <v>16.340000000000003</v>
      </c>
      <c r="CQ71" s="159">
        <v>23.909999999999982</v>
      </c>
      <c r="CR71" s="159">
        <v>27.829999999999984</v>
      </c>
      <c r="CS71" s="160">
        <v>22.47999999999999</v>
      </c>
      <c r="CT71" s="161">
        <v>5.17</v>
      </c>
      <c r="CU71" s="159">
        <v>4.41</v>
      </c>
      <c r="CV71" s="159">
        <v>5.23</v>
      </c>
      <c r="CW71" s="159">
        <v>5.77</v>
      </c>
      <c r="CX71" s="159">
        <v>8.52</v>
      </c>
      <c r="CY71" s="160">
        <v>9.52</v>
      </c>
      <c r="CZ71" s="172"/>
    </row>
    <row r="72" spans="1:105">
      <c r="A72" s="107"/>
      <c r="B72" s="107"/>
      <c r="C72" s="107"/>
      <c r="D72" s="107"/>
      <c r="E72" s="551"/>
      <c r="F72" s="552"/>
      <c r="G72" s="552"/>
      <c r="H72" s="553"/>
      <c r="I72" s="545"/>
      <c r="J72" s="546"/>
      <c r="K72" s="546"/>
      <c r="L72" s="547"/>
      <c r="M72" s="545"/>
      <c r="N72" s="546"/>
      <c r="O72" s="546"/>
      <c r="P72" s="547"/>
      <c r="Q72" s="545"/>
      <c r="R72" s="546"/>
      <c r="S72" s="546"/>
      <c r="T72" s="547"/>
      <c r="U72" s="545"/>
      <c r="V72" s="546"/>
      <c r="W72" s="546"/>
      <c r="X72" s="547"/>
      <c r="Y72" s="545"/>
      <c r="Z72" s="546"/>
      <c r="AA72" s="546"/>
      <c r="AB72" s="547"/>
      <c r="AC72" s="545"/>
      <c r="AD72" s="546"/>
      <c r="AE72" s="546"/>
      <c r="AF72" s="547"/>
      <c r="AG72" s="545"/>
      <c r="AH72" s="546"/>
      <c r="AI72" s="546"/>
      <c r="AJ72" s="547"/>
      <c r="AK72" s="545"/>
      <c r="AL72" s="546"/>
      <c r="AM72" s="546"/>
      <c r="AN72" s="547"/>
      <c r="AO72" s="545"/>
      <c r="AP72" s="546"/>
      <c r="AQ72" s="546"/>
      <c r="AR72" s="547"/>
      <c r="AS72" s="545"/>
      <c r="AT72" s="546"/>
      <c r="AU72" s="546"/>
      <c r="AV72" s="547"/>
      <c r="AW72" s="545"/>
      <c r="AX72" s="546"/>
      <c r="AY72" s="546"/>
      <c r="AZ72" s="547"/>
      <c r="BG72" s="93"/>
      <c r="BH72" s="93"/>
      <c r="BI72" s="93"/>
      <c r="BJ72" s="203">
        <v>21.5</v>
      </c>
      <c r="BK72" s="164">
        <v>0</v>
      </c>
      <c r="BL72" s="165">
        <v>31.87</v>
      </c>
      <c r="BM72" s="165">
        <v>43.01</v>
      </c>
      <c r="BN72" s="165">
        <v>57.27</v>
      </c>
      <c r="BO72" s="165">
        <v>58.33</v>
      </c>
      <c r="BP72" s="165">
        <v>59.35</v>
      </c>
      <c r="BQ72" s="165">
        <v>49.81</v>
      </c>
      <c r="BR72" s="165">
        <v>59.8</v>
      </c>
      <c r="BS72" s="165">
        <v>77.959999999999994</v>
      </c>
      <c r="BT72" s="165">
        <v>102.22</v>
      </c>
      <c r="BU72" s="165">
        <v>111.12</v>
      </c>
      <c r="BV72" s="165">
        <v>59.35</v>
      </c>
      <c r="BW72" s="165">
        <v>49.81</v>
      </c>
      <c r="BX72" s="165">
        <v>59.8</v>
      </c>
      <c r="BY72" s="165">
        <v>77.959999999999994</v>
      </c>
      <c r="BZ72" s="165">
        <v>102.22</v>
      </c>
      <c r="CA72" s="165">
        <v>111.12</v>
      </c>
      <c r="CB72" s="203"/>
      <c r="CC72" s="126"/>
      <c r="CD72" s="126"/>
      <c r="CE72" s="143"/>
      <c r="CG72" s="173" t="s">
        <v>409</v>
      </c>
      <c r="CH72" s="174">
        <v>5</v>
      </c>
      <c r="CI72" s="157">
        <v>0</v>
      </c>
      <c r="CJ72" s="158">
        <v>2.2999999999999998</v>
      </c>
      <c r="CK72" s="159">
        <v>3.43</v>
      </c>
      <c r="CL72" s="159">
        <v>4.97</v>
      </c>
      <c r="CM72" s="160">
        <v>5.04</v>
      </c>
      <c r="CN72" s="158">
        <v>4.59</v>
      </c>
      <c r="CO72" s="159">
        <v>4.05</v>
      </c>
      <c r="CP72" s="159">
        <v>4.78</v>
      </c>
      <c r="CQ72" s="159">
        <v>5.96</v>
      </c>
      <c r="CR72" s="159">
        <v>8.39</v>
      </c>
      <c r="CS72" s="160">
        <v>9.3800000000000008</v>
      </c>
      <c r="CT72" s="161">
        <v>4.59</v>
      </c>
      <c r="CU72" s="159">
        <v>4.05</v>
      </c>
      <c r="CV72" s="159">
        <v>4.78</v>
      </c>
      <c r="CW72" s="159">
        <v>5.96</v>
      </c>
      <c r="CX72" s="159">
        <v>8.39</v>
      </c>
      <c r="CY72" s="160">
        <v>9.3800000000000008</v>
      </c>
      <c r="CZ72" s="175"/>
    </row>
    <row r="73" spans="1:105">
      <c r="A73" s="107"/>
      <c r="B73" s="107"/>
      <c r="C73" s="107"/>
      <c r="D73" s="107"/>
      <c r="E73" s="548"/>
      <c r="F73" s="549"/>
      <c r="G73" s="549"/>
      <c r="H73" s="550"/>
      <c r="I73" s="540"/>
      <c r="J73" s="541"/>
      <c r="K73" s="541"/>
      <c r="L73" s="542"/>
      <c r="M73" s="540"/>
      <c r="N73" s="541"/>
      <c r="O73" s="541"/>
      <c r="P73" s="542"/>
      <c r="Q73" s="540"/>
      <c r="R73" s="541"/>
      <c r="S73" s="541"/>
      <c r="T73" s="542"/>
      <c r="U73" s="540"/>
      <c r="V73" s="541"/>
      <c r="W73" s="541"/>
      <c r="X73" s="542"/>
      <c r="Y73" s="540"/>
      <c r="Z73" s="541"/>
      <c r="AA73" s="541"/>
      <c r="AB73" s="542"/>
      <c r="AC73" s="540"/>
      <c r="AD73" s="541"/>
      <c r="AE73" s="541"/>
      <c r="AF73" s="542"/>
      <c r="AG73" s="540"/>
      <c r="AH73" s="541"/>
      <c r="AI73" s="541"/>
      <c r="AJ73" s="542"/>
      <c r="AK73" s="540"/>
      <c r="AL73" s="541"/>
      <c r="AM73" s="541"/>
      <c r="AN73" s="542"/>
      <c r="AO73" s="540"/>
      <c r="AP73" s="541"/>
      <c r="AQ73" s="541"/>
      <c r="AR73" s="542"/>
      <c r="AS73" s="540"/>
      <c r="AT73" s="541"/>
      <c r="AU73" s="541"/>
      <c r="AV73" s="542"/>
      <c r="AW73" s="540"/>
      <c r="AX73" s="541"/>
      <c r="AY73" s="541"/>
      <c r="AZ73" s="542"/>
      <c r="BG73" s="93"/>
      <c r="BH73" s="93"/>
      <c r="BI73" s="93"/>
      <c r="BJ73" s="203">
        <v>22</v>
      </c>
      <c r="BK73" s="164">
        <v>0</v>
      </c>
      <c r="BL73" s="165">
        <v>32.26</v>
      </c>
      <c r="BM73" s="165">
        <v>43.56</v>
      </c>
      <c r="BN73" s="165">
        <v>58.14</v>
      </c>
      <c r="BO73" s="165">
        <v>59.21</v>
      </c>
      <c r="BP73" s="165">
        <v>60.23</v>
      </c>
      <c r="BQ73" s="165">
        <v>50.53</v>
      </c>
      <c r="BR73" s="165">
        <v>60.68</v>
      </c>
      <c r="BS73" s="165">
        <v>79.260000000000005</v>
      </c>
      <c r="BT73" s="165">
        <v>104.11</v>
      </c>
      <c r="BU73" s="165">
        <v>113.15</v>
      </c>
      <c r="BV73" s="165">
        <v>60.23</v>
      </c>
      <c r="BW73" s="165">
        <v>50.53</v>
      </c>
      <c r="BX73" s="165">
        <v>60.68</v>
      </c>
      <c r="BY73" s="165">
        <v>79.260000000000005</v>
      </c>
      <c r="BZ73" s="165">
        <v>104.11</v>
      </c>
      <c r="CA73" s="165">
        <v>113.15</v>
      </c>
      <c r="CB73" s="203"/>
      <c r="CC73" s="126"/>
      <c r="CD73" s="126"/>
      <c r="CE73" s="143"/>
      <c r="CG73" s="177" t="s">
        <v>410</v>
      </c>
      <c r="CH73" s="178">
        <v>6</v>
      </c>
      <c r="CI73" s="157">
        <v>0</v>
      </c>
      <c r="CJ73" s="158">
        <v>2.25</v>
      </c>
      <c r="CK73" s="159">
        <v>3.61</v>
      </c>
      <c r="CL73" s="159">
        <v>4.7300000000000004</v>
      </c>
      <c r="CM73" s="160">
        <v>4.8499999999999996</v>
      </c>
      <c r="CN73" s="158">
        <v>4.54</v>
      </c>
      <c r="CO73" s="159">
        <v>3.91</v>
      </c>
      <c r="CP73" s="159">
        <v>4.41</v>
      </c>
      <c r="CQ73" s="159">
        <v>5.91</v>
      </c>
      <c r="CR73" s="159">
        <v>8.08</v>
      </c>
      <c r="CS73" s="160">
        <v>9.07</v>
      </c>
      <c r="CT73" s="161">
        <v>4.54</v>
      </c>
      <c r="CU73" s="159">
        <v>3.91</v>
      </c>
      <c r="CV73" s="159">
        <v>4.41</v>
      </c>
      <c r="CW73" s="159">
        <v>5.91</v>
      </c>
      <c r="CX73" s="159">
        <v>8.08</v>
      </c>
      <c r="CY73" s="160">
        <v>9.07</v>
      </c>
      <c r="CZ73" s="179"/>
    </row>
    <row r="74" spans="1:105">
      <c r="A74" s="107"/>
      <c r="B74" s="107"/>
      <c r="C74" s="107"/>
      <c r="D74" s="107"/>
      <c r="E74" s="551"/>
      <c r="F74" s="552"/>
      <c r="G74" s="552"/>
      <c r="H74" s="553"/>
      <c r="I74" s="545"/>
      <c r="J74" s="546"/>
      <c r="K74" s="546"/>
      <c r="L74" s="547"/>
      <c r="M74" s="545"/>
      <c r="N74" s="546"/>
      <c r="O74" s="546"/>
      <c r="P74" s="547"/>
      <c r="Q74" s="545"/>
      <c r="R74" s="546"/>
      <c r="S74" s="546"/>
      <c r="T74" s="547"/>
      <c r="U74" s="545"/>
      <c r="V74" s="546"/>
      <c r="W74" s="546"/>
      <c r="X74" s="547"/>
      <c r="Y74" s="545"/>
      <c r="Z74" s="546"/>
      <c r="AA74" s="546"/>
      <c r="AB74" s="547"/>
      <c r="AC74" s="545"/>
      <c r="AD74" s="546"/>
      <c r="AE74" s="546"/>
      <c r="AF74" s="547"/>
      <c r="AG74" s="545"/>
      <c r="AH74" s="546"/>
      <c r="AI74" s="546"/>
      <c r="AJ74" s="547"/>
      <c r="AK74" s="545"/>
      <c r="AL74" s="546"/>
      <c r="AM74" s="546"/>
      <c r="AN74" s="547"/>
      <c r="AO74" s="545"/>
      <c r="AP74" s="546"/>
      <c r="AQ74" s="546"/>
      <c r="AR74" s="547"/>
      <c r="AS74" s="545"/>
      <c r="AT74" s="546"/>
      <c r="AU74" s="546"/>
      <c r="AV74" s="547"/>
      <c r="AW74" s="545"/>
      <c r="AX74" s="546"/>
      <c r="AY74" s="546"/>
      <c r="AZ74" s="547"/>
      <c r="BG74" s="93"/>
      <c r="BH74" s="93"/>
      <c r="BI74" s="93"/>
      <c r="BJ74" s="203">
        <v>22.5</v>
      </c>
      <c r="BK74" s="164">
        <v>0</v>
      </c>
      <c r="BL74" s="165">
        <v>32.65</v>
      </c>
      <c r="BM74" s="165">
        <v>44.12</v>
      </c>
      <c r="BN74" s="165">
        <v>59</v>
      </c>
      <c r="BO74" s="165">
        <v>60.09</v>
      </c>
      <c r="BP74" s="165">
        <v>61.11</v>
      </c>
      <c r="BQ74" s="165">
        <v>51.24</v>
      </c>
      <c r="BR74" s="165">
        <v>61.56</v>
      </c>
      <c r="BS74" s="165">
        <v>80.56</v>
      </c>
      <c r="BT74" s="165">
        <v>106.01</v>
      </c>
      <c r="BU74" s="165">
        <v>115.18</v>
      </c>
      <c r="BV74" s="165">
        <v>61.11</v>
      </c>
      <c r="BW74" s="165">
        <v>51.24</v>
      </c>
      <c r="BX74" s="165">
        <v>61.56</v>
      </c>
      <c r="BY74" s="165">
        <v>80.56</v>
      </c>
      <c r="BZ74" s="165">
        <v>106.01</v>
      </c>
      <c r="CA74" s="165">
        <v>115.18</v>
      </c>
      <c r="CB74" s="203"/>
      <c r="CC74" s="126"/>
      <c r="CD74" s="126"/>
      <c r="CE74" s="143"/>
      <c r="CF74" s="119"/>
      <c r="CG74" s="181" t="s">
        <v>411</v>
      </c>
      <c r="CH74" s="182">
        <v>7</v>
      </c>
      <c r="CI74" s="157">
        <v>0</v>
      </c>
      <c r="CJ74" s="158">
        <v>1.43</v>
      </c>
      <c r="CK74" s="159">
        <v>2.36</v>
      </c>
      <c r="CL74" s="159">
        <v>3.66</v>
      </c>
      <c r="CM74" s="160">
        <v>3.74</v>
      </c>
      <c r="CN74" s="158">
        <v>3.66</v>
      </c>
      <c r="CO74" s="159">
        <v>2.98</v>
      </c>
      <c r="CP74" s="159">
        <v>3.74</v>
      </c>
      <c r="CQ74" s="159">
        <v>5.66</v>
      </c>
      <c r="CR74" s="159">
        <v>7.83</v>
      </c>
      <c r="CS74" s="160">
        <v>8.26</v>
      </c>
      <c r="CT74" s="161">
        <v>3.66</v>
      </c>
      <c r="CU74" s="159">
        <v>2.98</v>
      </c>
      <c r="CV74" s="159">
        <v>3.74</v>
      </c>
      <c r="CW74" s="159">
        <v>5.66</v>
      </c>
      <c r="CX74" s="159">
        <v>7.83</v>
      </c>
      <c r="CY74" s="160">
        <v>8.26</v>
      </c>
      <c r="CZ74" s="183"/>
    </row>
    <row r="75" spans="1:105">
      <c r="A75" s="107"/>
      <c r="B75" s="107"/>
      <c r="C75" s="107"/>
      <c r="D75" s="107"/>
      <c r="E75" s="548"/>
      <c r="F75" s="549"/>
      <c r="G75" s="549"/>
      <c r="H75" s="550"/>
      <c r="I75" s="540"/>
      <c r="J75" s="541"/>
      <c r="K75" s="541"/>
      <c r="L75" s="542"/>
      <c r="M75" s="540"/>
      <c r="N75" s="541"/>
      <c r="O75" s="541"/>
      <c r="P75" s="542"/>
      <c r="Q75" s="540"/>
      <c r="R75" s="541"/>
      <c r="S75" s="541"/>
      <c r="T75" s="542"/>
      <c r="U75" s="540"/>
      <c r="V75" s="541"/>
      <c r="W75" s="541"/>
      <c r="X75" s="542"/>
      <c r="Y75" s="540"/>
      <c r="Z75" s="541"/>
      <c r="AA75" s="541"/>
      <c r="AB75" s="542"/>
      <c r="AC75" s="540"/>
      <c r="AD75" s="541"/>
      <c r="AE75" s="541"/>
      <c r="AF75" s="542"/>
      <c r="AG75" s="540"/>
      <c r="AH75" s="541"/>
      <c r="AI75" s="541"/>
      <c r="AJ75" s="542"/>
      <c r="AK75" s="540"/>
      <c r="AL75" s="541"/>
      <c r="AM75" s="541"/>
      <c r="AN75" s="542"/>
      <c r="AO75" s="540"/>
      <c r="AP75" s="541"/>
      <c r="AQ75" s="541"/>
      <c r="AR75" s="542"/>
      <c r="AS75" s="540"/>
      <c r="AT75" s="541"/>
      <c r="AU75" s="541"/>
      <c r="AV75" s="542"/>
      <c r="AW75" s="540"/>
      <c r="AX75" s="541"/>
      <c r="AY75" s="541"/>
      <c r="AZ75" s="542"/>
      <c r="BG75" s="93"/>
      <c r="BH75" s="93"/>
      <c r="BI75" s="93"/>
      <c r="BJ75" s="203">
        <v>23</v>
      </c>
      <c r="BK75" s="164">
        <v>0</v>
      </c>
      <c r="BL75" s="165">
        <v>33.04</v>
      </c>
      <c r="BM75" s="165">
        <v>44.67</v>
      </c>
      <c r="BN75" s="165">
        <v>59.87</v>
      </c>
      <c r="BO75" s="165">
        <v>60.97</v>
      </c>
      <c r="BP75" s="165">
        <v>61.99</v>
      </c>
      <c r="BQ75" s="165">
        <v>51.96</v>
      </c>
      <c r="BR75" s="165">
        <v>62.44</v>
      </c>
      <c r="BS75" s="165">
        <v>81.86</v>
      </c>
      <c r="BT75" s="165">
        <v>107.9</v>
      </c>
      <c r="BU75" s="165">
        <v>117.21</v>
      </c>
      <c r="BV75" s="165">
        <v>61.99</v>
      </c>
      <c r="BW75" s="165">
        <v>51.96</v>
      </c>
      <c r="BX75" s="165">
        <v>62.44</v>
      </c>
      <c r="BY75" s="165">
        <v>81.86</v>
      </c>
      <c r="BZ75" s="165">
        <v>107.9</v>
      </c>
      <c r="CA75" s="165">
        <v>117.21</v>
      </c>
      <c r="CB75" s="203"/>
      <c r="CC75" s="126"/>
      <c r="CD75" s="126"/>
      <c r="CE75" s="143"/>
      <c r="CG75" s="184" t="s">
        <v>412</v>
      </c>
      <c r="CH75" s="185">
        <v>8</v>
      </c>
      <c r="CI75" s="157">
        <v>0</v>
      </c>
      <c r="CJ75" s="158">
        <v>1.62</v>
      </c>
      <c r="CK75" s="159">
        <v>2.2999999999999998</v>
      </c>
      <c r="CL75" s="159">
        <v>3.61</v>
      </c>
      <c r="CM75" s="160">
        <v>3.66</v>
      </c>
      <c r="CN75" s="158">
        <v>3.66</v>
      </c>
      <c r="CO75" s="159">
        <v>2.98</v>
      </c>
      <c r="CP75" s="159">
        <v>3.66</v>
      </c>
      <c r="CQ75" s="159">
        <v>5.41</v>
      </c>
      <c r="CR75" s="159">
        <v>7.9</v>
      </c>
      <c r="CS75" s="160">
        <v>8.4600000000000009</v>
      </c>
      <c r="CT75" s="161">
        <v>3.66</v>
      </c>
      <c r="CU75" s="159">
        <v>2.98</v>
      </c>
      <c r="CV75" s="159">
        <v>3.66</v>
      </c>
      <c r="CW75" s="159">
        <v>5.41</v>
      </c>
      <c r="CX75" s="159">
        <v>7.9</v>
      </c>
      <c r="CY75" s="160">
        <v>8.4600000000000009</v>
      </c>
      <c r="CZ75" s="186"/>
    </row>
    <row r="76" spans="1:105">
      <c r="A76" s="107"/>
      <c r="B76" s="107"/>
      <c r="C76" s="107"/>
      <c r="D76" s="107"/>
      <c r="E76" s="551"/>
      <c r="F76" s="552"/>
      <c r="G76" s="552"/>
      <c r="H76" s="553"/>
      <c r="I76" s="545"/>
      <c r="J76" s="546"/>
      <c r="K76" s="546"/>
      <c r="L76" s="547"/>
      <c r="M76" s="545"/>
      <c r="N76" s="546"/>
      <c r="O76" s="546"/>
      <c r="P76" s="547"/>
      <c r="Q76" s="545"/>
      <c r="R76" s="546"/>
      <c r="S76" s="546"/>
      <c r="T76" s="547"/>
      <c r="U76" s="545"/>
      <c r="V76" s="546"/>
      <c r="W76" s="546"/>
      <c r="X76" s="547"/>
      <c r="Y76" s="545"/>
      <c r="Z76" s="546"/>
      <c r="AA76" s="546"/>
      <c r="AB76" s="547"/>
      <c r="AC76" s="545"/>
      <c r="AD76" s="546"/>
      <c r="AE76" s="546"/>
      <c r="AF76" s="547"/>
      <c r="AG76" s="545"/>
      <c r="AH76" s="546"/>
      <c r="AI76" s="546"/>
      <c r="AJ76" s="547"/>
      <c r="AK76" s="545"/>
      <c r="AL76" s="546"/>
      <c r="AM76" s="546"/>
      <c r="AN76" s="547"/>
      <c r="AO76" s="545"/>
      <c r="AP76" s="546"/>
      <c r="AQ76" s="546"/>
      <c r="AR76" s="547"/>
      <c r="AS76" s="545"/>
      <c r="AT76" s="546"/>
      <c r="AU76" s="546"/>
      <c r="AV76" s="547"/>
      <c r="AW76" s="545"/>
      <c r="AX76" s="546"/>
      <c r="AY76" s="546"/>
      <c r="AZ76" s="547"/>
      <c r="BG76" s="93"/>
      <c r="BH76" s="93"/>
      <c r="BI76" s="93"/>
      <c r="BJ76" s="203">
        <v>23.5</v>
      </c>
      <c r="BK76" s="164">
        <v>0</v>
      </c>
      <c r="BL76" s="165">
        <v>33.43</v>
      </c>
      <c r="BM76" s="165">
        <v>45.22</v>
      </c>
      <c r="BN76" s="165">
        <v>60.74</v>
      </c>
      <c r="BO76" s="165">
        <v>61.85</v>
      </c>
      <c r="BP76" s="165">
        <v>62.87</v>
      </c>
      <c r="BQ76" s="165">
        <v>52.68</v>
      </c>
      <c r="BR76" s="165">
        <v>63.31</v>
      </c>
      <c r="BS76" s="165">
        <v>83.16</v>
      </c>
      <c r="BT76" s="165">
        <v>109.8</v>
      </c>
      <c r="BU76" s="165">
        <v>119.24</v>
      </c>
      <c r="BV76" s="165">
        <v>62.87</v>
      </c>
      <c r="BW76" s="165">
        <v>52.68</v>
      </c>
      <c r="BX76" s="165">
        <v>63.31</v>
      </c>
      <c r="BY76" s="165">
        <v>83.16</v>
      </c>
      <c r="BZ76" s="165">
        <v>109.8</v>
      </c>
      <c r="CA76" s="165">
        <v>119.24</v>
      </c>
      <c r="CB76" s="203"/>
      <c r="CC76" s="126"/>
      <c r="CD76" s="126"/>
      <c r="CE76" s="143"/>
      <c r="CG76" s="166" t="s">
        <v>413</v>
      </c>
      <c r="CH76" s="167">
        <v>9</v>
      </c>
      <c r="CI76" s="157">
        <v>0</v>
      </c>
      <c r="CJ76" s="158">
        <v>4</v>
      </c>
      <c r="CK76" s="159">
        <v>5.86</v>
      </c>
      <c r="CL76" s="159">
        <v>8.56</v>
      </c>
      <c r="CM76" s="160">
        <v>8.7100000000000009</v>
      </c>
      <c r="CN76" s="158">
        <v>9.33</v>
      </c>
      <c r="CO76" s="159">
        <v>7.9</v>
      </c>
      <c r="CP76" s="159">
        <v>9.4600000000000009</v>
      </c>
      <c r="CQ76" s="159">
        <v>14.89</v>
      </c>
      <c r="CR76" s="159">
        <v>21.62</v>
      </c>
      <c r="CS76" s="160">
        <v>22.75</v>
      </c>
      <c r="CT76" s="161">
        <v>9.33</v>
      </c>
      <c r="CU76" s="159">
        <v>7.9</v>
      </c>
      <c r="CV76" s="159">
        <v>9.4600000000000009</v>
      </c>
      <c r="CW76" s="159">
        <v>14.89</v>
      </c>
      <c r="CX76" s="159">
        <v>21.62</v>
      </c>
      <c r="CY76" s="160">
        <v>22.75</v>
      </c>
      <c r="CZ76" s="168"/>
      <c r="DA76" s="187" t="s">
        <v>414</v>
      </c>
    </row>
    <row r="77" spans="1:105">
      <c r="A77" s="107"/>
      <c r="B77" s="107"/>
      <c r="C77" s="107"/>
      <c r="D77" s="107"/>
      <c r="E77" s="557"/>
      <c r="F77" s="558"/>
      <c r="G77" s="558"/>
      <c r="H77" s="559"/>
      <c r="I77" s="540"/>
      <c r="J77" s="541"/>
      <c r="K77" s="541"/>
      <c r="L77" s="542"/>
      <c r="M77" s="540"/>
      <c r="N77" s="541"/>
      <c r="O77" s="541"/>
      <c r="P77" s="542"/>
      <c r="Q77" s="540"/>
      <c r="R77" s="541"/>
      <c r="S77" s="541"/>
      <c r="T77" s="542"/>
      <c r="U77" s="540"/>
      <c r="V77" s="541"/>
      <c r="W77" s="541"/>
      <c r="X77" s="542"/>
      <c r="Y77" s="540"/>
      <c r="Z77" s="541"/>
      <c r="AA77" s="541"/>
      <c r="AB77" s="542"/>
      <c r="AC77" s="540"/>
      <c r="AD77" s="541"/>
      <c r="AE77" s="541"/>
      <c r="AF77" s="542"/>
      <c r="AG77" s="540"/>
      <c r="AH77" s="541"/>
      <c r="AI77" s="541"/>
      <c r="AJ77" s="542"/>
      <c r="AK77" s="540"/>
      <c r="AL77" s="541"/>
      <c r="AM77" s="541"/>
      <c r="AN77" s="542"/>
      <c r="AO77" s="540"/>
      <c r="AP77" s="541"/>
      <c r="AQ77" s="541"/>
      <c r="AR77" s="542"/>
      <c r="AS77" s="540"/>
      <c r="AT77" s="541"/>
      <c r="AU77" s="541"/>
      <c r="AV77" s="542"/>
      <c r="AW77" s="540"/>
      <c r="AX77" s="541"/>
      <c r="AY77" s="541"/>
      <c r="AZ77" s="542"/>
      <c r="BG77" s="93"/>
      <c r="BH77" s="93"/>
      <c r="BI77" s="93"/>
      <c r="BJ77" s="203">
        <v>24</v>
      </c>
      <c r="BK77" s="164">
        <v>0</v>
      </c>
      <c r="BL77" s="165">
        <v>33.82</v>
      </c>
      <c r="BM77" s="165">
        <v>45.77</v>
      </c>
      <c r="BN77" s="165">
        <v>61.6</v>
      </c>
      <c r="BO77" s="165">
        <v>62.73</v>
      </c>
      <c r="BP77" s="165">
        <v>63.75</v>
      </c>
      <c r="BQ77" s="165">
        <v>53.39</v>
      </c>
      <c r="BR77" s="165">
        <v>64.19</v>
      </c>
      <c r="BS77" s="165">
        <v>84.46</v>
      </c>
      <c r="BT77" s="165">
        <v>111.7</v>
      </c>
      <c r="BU77" s="165">
        <v>121.27</v>
      </c>
      <c r="BV77" s="165">
        <v>63.75</v>
      </c>
      <c r="BW77" s="165">
        <v>53.39</v>
      </c>
      <c r="BX77" s="165">
        <v>64.19</v>
      </c>
      <c r="BY77" s="165">
        <v>84.46</v>
      </c>
      <c r="BZ77" s="165">
        <v>111.7</v>
      </c>
      <c r="CA77" s="165">
        <v>121.27</v>
      </c>
      <c r="CB77" s="203"/>
      <c r="CC77" s="126"/>
      <c r="CD77" s="126"/>
      <c r="CE77" s="143"/>
      <c r="CG77" s="188" t="s">
        <v>415</v>
      </c>
      <c r="CH77" s="189">
        <v>10</v>
      </c>
      <c r="CI77" s="157">
        <v>0</v>
      </c>
      <c r="CJ77" s="158">
        <v>4.8600000000000003</v>
      </c>
      <c r="CK77" s="159">
        <v>7.33</v>
      </c>
      <c r="CL77" s="159">
        <v>10.18</v>
      </c>
      <c r="CM77" s="160">
        <v>10.18</v>
      </c>
      <c r="CN77" s="158">
        <v>10.93</v>
      </c>
      <c r="CO77" s="159">
        <v>9.07</v>
      </c>
      <c r="CP77" s="159">
        <v>11.08</v>
      </c>
      <c r="CQ77" s="159">
        <v>17.23</v>
      </c>
      <c r="CR77" s="159">
        <v>24.62</v>
      </c>
      <c r="CS77" s="160">
        <v>25.86</v>
      </c>
      <c r="CT77" s="161">
        <v>10.93</v>
      </c>
      <c r="CU77" s="159">
        <v>9.07</v>
      </c>
      <c r="CV77" s="159">
        <v>11.08</v>
      </c>
      <c r="CW77" s="159">
        <v>17.23</v>
      </c>
      <c r="CX77" s="159">
        <v>24.62</v>
      </c>
      <c r="CY77" s="160">
        <v>25.86</v>
      </c>
      <c r="CZ77" s="190"/>
      <c r="DA77" s="187" t="s">
        <v>414</v>
      </c>
    </row>
    <row r="78" spans="1:105" ht="16" thickBot="1">
      <c r="A78" s="107"/>
      <c r="B78" s="107"/>
      <c r="C78" s="107"/>
      <c r="D78" s="107"/>
      <c r="E78" s="551"/>
      <c r="F78" s="552"/>
      <c r="G78" s="552"/>
      <c r="H78" s="553"/>
      <c r="I78" s="545"/>
      <c r="J78" s="546"/>
      <c r="K78" s="546"/>
      <c r="L78" s="547"/>
      <c r="M78" s="545"/>
      <c r="N78" s="546"/>
      <c r="O78" s="546"/>
      <c r="P78" s="547"/>
      <c r="Q78" s="545"/>
      <c r="R78" s="546"/>
      <c r="S78" s="546"/>
      <c r="T78" s="547"/>
      <c r="U78" s="545"/>
      <c r="V78" s="546"/>
      <c r="W78" s="546"/>
      <c r="X78" s="547"/>
      <c r="Y78" s="545"/>
      <c r="Z78" s="546"/>
      <c r="AA78" s="546"/>
      <c r="AB78" s="547"/>
      <c r="AC78" s="545"/>
      <c r="AD78" s="546"/>
      <c r="AE78" s="546"/>
      <c r="AF78" s="547"/>
      <c r="AG78" s="545"/>
      <c r="AH78" s="546"/>
      <c r="AI78" s="546"/>
      <c r="AJ78" s="547"/>
      <c r="AK78" s="545"/>
      <c r="AL78" s="546"/>
      <c r="AM78" s="546"/>
      <c r="AN78" s="547"/>
      <c r="AO78" s="545"/>
      <c r="AP78" s="546"/>
      <c r="AQ78" s="546"/>
      <c r="AR78" s="547"/>
      <c r="AS78" s="545"/>
      <c r="AT78" s="546"/>
      <c r="AU78" s="546"/>
      <c r="AV78" s="547"/>
      <c r="AW78" s="545"/>
      <c r="AX78" s="546"/>
      <c r="AY78" s="546"/>
      <c r="AZ78" s="547"/>
      <c r="BG78" s="93"/>
      <c r="BH78" s="93"/>
      <c r="BI78" s="93"/>
      <c r="BJ78" s="203">
        <v>24.5</v>
      </c>
      <c r="BK78" s="164">
        <v>0</v>
      </c>
      <c r="BL78" s="165">
        <v>34.21</v>
      </c>
      <c r="BM78" s="165">
        <v>46.32</v>
      </c>
      <c r="BN78" s="165">
        <v>62.47</v>
      </c>
      <c r="BO78" s="165">
        <v>63.6</v>
      </c>
      <c r="BP78" s="165">
        <v>64.62</v>
      </c>
      <c r="BQ78" s="165">
        <v>54.11</v>
      </c>
      <c r="BR78" s="165">
        <v>65.069999999999993</v>
      </c>
      <c r="BS78" s="165">
        <v>85.75</v>
      </c>
      <c r="BT78" s="165">
        <v>113.59</v>
      </c>
      <c r="BU78" s="165">
        <v>123.3</v>
      </c>
      <c r="BV78" s="165">
        <v>64.62</v>
      </c>
      <c r="BW78" s="165">
        <v>54.11</v>
      </c>
      <c r="BX78" s="165">
        <v>65.069999999999993</v>
      </c>
      <c r="BY78" s="165">
        <v>85.75</v>
      </c>
      <c r="BZ78" s="165">
        <v>113.59</v>
      </c>
      <c r="CA78" s="165">
        <v>123.3</v>
      </c>
      <c r="CB78" s="203"/>
      <c r="CC78" s="126"/>
      <c r="CD78" s="126"/>
      <c r="CE78" s="143"/>
      <c r="CG78" s="191" t="s">
        <v>416</v>
      </c>
      <c r="CH78" s="192">
        <v>11</v>
      </c>
      <c r="CI78" s="193">
        <v>0</v>
      </c>
      <c r="CJ78" s="194">
        <v>5.09</v>
      </c>
      <c r="CK78" s="195">
        <v>7.69</v>
      </c>
      <c r="CL78" s="195">
        <v>10.69</v>
      </c>
      <c r="CM78" s="196">
        <v>10.69</v>
      </c>
      <c r="CN78" s="194">
        <v>11.46</v>
      </c>
      <c r="CO78" s="195">
        <v>10.52</v>
      </c>
      <c r="CP78" s="195">
        <v>11.63</v>
      </c>
      <c r="CQ78" s="195">
        <v>19.7</v>
      </c>
      <c r="CR78" s="195">
        <v>25.82</v>
      </c>
      <c r="CS78" s="196">
        <v>27.11</v>
      </c>
      <c r="CT78" s="197">
        <v>11.46</v>
      </c>
      <c r="CU78" s="195">
        <v>10.52</v>
      </c>
      <c r="CV78" s="195">
        <v>11.63</v>
      </c>
      <c r="CW78" s="195">
        <v>19.7</v>
      </c>
      <c r="CX78" s="195">
        <v>25.82</v>
      </c>
      <c r="CY78" s="196">
        <v>27.11</v>
      </c>
      <c r="CZ78" s="198"/>
      <c r="DA78" s="187" t="s">
        <v>414</v>
      </c>
    </row>
    <row r="79" spans="1:105" ht="16" thickBot="1">
      <c r="A79" s="107"/>
      <c r="B79" s="107"/>
      <c r="C79" s="107"/>
      <c r="D79" s="107"/>
      <c r="E79" s="548"/>
      <c r="F79" s="549"/>
      <c r="G79" s="549"/>
      <c r="H79" s="550"/>
      <c r="I79" s="540"/>
      <c r="J79" s="541"/>
      <c r="K79" s="541"/>
      <c r="L79" s="542"/>
      <c r="M79" s="540"/>
      <c r="N79" s="541"/>
      <c r="O79" s="541"/>
      <c r="P79" s="542"/>
      <c r="Q79" s="540"/>
      <c r="R79" s="541"/>
      <c r="S79" s="541"/>
      <c r="T79" s="542"/>
      <c r="U79" s="540"/>
      <c r="V79" s="541"/>
      <c r="W79" s="541"/>
      <c r="X79" s="542"/>
      <c r="Y79" s="540"/>
      <c r="Z79" s="541"/>
      <c r="AA79" s="541"/>
      <c r="AB79" s="542"/>
      <c r="AC79" s="540"/>
      <c r="AD79" s="541"/>
      <c r="AE79" s="541"/>
      <c r="AF79" s="542"/>
      <c r="AG79" s="540"/>
      <c r="AH79" s="541"/>
      <c r="AI79" s="541"/>
      <c r="AJ79" s="542"/>
      <c r="AK79" s="540"/>
      <c r="AL79" s="541"/>
      <c r="AM79" s="541"/>
      <c r="AN79" s="542"/>
      <c r="AO79" s="540"/>
      <c r="AP79" s="541"/>
      <c r="AQ79" s="541"/>
      <c r="AR79" s="542"/>
      <c r="AS79" s="540"/>
      <c r="AT79" s="541"/>
      <c r="AU79" s="541"/>
      <c r="AV79" s="542"/>
      <c r="AW79" s="540"/>
      <c r="AX79" s="541"/>
      <c r="AY79" s="541"/>
      <c r="AZ79" s="542"/>
      <c r="BG79" s="93"/>
      <c r="BH79" s="93"/>
      <c r="BI79" s="93"/>
      <c r="BJ79" s="203">
        <v>25</v>
      </c>
      <c r="BK79" s="164">
        <v>0</v>
      </c>
      <c r="BL79" s="165">
        <v>34.6</v>
      </c>
      <c r="BM79" s="165">
        <v>46.88</v>
      </c>
      <c r="BN79" s="165">
        <v>63.34</v>
      </c>
      <c r="BO79" s="165">
        <v>64.48</v>
      </c>
      <c r="BP79" s="165">
        <v>65.5</v>
      </c>
      <c r="BQ79" s="165">
        <v>54.82</v>
      </c>
      <c r="BR79" s="165">
        <v>65.95</v>
      </c>
      <c r="BS79" s="165">
        <v>87.05</v>
      </c>
      <c r="BT79" s="165">
        <v>115.49</v>
      </c>
      <c r="BU79" s="165">
        <v>125.33</v>
      </c>
      <c r="BV79" s="165">
        <v>65.5</v>
      </c>
      <c r="BW79" s="165">
        <v>54.82</v>
      </c>
      <c r="BX79" s="165">
        <v>65.95</v>
      </c>
      <c r="BY79" s="165">
        <v>87.05</v>
      </c>
      <c r="BZ79" s="165">
        <v>115.49</v>
      </c>
      <c r="CA79" s="165">
        <v>125.33</v>
      </c>
      <c r="CB79" s="203"/>
      <c r="CC79" s="126"/>
      <c r="CD79" s="126"/>
      <c r="CE79" s="143"/>
    </row>
    <row r="80" spans="1:105" ht="17" thickBot="1">
      <c r="A80" s="107"/>
      <c r="B80" s="107"/>
      <c r="C80" s="107"/>
      <c r="D80" s="107"/>
      <c r="E80" s="551"/>
      <c r="F80" s="552"/>
      <c r="G80" s="552"/>
      <c r="H80" s="553"/>
      <c r="I80" s="545"/>
      <c r="J80" s="546"/>
      <c r="K80" s="546"/>
      <c r="L80" s="547"/>
      <c r="M80" s="545"/>
      <c r="N80" s="546"/>
      <c r="O80" s="546"/>
      <c r="P80" s="547"/>
      <c r="Q80" s="545"/>
      <c r="R80" s="546"/>
      <c r="S80" s="546"/>
      <c r="T80" s="547"/>
      <c r="U80" s="545"/>
      <c r="V80" s="546"/>
      <c r="W80" s="546"/>
      <c r="X80" s="547"/>
      <c r="Y80" s="545"/>
      <c r="Z80" s="546"/>
      <c r="AA80" s="546"/>
      <c r="AB80" s="547"/>
      <c r="AC80" s="545"/>
      <c r="AD80" s="546"/>
      <c r="AE80" s="546"/>
      <c r="AF80" s="547"/>
      <c r="AG80" s="545"/>
      <c r="AH80" s="546"/>
      <c r="AI80" s="546"/>
      <c r="AJ80" s="547"/>
      <c r="AK80" s="545"/>
      <c r="AL80" s="546"/>
      <c r="AM80" s="546"/>
      <c r="AN80" s="547"/>
      <c r="AO80" s="545"/>
      <c r="AP80" s="546"/>
      <c r="AQ80" s="546"/>
      <c r="AR80" s="547"/>
      <c r="AS80" s="545"/>
      <c r="AT80" s="546"/>
      <c r="AU80" s="546"/>
      <c r="AV80" s="547"/>
      <c r="AW80" s="545"/>
      <c r="AX80" s="546"/>
      <c r="AY80" s="546"/>
      <c r="AZ80" s="547"/>
      <c r="BG80" s="93"/>
      <c r="BH80" s="93"/>
      <c r="BI80" s="93"/>
      <c r="BJ80" s="203">
        <v>25.5</v>
      </c>
      <c r="BK80" s="164">
        <v>0</v>
      </c>
      <c r="BL80" s="165">
        <v>34.979999999999997</v>
      </c>
      <c r="BM80" s="165">
        <v>47.43</v>
      </c>
      <c r="BN80" s="165">
        <v>64.2</v>
      </c>
      <c r="BO80" s="165">
        <v>65.36</v>
      </c>
      <c r="BP80" s="165">
        <v>66.38</v>
      </c>
      <c r="BQ80" s="165">
        <v>55.54</v>
      </c>
      <c r="BR80" s="165">
        <v>66.83</v>
      </c>
      <c r="BS80" s="165">
        <v>88.35</v>
      </c>
      <c r="BT80" s="165">
        <v>117.38</v>
      </c>
      <c r="BU80" s="165">
        <v>127.36</v>
      </c>
      <c r="BV80" s="165">
        <v>66.38</v>
      </c>
      <c r="BW80" s="165">
        <v>55.54</v>
      </c>
      <c r="BX80" s="165">
        <v>66.83</v>
      </c>
      <c r="BY80" s="165">
        <v>88.35</v>
      </c>
      <c r="BZ80" s="165">
        <v>117.38</v>
      </c>
      <c r="CA80" s="165">
        <v>127.36</v>
      </c>
      <c r="CB80" s="203"/>
      <c r="CC80" s="126"/>
      <c r="CD80" s="126"/>
      <c r="CE80" s="143"/>
      <c r="CG80" s="129" t="s">
        <v>423</v>
      </c>
      <c r="CH80" s="130" t="s">
        <v>424</v>
      </c>
      <c r="CI80" s="131">
        <v>0</v>
      </c>
      <c r="CJ80" s="132">
        <v>1</v>
      </c>
      <c r="CK80" s="133">
        <v>2</v>
      </c>
      <c r="CL80" s="133">
        <v>3</v>
      </c>
      <c r="CM80" s="134">
        <v>4</v>
      </c>
      <c r="CN80" s="132">
        <v>5</v>
      </c>
      <c r="CO80" s="133">
        <v>6</v>
      </c>
      <c r="CP80" s="133">
        <v>7</v>
      </c>
      <c r="CQ80" s="133">
        <v>8</v>
      </c>
      <c r="CR80" s="133">
        <v>9</v>
      </c>
      <c r="CS80" s="134">
        <v>10</v>
      </c>
      <c r="CT80" s="135">
        <v>5</v>
      </c>
      <c r="CU80" s="133">
        <v>6</v>
      </c>
      <c r="CV80" s="133">
        <v>7</v>
      </c>
      <c r="CW80" s="133">
        <v>8</v>
      </c>
      <c r="CX80" s="133">
        <v>9</v>
      </c>
      <c r="CY80" s="134">
        <v>10</v>
      </c>
      <c r="CZ80" s="136"/>
    </row>
    <row r="81" spans="1:105">
      <c r="A81" s="107"/>
      <c r="B81" s="107"/>
      <c r="C81" s="107"/>
      <c r="D81" s="107"/>
      <c r="E81" s="548"/>
      <c r="F81" s="549"/>
      <c r="G81" s="549"/>
      <c r="H81" s="550"/>
      <c r="I81" s="540"/>
      <c r="J81" s="541"/>
      <c r="K81" s="541"/>
      <c r="L81" s="542"/>
      <c r="M81" s="540"/>
      <c r="N81" s="541"/>
      <c r="O81" s="541"/>
      <c r="P81" s="542"/>
      <c r="Q81" s="540"/>
      <c r="R81" s="541"/>
      <c r="S81" s="541"/>
      <c r="T81" s="542"/>
      <c r="U81" s="540"/>
      <c r="V81" s="541"/>
      <c r="W81" s="541"/>
      <c r="X81" s="542"/>
      <c r="Y81" s="540"/>
      <c r="Z81" s="541"/>
      <c r="AA81" s="541"/>
      <c r="AB81" s="542"/>
      <c r="AC81" s="540"/>
      <c r="AD81" s="541"/>
      <c r="AE81" s="541"/>
      <c r="AF81" s="542"/>
      <c r="AG81" s="540"/>
      <c r="AH81" s="541"/>
      <c r="AI81" s="541"/>
      <c r="AJ81" s="542"/>
      <c r="AK81" s="540"/>
      <c r="AL81" s="541"/>
      <c r="AM81" s="541"/>
      <c r="AN81" s="542"/>
      <c r="AO81" s="540"/>
      <c r="AP81" s="541"/>
      <c r="AQ81" s="541"/>
      <c r="AR81" s="542"/>
      <c r="AS81" s="540"/>
      <c r="AT81" s="541"/>
      <c r="AU81" s="541"/>
      <c r="AV81" s="542"/>
      <c r="AW81" s="540"/>
      <c r="AX81" s="541"/>
      <c r="AY81" s="541"/>
      <c r="AZ81" s="542"/>
      <c r="BG81" s="93"/>
      <c r="BH81" s="93"/>
      <c r="BI81" s="93"/>
      <c r="BJ81" s="203">
        <v>26</v>
      </c>
      <c r="BK81" s="164">
        <v>0</v>
      </c>
      <c r="BL81" s="165">
        <v>35.369999999999997</v>
      </c>
      <c r="BM81" s="165">
        <v>47.98</v>
      </c>
      <c r="BN81" s="165">
        <v>65.069999999999993</v>
      </c>
      <c r="BO81" s="165">
        <v>66.239999999999995</v>
      </c>
      <c r="BP81" s="165">
        <v>67.260000000000005</v>
      </c>
      <c r="BQ81" s="165">
        <v>56.25</v>
      </c>
      <c r="BR81" s="165">
        <v>67.709999999999994</v>
      </c>
      <c r="BS81" s="165">
        <v>89.65</v>
      </c>
      <c r="BT81" s="165">
        <v>119.28</v>
      </c>
      <c r="BU81" s="165">
        <v>129.38999999999999</v>
      </c>
      <c r="BV81" s="165">
        <v>67.260000000000005</v>
      </c>
      <c r="BW81" s="165">
        <v>56.25</v>
      </c>
      <c r="BX81" s="165">
        <v>67.709999999999994</v>
      </c>
      <c r="BY81" s="165">
        <v>89.65</v>
      </c>
      <c r="BZ81" s="165">
        <v>119.28</v>
      </c>
      <c r="CA81" s="165">
        <v>129.38999999999999</v>
      </c>
      <c r="CB81" s="203"/>
      <c r="CC81" s="126"/>
      <c r="CD81" s="126"/>
      <c r="CE81" s="143"/>
      <c r="CG81" s="144" t="s">
        <v>406</v>
      </c>
      <c r="CH81" s="145">
        <v>1</v>
      </c>
      <c r="CI81" s="146">
        <v>0</v>
      </c>
      <c r="CJ81" s="147">
        <v>42.86</v>
      </c>
      <c r="CK81" s="148">
        <v>47.87</v>
      </c>
      <c r="CL81" s="148">
        <v>57.02</v>
      </c>
      <c r="CM81" s="149">
        <v>58.07</v>
      </c>
      <c r="CN81" s="147">
        <v>58.13</v>
      </c>
      <c r="CO81" s="148">
        <v>41.73</v>
      </c>
      <c r="CP81" s="148">
        <v>59.13</v>
      </c>
      <c r="CQ81" s="148">
        <v>62.73</v>
      </c>
      <c r="CR81" s="148">
        <v>75.099999999999994</v>
      </c>
      <c r="CS81" s="149">
        <v>92.46</v>
      </c>
      <c r="CT81" s="150">
        <v>69.7</v>
      </c>
      <c r="CU81" s="148">
        <v>55.38</v>
      </c>
      <c r="CV81" s="148">
        <v>70.260000000000005</v>
      </c>
      <c r="CW81" s="148">
        <v>80.89</v>
      </c>
      <c r="CX81" s="148">
        <v>94.42</v>
      </c>
      <c r="CY81" s="149">
        <v>105.38</v>
      </c>
      <c r="CZ81" s="151"/>
    </row>
    <row r="82" spans="1:105">
      <c r="A82" s="107"/>
      <c r="B82" s="107"/>
      <c r="C82" s="107"/>
      <c r="D82" s="107"/>
      <c r="E82" s="551"/>
      <c r="F82" s="552"/>
      <c r="G82" s="552"/>
      <c r="H82" s="553"/>
      <c r="I82" s="545"/>
      <c r="J82" s="546"/>
      <c r="K82" s="546"/>
      <c r="L82" s="547"/>
      <c r="M82" s="545"/>
      <c r="N82" s="546"/>
      <c r="O82" s="546"/>
      <c r="P82" s="547"/>
      <c r="Q82" s="545"/>
      <c r="R82" s="546"/>
      <c r="S82" s="546"/>
      <c r="T82" s="547"/>
      <c r="U82" s="545"/>
      <c r="V82" s="546"/>
      <c r="W82" s="546"/>
      <c r="X82" s="547"/>
      <c r="Y82" s="545"/>
      <c r="Z82" s="546"/>
      <c r="AA82" s="546"/>
      <c r="AB82" s="547"/>
      <c r="AC82" s="545"/>
      <c r="AD82" s="546"/>
      <c r="AE82" s="546"/>
      <c r="AF82" s="547"/>
      <c r="AG82" s="545"/>
      <c r="AH82" s="546"/>
      <c r="AI82" s="546"/>
      <c r="AJ82" s="547"/>
      <c r="AK82" s="545"/>
      <c r="AL82" s="546"/>
      <c r="AM82" s="546"/>
      <c r="AN82" s="547"/>
      <c r="AO82" s="545"/>
      <c r="AP82" s="546"/>
      <c r="AQ82" s="546"/>
      <c r="AR82" s="547"/>
      <c r="AS82" s="545"/>
      <c r="AT82" s="546"/>
      <c r="AU82" s="546"/>
      <c r="AV82" s="547"/>
      <c r="AW82" s="545"/>
      <c r="AX82" s="546"/>
      <c r="AY82" s="546"/>
      <c r="AZ82" s="547"/>
      <c r="BG82" s="93"/>
      <c r="BH82" s="93"/>
      <c r="BI82" s="93"/>
      <c r="BJ82" s="203">
        <v>26.5</v>
      </c>
      <c r="BK82" s="164">
        <v>0</v>
      </c>
      <c r="BL82" s="165">
        <v>35.76</v>
      </c>
      <c r="BM82" s="165">
        <v>48.53</v>
      </c>
      <c r="BN82" s="165">
        <v>65.94</v>
      </c>
      <c r="BO82" s="165">
        <v>67.12</v>
      </c>
      <c r="BP82" s="165">
        <v>68.14</v>
      </c>
      <c r="BQ82" s="165">
        <v>56.97</v>
      </c>
      <c r="BR82" s="165">
        <v>68.58</v>
      </c>
      <c r="BS82" s="165">
        <v>90.95</v>
      </c>
      <c r="BT82" s="165">
        <v>121.18</v>
      </c>
      <c r="BU82" s="165">
        <v>131.41999999999999</v>
      </c>
      <c r="BV82" s="165">
        <v>68.14</v>
      </c>
      <c r="BW82" s="165">
        <v>56.97</v>
      </c>
      <c r="BX82" s="165">
        <v>68.58</v>
      </c>
      <c r="BY82" s="165">
        <v>90.95</v>
      </c>
      <c r="BZ82" s="165">
        <v>121.18</v>
      </c>
      <c r="CA82" s="165">
        <v>131.41999999999999</v>
      </c>
      <c r="CB82" s="203"/>
      <c r="CC82" s="126"/>
      <c r="CD82" s="126"/>
      <c r="CE82" s="143"/>
      <c r="CG82" s="155" t="s">
        <v>407</v>
      </c>
      <c r="CH82" s="156">
        <v>2</v>
      </c>
      <c r="CI82" s="157">
        <v>0</v>
      </c>
      <c r="CJ82" s="158">
        <v>0</v>
      </c>
      <c r="CK82" s="159">
        <v>0</v>
      </c>
      <c r="CL82" s="159">
        <v>0</v>
      </c>
      <c r="CM82" s="160">
        <v>0</v>
      </c>
      <c r="CN82" s="158">
        <v>0</v>
      </c>
      <c r="CO82" s="159">
        <v>0</v>
      </c>
      <c r="CP82" s="159">
        <v>0</v>
      </c>
      <c r="CQ82" s="159">
        <v>0</v>
      </c>
      <c r="CR82" s="159">
        <v>0</v>
      </c>
      <c r="CS82" s="160">
        <v>0</v>
      </c>
      <c r="CT82" s="161">
        <v>0</v>
      </c>
      <c r="CU82" s="159">
        <v>0</v>
      </c>
      <c r="CV82" s="159">
        <v>0</v>
      </c>
      <c r="CW82" s="159">
        <v>0</v>
      </c>
      <c r="CX82" s="159">
        <v>0</v>
      </c>
      <c r="CY82" s="160">
        <v>0</v>
      </c>
      <c r="CZ82" s="162"/>
    </row>
    <row r="83" spans="1:105">
      <c r="A83" s="107"/>
      <c r="B83" s="107"/>
      <c r="C83" s="107"/>
      <c r="D83" s="107"/>
      <c r="E83" s="548"/>
      <c r="F83" s="549"/>
      <c r="G83" s="549"/>
      <c r="H83" s="550"/>
      <c r="I83" s="540"/>
      <c r="J83" s="541"/>
      <c r="K83" s="541"/>
      <c r="L83" s="542"/>
      <c r="M83" s="540"/>
      <c r="N83" s="541"/>
      <c r="O83" s="541"/>
      <c r="P83" s="542"/>
      <c r="Q83" s="540"/>
      <c r="R83" s="541"/>
      <c r="S83" s="541"/>
      <c r="T83" s="542"/>
      <c r="U83" s="540"/>
      <c r="V83" s="541"/>
      <c r="W83" s="541"/>
      <c r="X83" s="542"/>
      <c r="Y83" s="540"/>
      <c r="Z83" s="541"/>
      <c r="AA83" s="541"/>
      <c r="AB83" s="542"/>
      <c r="AC83" s="540"/>
      <c r="AD83" s="541"/>
      <c r="AE83" s="541"/>
      <c r="AF83" s="542"/>
      <c r="AG83" s="540"/>
      <c r="AH83" s="541"/>
      <c r="AI83" s="541"/>
      <c r="AJ83" s="542"/>
      <c r="AK83" s="540"/>
      <c r="AL83" s="541"/>
      <c r="AM83" s="541"/>
      <c r="AN83" s="542"/>
      <c r="AO83" s="540"/>
      <c r="AP83" s="541"/>
      <c r="AQ83" s="541"/>
      <c r="AR83" s="542"/>
      <c r="AS83" s="540"/>
      <c r="AT83" s="541"/>
      <c r="AU83" s="541"/>
      <c r="AV83" s="542"/>
      <c r="AW83" s="540"/>
      <c r="AX83" s="541"/>
      <c r="AY83" s="541"/>
      <c r="AZ83" s="542"/>
      <c r="BG83" s="93"/>
      <c r="BH83" s="93"/>
      <c r="BI83" s="93"/>
      <c r="BJ83" s="203">
        <v>27</v>
      </c>
      <c r="BK83" s="164">
        <v>0</v>
      </c>
      <c r="BL83" s="165">
        <v>36.15</v>
      </c>
      <c r="BM83" s="165">
        <v>49.08</v>
      </c>
      <c r="BN83" s="165">
        <v>66.8</v>
      </c>
      <c r="BO83" s="165">
        <v>68</v>
      </c>
      <c r="BP83" s="165">
        <v>69.02</v>
      </c>
      <c r="BQ83" s="165">
        <v>57.68</v>
      </c>
      <c r="BR83" s="165">
        <v>69.459999999999994</v>
      </c>
      <c r="BS83" s="165">
        <v>92.25</v>
      </c>
      <c r="BT83" s="165">
        <v>123.07</v>
      </c>
      <c r="BU83" s="165">
        <v>133.44999999999999</v>
      </c>
      <c r="BV83" s="165">
        <v>69.02</v>
      </c>
      <c r="BW83" s="165">
        <v>57.68</v>
      </c>
      <c r="BX83" s="165">
        <v>69.459999999999994</v>
      </c>
      <c r="BY83" s="165">
        <v>92.25</v>
      </c>
      <c r="BZ83" s="165">
        <v>123.07</v>
      </c>
      <c r="CA83" s="165">
        <v>133.44999999999999</v>
      </c>
      <c r="CB83" s="203"/>
      <c r="CC83" s="126"/>
      <c r="CD83" s="126"/>
      <c r="CE83" s="143"/>
      <c r="CG83" s="166" t="s">
        <v>408</v>
      </c>
      <c r="CH83" s="167">
        <v>3</v>
      </c>
      <c r="CI83" s="157">
        <v>0</v>
      </c>
      <c r="CJ83" s="158">
        <v>0</v>
      </c>
      <c r="CK83" s="159">
        <v>0</v>
      </c>
      <c r="CL83" s="159">
        <v>0</v>
      </c>
      <c r="CM83" s="160">
        <v>0</v>
      </c>
      <c r="CN83" s="158">
        <v>0</v>
      </c>
      <c r="CO83" s="159">
        <v>0</v>
      </c>
      <c r="CP83" s="159">
        <v>0</v>
      </c>
      <c r="CQ83" s="159">
        <v>0</v>
      </c>
      <c r="CR83" s="159">
        <v>0</v>
      </c>
      <c r="CS83" s="160">
        <v>0</v>
      </c>
      <c r="CT83" s="161">
        <v>0</v>
      </c>
      <c r="CU83" s="159">
        <v>0</v>
      </c>
      <c r="CV83" s="159">
        <v>0</v>
      </c>
      <c r="CW83" s="159">
        <v>0</v>
      </c>
      <c r="CX83" s="159">
        <v>0</v>
      </c>
      <c r="CY83" s="160">
        <v>0</v>
      </c>
      <c r="CZ83" s="168"/>
    </row>
    <row r="84" spans="1:105">
      <c r="A84" s="107"/>
      <c r="B84" s="107"/>
      <c r="C84" s="107"/>
      <c r="D84" s="107"/>
      <c r="E84" s="551"/>
      <c r="F84" s="552"/>
      <c r="G84" s="552"/>
      <c r="H84" s="553"/>
      <c r="I84" s="545"/>
      <c r="J84" s="546"/>
      <c r="K84" s="546"/>
      <c r="L84" s="547"/>
      <c r="M84" s="545"/>
      <c r="N84" s="546"/>
      <c r="O84" s="546"/>
      <c r="P84" s="547"/>
      <c r="Q84" s="545"/>
      <c r="R84" s="546"/>
      <c r="S84" s="546"/>
      <c r="T84" s="547"/>
      <c r="U84" s="545"/>
      <c r="V84" s="546"/>
      <c r="W84" s="546"/>
      <c r="X84" s="547"/>
      <c r="Y84" s="545"/>
      <c r="Z84" s="546"/>
      <c r="AA84" s="546"/>
      <c r="AB84" s="547"/>
      <c r="AC84" s="545"/>
      <c r="AD84" s="546"/>
      <c r="AE84" s="546"/>
      <c r="AF84" s="547"/>
      <c r="AG84" s="545"/>
      <c r="AH84" s="546"/>
      <c r="AI84" s="546"/>
      <c r="AJ84" s="547"/>
      <c r="AK84" s="545"/>
      <c r="AL84" s="546"/>
      <c r="AM84" s="546"/>
      <c r="AN84" s="547"/>
      <c r="AO84" s="545"/>
      <c r="AP84" s="546"/>
      <c r="AQ84" s="546"/>
      <c r="AR84" s="547"/>
      <c r="AS84" s="545"/>
      <c r="AT84" s="546"/>
      <c r="AU84" s="546"/>
      <c r="AV84" s="547"/>
      <c r="AW84" s="545"/>
      <c r="AX84" s="546"/>
      <c r="AY84" s="546"/>
      <c r="AZ84" s="547"/>
      <c r="BG84" s="93"/>
      <c r="BH84" s="93"/>
      <c r="BI84" s="93"/>
      <c r="BJ84" s="203">
        <v>27.5</v>
      </c>
      <c r="BK84" s="164">
        <v>0</v>
      </c>
      <c r="BL84" s="165">
        <v>36.54</v>
      </c>
      <c r="BM84" s="165">
        <v>49.64</v>
      </c>
      <c r="BN84" s="165">
        <v>67.67</v>
      </c>
      <c r="BO84" s="165">
        <v>68.88</v>
      </c>
      <c r="BP84" s="165">
        <v>69.900000000000006</v>
      </c>
      <c r="BQ84" s="165">
        <v>58.4</v>
      </c>
      <c r="BR84" s="165">
        <v>70.34</v>
      </c>
      <c r="BS84" s="165">
        <v>93.54</v>
      </c>
      <c r="BT84" s="165">
        <v>124.97</v>
      </c>
      <c r="BU84" s="165">
        <v>135.47999999999999</v>
      </c>
      <c r="BV84" s="165">
        <v>69.900000000000006</v>
      </c>
      <c r="BW84" s="165">
        <v>58.4</v>
      </c>
      <c r="BX84" s="165">
        <v>70.34</v>
      </c>
      <c r="BY84" s="165">
        <v>93.54</v>
      </c>
      <c r="BZ84" s="165">
        <v>124.97</v>
      </c>
      <c r="CA84" s="165">
        <v>135.47999999999999</v>
      </c>
      <c r="CB84" s="203"/>
      <c r="CC84" s="126"/>
      <c r="CD84" s="126"/>
      <c r="CE84" s="143"/>
      <c r="CG84" s="170">
        <v>2.5</v>
      </c>
      <c r="CH84" s="171">
        <v>4</v>
      </c>
      <c r="CI84" s="157">
        <v>0</v>
      </c>
      <c r="CJ84" s="158">
        <v>2.61</v>
      </c>
      <c r="CK84" s="159">
        <v>4.1100000000000003</v>
      </c>
      <c r="CL84" s="159">
        <v>5.54</v>
      </c>
      <c r="CM84" s="160">
        <v>5.6</v>
      </c>
      <c r="CN84" s="158">
        <v>16.740000000000002</v>
      </c>
      <c r="CO84" s="159">
        <v>18.060000000000009</v>
      </c>
      <c r="CP84" s="159">
        <v>16.360000000000007</v>
      </c>
      <c r="CQ84" s="159">
        <v>23.93</v>
      </c>
      <c r="CR84" s="159">
        <v>27.840000000000003</v>
      </c>
      <c r="CS84" s="160">
        <v>22.439999999999998</v>
      </c>
      <c r="CT84" s="161">
        <v>5.17</v>
      </c>
      <c r="CU84" s="159">
        <v>4.41</v>
      </c>
      <c r="CV84" s="159">
        <v>5.23</v>
      </c>
      <c r="CW84" s="159">
        <v>5.77</v>
      </c>
      <c r="CX84" s="159">
        <v>8.52</v>
      </c>
      <c r="CY84" s="160">
        <v>9.52</v>
      </c>
      <c r="CZ84" s="172"/>
    </row>
    <row r="85" spans="1:105">
      <c r="A85" s="107"/>
      <c r="B85" s="107"/>
      <c r="C85" s="107"/>
      <c r="D85" s="107"/>
      <c r="E85" s="548"/>
      <c r="F85" s="549"/>
      <c r="G85" s="549"/>
      <c r="H85" s="550"/>
      <c r="I85" s="540"/>
      <c r="J85" s="541"/>
      <c r="K85" s="541"/>
      <c r="L85" s="542"/>
      <c r="M85" s="540"/>
      <c r="N85" s="541"/>
      <c r="O85" s="541"/>
      <c r="P85" s="542"/>
      <c r="Q85" s="540"/>
      <c r="R85" s="541"/>
      <c r="S85" s="541"/>
      <c r="T85" s="542"/>
      <c r="U85" s="540"/>
      <c r="V85" s="541"/>
      <c r="W85" s="541"/>
      <c r="X85" s="542"/>
      <c r="Y85" s="540"/>
      <c r="Z85" s="541"/>
      <c r="AA85" s="541"/>
      <c r="AB85" s="542"/>
      <c r="AC85" s="540"/>
      <c r="AD85" s="541"/>
      <c r="AE85" s="541"/>
      <c r="AF85" s="542"/>
      <c r="AG85" s="540"/>
      <c r="AH85" s="541"/>
      <c r="AI85" s="541"/>
      <c r="AJ85" s="542"/>
      <c r="AK85" s="540"/>
      <c r="AL85" s="541"/>
      <c r="AM85" s="541"/>
      <c r="AN85" s="542"/>
      <c r="AO85" s="540"/>
      <c r="AP85" s="541"/>
      <c r="AQ85" s="541"/>
      <c r="AR85" s="542"/>
      <c r="AS85" s="540"/>
      <c r="AT85" s="541"/>
      <c r="AU85" s="541"/>
      <c r="AV85" s="542"/>
      <c r="AW85" s="540"/>
      <c r="AX85" s="541"/>
      <c r="AY85" s="541"/>
      <c r="AZ85" s="542"/>
      <c r="BG85" s="93"/>
      <c r="BH85" s="93"/>
      <c r="BI85" s="93"/>
      <c r="BJ85" s="203">
        <v>28</v>
      </c>
      <c r="BK85" s="164">
        <v>0</v>
      </c>
      <c r="BL85" s="165">
        <v>36.93</v>
      </c>
      <c r="BM85" s="165">
        <v>50.19</v>
      </c>
      <c r="BN85" s="165">
        <v>68.53</v>
      </c>
      <c r="BO85" s="165">
        <v>69.75</v>
      </c>
      <c r="BP85" s="165">
        <v>70.77</v>
      </c>
      <c r="BQ85" s="165">
        <v>59.11</v>
      </c>
      <c r="BR85" s="165">
        <v>71.22</v>
      </c>
      <c r="BS85" s="165">
        <v>94.84</v>
      </c>
      <c r="BT85" s="165">
        <v>126.86</v>
      </c>
      <c r="BU85" s="165">
        <v>137.51</v>
      </c>
      <c r="BV85" s="165">
        <v>70.77</v>
      </c>
      <c r="BW85" s="165">
        <v>59.11</v>
      </c>
      <c r="BX85" s="165">
        <v>71.22</v>
      </c>
      <c r="BY85" s="165">
        <v>94.84</v>
      </c>
      <c r="BZ85" s="165">
        <v>126.86</v>
      </c>
      <c r="CA85" s="165">
        <v>137.51</v>
      </c>
      <c r="CB85" s="203"/>
      <c r="CC85" s="126"/>
      <c r="CD85" s="126"/>
      <c r="CE85" s="143"/>
      <c r="CG85" s="173" t="s">
        <v>409</v>
      </c>
      <c r="CH85" s="174">
        <v>5</v>
      </c>
      <c r="CI85" s="157">
        <v>0</v>
      </c>
      <c r="CJ85" s="158">
        <v>2.2999999999999998</v>
      </c>
      <c r="CK85" s="159">
        <v>3.43</v>
      </c>
      <c r="CL85" s="159">
        <v>4.97</v>
      </c>
      <c r="CM85" s="160">
        <v>5.04</v>
      </c>
      <c r="CN85" s="158">
        <v>4.59</v>
      </c>
      <c r="CO85" s="159">
        <v>4.05</v>
      </c>
      <c r="CP85" s="159">
        <v>4.78</v>
      </c>
      <c r="CQ85" s="159">
        <v>5.96</v>
      </c>
      <c r="CR85" s="159">
        <v>8.39</v>
      </c>
      <c r="CS85" s="160">
        <v>9.3800000000000008</v>
      </c>
      <c r="CT85" s="161">
        <v>4.59</v>
      </c>
      <c r="CU85" s="159">
        <v>4.05</v>
      </c>
      <c r="CV85" s="159">
        <v>4.78</v>
      </c>
      <c r="CW85" s="159">
        <v>5.96</v>
      </c>
      <c r="CX85" s="159">
        <v>8.39</v>
      </c>
      <c r="CY85" s="160">
        <v>9.3800000000000008</v>
      </c>
      <c r="CZ85" s="175"/>
    </row>
    <row r="86" spans="1:105">
      <c r="A86" s="107"/>
      <c r="B86" s="107"/>
      <c r="C86" s="107"/>
      <c r="D86" s="107"/>
      <c r="E86" s="551"/>
      <c r="F86" s="552"/>
      <c r="G86" s="552"/>
      <c r="H86" s="553"/>
      <c r="I86" s="545"/>
      <c r="J86" s="546"/>
      <c r="K86" s="546"/>
      <c r="L86" s="547"/>
      <c r="M86" s="545"/>
      <c r="N86" s="546"/>
      <c r="O86" s="546"/>
      <c r="P86" s="547"/>
      <c r="Q86" s="545"/>
      <c r="R86" s="546"/>
      <c r="S86" s="546"/>
      <c r="T86" s="547"/>
      <c r="U86" s="545"/>
      <c r="V86" s="546"/>
      <c r="W86" s="546"/>
      <c r="X86" s="547"/>
      <c r="Y86" s="545"/>
      <c r="Z86" s="546"/>
      <c r="AA86" s="546"/>
      <c r="AB86" s="547"/>
      <c r="AC86" s="545"/>
      <c r="AD86" s="546"/>
      <c r="AE86" s="546"/>
      <c r="AF86" s="547"/>
      <c r="AG86" s="545"/>
      <c r="AH86" s="546"/>
      <c r="AI86" s="546"/>
      <c r="AJ86" s="547"/>
      <c r="AK86" s="545"/>
      <c r="AL86" s="546"/>
      <c r="AM86" s="546"/>
      <c r="AN86" s="547"/>
      <c r="AO86" s="545"/>
      <c r="AP86" s="546"/>
      <c r="AQ86" s="546"/>
      <c r="AR86" s="547"/>
      <c r="AS86" s="545"/>
      <c r="AT86" s="546"/>
      <c r="AU86" s="546"/>
      <c r="AV86" s="547"/>
      <c r="AW86" s="545"/>
      <c r="AX86" s="546"/>
      <c r="AY86" s="546"/>
      <c r="AZ86" s="547"/>
      <c r="BG86" s="93"/>
      <c r="BH86" s="93"/>
      <c r="BI86" s="93"/>
      <c r="BJ86" s="203">
        <v>28.5</v>
      </c>
      <c r="BK86" s="164">
        <v>0</v>
      </c>
      <c r="BL86" s="165">
        <v>37.32</v>
      </c>
      <c r="BM86" s="165">
        <v>50.74</v>
      </c>
      <c r="BN86" s="165">
        <v>69.400000000000006</v>
      </c>
      <c r="BO86" s="165">
        <v>70.63</v>
      </c>
      <c r="BP86" s="165">
        <v>71.650000000000006</v>
      </c>
      <c r="BQ86" s="165">
        <v>59.83</v>
      </c>
      <c r="BR86" s="165">
        <v>72.099999999999994</v>
      </c>
      <c r="BS86" s="165">
        <v>96.14</v>
      </c>
      <c r="BT86" s="165">
        <v>128.76</v>
      </c>
      <c r="BU86" s="165">
        <v>139.54</v>
      </c>
      <c r="BV86" s="165">
        <v>71.650000000000006</v>
      </c>
      <c r="BW86" s="165">
        <v>59.83</v>
      </c>
      <c r="BX86" s="165">
        <v>72.099999999999994</v>
      </c>
      <c r="BY86" s="165">
        <v>96.14</v>
      </c>
      <c r="BZ86" s="165">
        <v>128.76</v>
      </c>
      <c r="CA86" s="165">
        <v>139.54</v>
      </c>
      <c r="CB86" s="203"/>
      <c r="CC86" s="126"/>
      <c r="CD86" s="126"/>
      <c r="CE86" s="143"/>
      <c r="CG86" s="177" t="s">
        <v>410</v>
      </c>
      <c r="CH86" s="178">
        <v>6</v>
      </c>
      <c r="CI86" s="157">
        <v>0</v>
      </c>
      <c r="CJ86" s="158">
        <v>2.25</v>
      </c>
      <c r="CK86" s="159">
        <v>3.61</v>
      </c>
      <c r="CL86" s="159">
        <v>4.7300000000000004</v>
      </c>
      <c r="CM86" s="160">
        <v>4.8499999999999996</v>
      </c>
      <c r="CN86" s="158">
        <v>4.54</v>
      </c>
      <c r="CO86" s="159">
        <v>3.91</v>
      </c>
      <c r="CP86" s="159">
        <v>4.41</v>
      </c>
      <c r="CQ86" s="159">
        <v>5.91</v>
      </c>
      <c r="CR86" s="159">
        <v>8.08</v>
      </c>
      <c r="CS86" s="160">
        <v>9.07</v>
      </c>
      <c r="CT86" s="161">
        <v>4.54</v>
      </c>
      <c r="CU86" s="159">
        <v>3.91</v>
      </c>
      <c r="CV86" s="159">
        <v>4.41</v>
      </c>
      <c r="CW86" s="159">
        <v>5.91</v>
      </c>
      <c r="CX86" s="159">
        <v>8.08</v>
      </c>
      <c r="CY86" s="160">
        <v>9.07</v>
      </c>
      <c r="CZ86" s="179"/>
    </row>
    <row r="87" spans="1:105">
      <c r="A87" s="107"/>
      <c r="B87" s="107"/>
      <c r="C87" s="107"/>
      <c r="D87" s="107"/>
      <c r="E87" s="548"/>
      <c r="F87" s="549"/>
      <c r="G87" s="549"/>
      <c r="H87" s="550"/>
      <c r="I87" s="540"/>
      <c r="J87" s="541"/>
      <c r="K87" s="541"/>
      <c r="L87" s="542"/>
      <c r="M87" s="540"/>
      <c r="N87" s="541"/>
      <c r="O87" s="541"/>
      <c r="P87" s="542"/>
      <c r="Q87" s="540"/>
      <c r="R87" s="541"/>
      <c r="S87" s="541"/>
      <c r="T87" s="542"/>
      <c r="U87" s="540"/>
      <c r="V87" s="541"/>
      <c r="W87" s="541"/>
      <c r="X87" s="542"/>
      <c r="Y87" s="540"/>
      <c r="Z87" s="541"/>
      <c r="AA87" s="541"/>
      <c r="AB87" s="542"/>
      <c r="AC87" s="540"/>
      <c r="AD87" s="541"/>
      <c r="AE87" s="541"/>
      <c r="AF87" s="542"/>
      <c r="AG87" s="540"/>
      <c r="AH87" s="541"/>
      <c r="AI87" s="541"/>
      <c r="AJ87" s="542"/>
      <c r="AK87" s="540"/>
      <c r="AL87" s="541"/>
      <c r="AM87" s="541"/>
      <c r="AN87" s="542"/>
      <c r="AO87" s="540"/>
      <c r="AP87" s="541"/>
      <c r="AQ87" s="541"/>
      <c r="AR87" s="542"/>
      <c r="AS87" s="540"/>
      <c r="AT87" s="541"/>
      <c r="AU87" s="541"/>
      <c r="AV87" s="542"/>
      <c r="AW87" s="540"/>
      <c r="AX87" s="541"/>
      <c r="AY87" s="541"/>
      <c r="AZ87" s="542"/>
      <c r="BG87" s="93"/>
      <c r="BH87" s="93"/>
      <c r="BI87" s="93"/>
      <c r="BJ87" s="203">
        <v>29</v>
      </c>
      <c r="BK87" s="164">
        <v>0</v>
      </c>
      <c r="BL87" s="165">
        <v>37.71</v>
      </c>
      <c r="BM87" s="165">
        <v>51.29</v>
      </c>
      <c r="BN87" s="165">
        <v>70.27</v>
      </c>
      <c r="BO87" s="165">
        <v>71.510000000000005</v>
      </c>
      <c r="BP87" s="165">
        <v>72.53</v>
      </c>
      <c r="BQ87" s="165">
        <v>60.54</v>
      </c>
      <c r="BR87" s="165">
        <v>72.98</v>
      </c>
      <c r="BS87" s="165">
        <v>97.44</v>
      </c>
      <c r="BT87" s="165">
        <v>130.66</v>
      </c>
      <c r="BU87" s="165">
        <v>141.57</v>
      </c>
      <c r="BV87" s="165">
        <v>72.53</v>
      </c>
      <c r="BW87" s="165">
        <v>60.54</v>
      </c>
      <c r="BX87" s="165">
        <v>72.98</v>
      </c>
      <c r="BY87" s="165">
        <v>97.44</v>
      </c>
      <c r="BZ87" s="165">
        <v>130.66</v>
      </c>
      <c r="CA87" s="165">
        <v>141.57</v>
      </c>
      <c r="CB87" s="203"/>
      <c r="CC87" s="126"/>
      <c r="CD87" s="126"/>
      <c r="CE87" s="143"/>
      <c r="CG87" s="181" t="s">
        <v>411</v>
      </c>
      <c r="CH87" s="182">
        <v>7</v>
      </c>
      <c r="CI87" s="157">
        <v>0</v>
      </c>
      <c r="CJ87" s="158">
        <v>1.73</v>
      </c>
      <c r="CK87" s="159">
        <v>2.83</v>
      </c>
      <c r="CL87" s="159">
        <v>4.4000000000000004</v>
      </c>
      <c r="CM87" s="160">
        <v>4.4800000000000004</v>
      </c>
      <c r="CN87" s="158">
        <v>4.4000000000000004</v>
      </c>
      <c r="CO87" s="159">
        <v>3.58</v>
      </c>
      <c r="CP87" s="159">
        <v>4.4800000000000004</v>
      </c>
      <c r="CQ87" s="159">
        <v>6.79</v>
      </c>
      <c r="CR87" s="159">
        <v>9.39</v>
      </c>
      <c r="CS87" s="160">
        <v>9.93</v>
      </c>
      <c r="CT87" s="161">
        <v>4.4000000000000004</v>
      </c>
      <c r="CU87" s="159">
        <v>3.58</v>
      </c>
      <c r="CV87" s="159">
        <v>4.4800000000000004</v>
      </c>
      <c r="CW87" s="159">
        <v>6.79</v>
      </c>
      <c r="CX87" s="159">
        <v>9.39</v>
      </c>
      <c r="CY87" s="160">
        <v>9.93</v>
      </c>
      <c r="CZ87" s="183"/>
    </row>
    <row r="88" spans="1:105">
      <c r="A88" s="107"/>
      <c r="B88" s="107"/>
      <c r="C88" s="107"/>
      <c r="D88" s="107"/>
      <c r="E88" s="551"/>
      <c r="F88" s="552"/>
      <c r="G88" s="552"/>
      <c r="H88" s="553"/>
      <c r="I88" s="545"/>
      <c r="J88" s="546"/>
      <c r="K88" s="546"/>
      <c r="L88" s="547"/>
      <c r="M88" s="545"/>
      <c r="N88" s="546"/>
      <c r="O88" s="546"/>
      <c r="P88" s="547"/>
      <c r="Q88" s="545"/>
      <c r="R88" s="546"/>
      <c r="S88" s="546"/>
      <c r="T88" s="547"/>
      <c r="U88" s="545"/>
      <c r="V88" s="546"/>
      <c r="W88" s="546"/>
      <c r="X88" s="547"/>
      <c r="Y88" s="545"/>
      <c r="Z88" s="546"/>
      <c r="AA88" s="546"/>
      <c r="AB88" s="547"/>
      <c r="AC88" s="545"/>
      <c r="AD88" s="546"/>
      <c r="AE88" s="546"/>
      <c r="AF88" s="547"/>
      <c r="AG88" s="545"/>
      <c r="AH88" s="546"/>
      <c r="AI88" s="546"/>
      <c r="AJ88" s="547"/>
      <c r="AK88" s="545"/>
      <c r="AL88" s="546"/>
      <c r="AM88" s="546"/>
      <c r="AN88" s="547"/>
      <c r="AO88" s="545"/>
      <c r="AP88" s="546"/>
      <c r="AQ88" s="546"/>
      <c r="AR88" s="547"/>
      <c r="AS88" s="545"/>
      <c r="AT88" s="546"/>
      <c r="AU88" s="546"/>
      <c r="AV88" s="547"/>
      <c r="AW88" s="545"/>
      <c r="AX88" s="546"/>
      <c r="AY88" s="546"/>
      <c r="AZ88" s="547"/>
      <c r="BG88" s="93"/>
      <c r="BH88" s="93"/>
      <c r="BI88" s="93"/>
      <c r="BJ88" s="203">
        <v>29.5</v>
      </c>
      <c r="BK88" s="164">
        <v>0</v>
      </c>
      <c r="BL88" s="165">
        <v>38.1</v>
      </c>
      <c r="BM88" s="165">
        <v>51.84</v>
      </c>
      <c r="BN88" s="165">
        <v>71.13</v>
      </c>
      <c r="BO88" s="165">
        <v>72.39</v>
      </c>
      <c r="BP88" s="165">
        <v>73.41</v>
      </c>
      <c r="BQ88" s="165">
        <v>61.26</v>
      </c>
      <c r="BR88" s="165">
        <v>73.86</v>
      </c>
      <c r="BS88" s="165">
        <v>98.74</v>
      </c>
      <c r="BT88" s="165">
        <v>132.55000000000001</v>
      </c>
      <c r="BU88" s="165">
        <v>143.6</v>
      </c>
      <c r="BV88" s="165">
        <v>73.41</v>
      </c>
      <c r="BW88" s="165">
        <v>61.26</v>
      </c>
      <c r="BX88" s="165">
        <v>73.86</v>
      </c>
      <c r="BY88" s="165">
        <v>98.74</v>
      </c>
      <c r="BZ88" s="165">
        <v>132.55000000000001</v>
      </c>
      <c r="CA88" s="165">
        <v>143.6</v>
      </c>
      <c r="CB88" s="203"/>
      <c r="CC88" s="126"/>
      <c r="CD88" s="126"/>
      <c r="CE88" s="143"/>
      <c r="CG88" s="184" t="s">
        <v>412</v>
      </c>
      <c r="CH88" s="185">
        <v>8</v>
      </c>
      <c r="CI88" s="157">
        <v>0</v>
      </c>
      <c r="CJ88" s="158">
        <v>1.96</v>
      </c>
      <c r="CK88" s="159">
        <v>2.75</v>
      </c>
      <c r="CL88" s="159">
        <v>4.33</v>
      </c>
      <c r="CM88" s="160">
        <v>4.4000000000000004</v>
      </c>
      <c r="CN88" s="158">
        <v>4.4000000000000004</v>
      </c>
      <c r="CO88" s="159">
        <v>3.58</v>
      </c>
      <c r="CP88" s="159">
        <v>4.4000000000000004</v>
      </c>
      <c r="CQ88" s="159">
        <v>6.49</v>
      </c>
      <c r="CR88" s="159">
        <v>9.48</v>
      </c>
      <c r="CS88" s="160">
        <v>10.16</v>
      </c>
      <c r="CT88" s="161">
        <v>4.4000000000000004</v>
      </c>
      <c r="CU88" s="159">
        <v>3.58</v>
      </c>
      <c r="CV88" s="159">
        <v>4.4000000000000004</v>
      </c>
      <c r="CW88" s="159">
        <v>6.49</v>
      </c>
      <c r="CX88" s="159">
        <v>9.48</v>
      </c>
      <c r="CY88" s="160">
        <v>10.16</v>
      </c>
      <c r="CZ88" s="186"/>
    </row>
    <row r="89" spans="1:105">
      <c r="A89" s="107"/>
      <c r="B89" s="107"/>
      <c r="C89" s="107"/>
      <c r="D89" s="107"/>
      <c r="E89" s="548"/>
      <c r="F89" s="549"/>
      <c r="G89" s="549"/>
      <c r="H89" s="550"/>
      <c r="I89" s="540"/>
      <c r="J89" s="541"/>
      <c r="K89" s="541"/>
      <c r="L89" s="542"/>
      <c r="M89" s="540"/>
      <c r="N89" s="541"/>
      <c r="O89" s="541"/>
      <c r="P89" s="542"/>
      <c r="Q89" s="540"/>
      <c r="R89" s="541"/>
      <c r="S89" s="541"/>
      <c r="T89" s="542"/>
      <c r="U89" s="540"/>
      <c r="V89" s="541"/>
      <c r="W89" s="541"/>
      <c r="X89" s="542"/>
      <c r="Y89" s="540"/>
      <c r="Z89" s="541"/>
      <c r="AA89" s="541"/>
      <c r="AB89" s="542"/>
      <c r="AC89" s="540"/>
      <c r="AD89" s="541"/>
      <c r="AE89" s="541"/>
      <c r="AF89" s="542"/>
      <c r="AG89" s="540"/>
      <c r="AH89" s="541"/>
      <c r="AI89" s="541"/>
      <c r="AJ89" s="542"/>
      <c r="AK89" s="540"/>
      <c r="AL89" s="541"/>
      <c r="AM89" s="541"/>
      <c r="AN89" s="542"/>
      <c r="AO89" s="540"/>
      <c r="AP89" s="541"/>
      <c r="AQ89" s="541"/>
      <c r="AR89" s="542"/>
      <c r="AS89" s="540"/>
      <c r="AT89" s="541"/>
      <c r="AU89" s="541"/>
      <c r="AV89" s="542"/>
      <c r="AW89" s="540"/>
      <c r="AX89" s="541"/>
      <c r="AY89" s="541"/>
      <c r="AZ89" s="542"/>
      <c r="BG89" s="93"/>
      <c r="BH89" s="93"/>
      <c r="BI89" s="93"/>
      <c r="BJ89" s="203">
        <v>30</v>
      </c>
      <c r="BK89" s="164">
        <v>0</v>
      </c>
      <c r="BL89" s="165">
        <v>38.479999999999997</v>
      </c>
      <c r="BM89" s="165">
        <v>52.4</v>
      </c>
      <c r="BN89" s="165">
        <v>72</v>
      </c>
      <c r="BO89" s="165">
        <v>73.27</v>
      </c>
      <c r="BP89" s="165">
        <v>74.290000000000006</v>
      </c>
      <c r="BQ89" s="165">
        <v>61.97</v>
      </c>
      <c r="BR89" s="165">
        <v>74.73</v>
      </c>
      <c r="BS89" s="165">
        <v>100.04</v>
      </c>
      <c r="BT89" s="165">
        <v>134.44999999999999</v>
      </c>
      <c r="BU89" s="165">
        <v>145.63</v>
      </c>
      <c r="BV89" s="165">
        <v>74.290000000000006</v>
      </c>
      <c r="BW89" s="165">
        <v>61.97</v>
      </c>
      <c r="BX89" s="165">
        <v>74.73</v>
      </c>
      <c r="BY89" s="165">
        <v>100.04</v>
      </c>
      <c r="BZ89" s="165">
        <v>134.44999999999999</v>
      </c>
      <c r="CA89" s="165">
        <v>145.63</v>
      </c>
      <c r="CB89" s="203"/>
      <c r="CC89" s="126"/>
      <c r="CD89" s="126"/>
      <c r="CE89" s="143"/>
      <c r="CG89" s="166" t="s">
        <v>413</v>
      </c>
      <c r="CH89" s="167">
        <v>9</v>
      </c>
      <c r="CI89" s="157">
        <v>0</v>
      </c>
      <c r="CJ89" s="158">
        <v>4.7699999999999996</v>
      </c>
      <c r="CK89" s="159">
        <v>7.01</v>
      </c>
      <c r="CL89" s="159">
        <v>10.29</v>
      </c>
      <c r="CM89" s="160">
        <v>10.44</v>
      </c>
      <c r="CN89" s="158">
        <v>11.2</v>
      </c>
      <c r="CO89" s="159">
        <v>9.5</v>
      </c>
      <c r="CP89" s="159">
        <v>11.35</v>
      </c>
      <c r="CQ89" s="159">
        <v>17.850000000000001</v>
      </c>
      <c r="CR89" s="159">
        <v>25.96</v>
      </c>
      <c r="CS89" s="160">
        <v>27.31</v>
      </c>
      <c r="CT89" s="161">
        <v>11.2</v>
      </c>
      <c r="CU89" s="159">
        <v>9.5</v>
      </c>
      <c r="CV89" s="159">
        <v>11.35</v>
      </c>
      <c r="CW89" s="159">
        <v>17.850000000000001</v>
      </c>
      <c r="CX89" s="159">
        <v>25.96</v>
      </c>
      <c r="CY89" s="160">
        <v>27.31</v>
      </c>
      <c r="CZ89" s="168"/>
      <c r="DA89" s="187" t="s">
        <v>414</v>
      </c>
    </row>
    <row r="90" spans="1:105">
      <c r="A90" s="107"/>
      <c r="B90" s="107"/>
      <c r="C90" s="107"/>
      <c r="D90" s="107"/>
      <c r="E90" s="551"/>
      <c r="F90" s="552"/>
      <c r="G90" s="552"/>
      <c r="H90" s="553"/>
      <c r="I90" s="545"/>
      <c r="J90" s="546"/>
      <c r="K90" s="546"/>
      <c r="L90" s="547"/>
      <c r="M90" s="545"/>
      <c r="N90" s="546"/>
      <c r="O90" s="546"/>
      <c r="P90" s="547"/>
      <c r="Q90" s="545"/>
      <c r="R90" s="546"/>
      <c r="S90" s="546"/>
      <c r="T90" s="547"/>
      <c r="U90" s="545"/>
      <c r="V90" s="546"/>
      <c r="W90" s="546"/>
      <c r="X90" s="547"/>
      <c r="Y90" s="545"/>
      <c r="Z90" s="546"/>
      <c r="AA90" s="546"/>
      <c r="AB90" s="547"/>
      <c r="AC90" s="545"/>
      <c r="AD90" s="546"/>
      <c r="AE90" s="546"/>
      <c r="AF90" s="547"/>
      <c r="AG90" s="545"/>
      <c r="AH90" s="546"/>
      <c r="AI90" s="546"/>
      <c r="AJ90" s="547"/>
      <c r="AK90" s="545"/>
      <c r="AL90" s="546"/>
      <c r="AM90" s="546"/>
      <c r="AN90" s="547"/>
      <c r="AO90" s="545"/>
      <c r="AP90" s="546"/>
      <c r="AQ90" s="546"/>
      <c r="AR90" s="547"/>
      <c r="AS90" s="545"/>
      <c r="AT90" s="546"/>
      <c r="AU90" s="546"/>
      <c r="AV90" s="547"/>
      <c r="AW90" s="545"/>
      <c r="AX90" s="546"/>
      <c r="AY90" s="546"/>
      <c r="AZ90" s="547"/>
      <c r="BG90" s="93"/>
      <c r="BH90" s="93"/>
      <c r="BI90" s="93"/>
      <c r="BJ90" s="204">
        <v>31</v>
      </c>
      <c r="BK90" s="164">
        <v>0</v>
      </c>
      <c r="BL90" s="165">
        <v>39.44</v>
      </c>
      <c r="BM90" s="165">
        <v>53.8</v>
      </c>
      <c r="BN90" s="165">
        <v>74.05</v>
      </c>
      <c r="BO90" s="165">
        <v>75.36</v>
      </c>
      <c r="BP90" s="165">
        <v>76.53</v>
      </c>
      <c r="BQ90" s="165">
        <v>63.87</v>
      </c>
      <c r="BR90" s="165">
        <v>77</v>
      </c>
      <c r="BS90" s="165">
        <v>103.61</v>
      </c>
      <c r="BT90" s="165">
        <v>139.63999999999999</v>
      </c>
      <c r="BU90" s="165">
        <v>151.09</v>
      </c>
      <c r="BV90" s="165">
        <v>76.53</v>
      </c>
      <c r="BW90" s="165">
        <v>63.87</v>
      </c>
      <c r="BX90" s="165">
        <v>77</v>
      </c>
      <c r="BY90" s="165">
        <v>103.61</v>
      </c>
      <c r="BZ90" s="165">
        <v>139.63999999999999</v>
      </c>
      <c r="CA90" s="165">
        <v>151.09</v>
      </c>
      <c r="CB90" s="204"/>
      <c r="CC90" s="126"/>
      <c r="CD90" s="126"/>
      <c r="CE90" s="143"/>
      <c r="CG90" s="188" t="s">
        <v>415</v>
      </c>
      <c r="CH90" s="189">
        <v>10</v>
      </c>
      <c r="CI90" s="157">
        <v>0</v>
      </c>
      <c r="CJ90" s="158">
        <v>5.81</v>
      </c>
      <c r="CK90" s="159">
        <v>8.8000000000000007</v>
      </c>
      <c r="CL90" s="159">
        <v>12.25</v>
      </c>
      <c r="CM90" s="160">
        <v>12.25</v>
      </c>
      <c r="CN90" s="158">
        <v>13.12</v>
      </c>
      <c r="CO90" s="159">
        <v>10.91</v>
      </c>
      <c r="CP90" s="159">
        <v>13.27</v>
      </c>
      <c r="CQ90" s="159">
        <v>20.66</v>
      </c>
      <c r="CR90" s="159">
        <v>29.56</v>
      </c>
      <c r="CS90" s="160">
        <v>31.01</v>
      </c>
      <c r="CT90" s="161">
        <v>13.12</v>
      </c>
      <c r="CU90" s="159">
        <v>10.91</v>
      </c>
      <c r="CV90" s="159">
        <v>13.27</v>
      </c>
      <c r="CW90" s="159">
        <v>20.66</v>
      </c>
      <c r="CX90" s="159">
        <v>29.56</v>
      </c>
      <c r="CY90" s="160">
        <v>31.01</v>
      </c>
      <c r="CZ90" s="190"/>
      <c r="DA90" s="187" t="s">
        <v>414</v>
      </c>
    </row>
    <row r="91" spans="1:105" ht="16" thickBot="1">
      <c r="A91" s="107"/>
      <c r="B91" s="107"/>
      <c r="C91" s="107"/>
      <c r="D91" s="107"/>
      <c r="E91" s="548"/>
      <c r="F91" s="549"/>
      <c r="G91" s="549"/>
      <c r="H91" s="550"/>
      <c r="I91" s="540"/>
      <c r="J91" s="541"/>
      <c r="K91" s="541"/>
      <c r="L91" s="542"/>
      <c r="M91" s="540"/>
      <c r="N91" s="541"/>
      <c r="O91" s="541"/>
      <c r="P91" s="542"/>
      <c r="Q91" s="540"/>
      <c r="R91" s="541"/>
      <c r="S91" s="541"/>
      <c r="T91" s="542"/>
      <c r="U91" s="540"/>
      <c r="V91" s="541"/>
      <c r="W91" s="541"/>
      <c r="X91" s="542"/>
      <c r="Y91" s="540"/>
      <c r="Z91" s="541"/>
      <c r="AA91" s="541"/>
      <c r="AB91" s="542"/>
      <c r="AC91" s="540"/>
      <c r="AD91" s="541"/>
      <c r="AE91" s="541"/>
      <c r="AF91" s="542"/>
      <c r="AG91" s="540"/>
      <c r="AH91" s="541"/>
      <c r="AI91" s="541"/>
      <c r="AJ91" s="542"/>
      <c r="AK91" s="540"/>
      <c r="AL91" s="541"/>
      <c r="AM91" s="541"/>
      <c r="AN91" s="542"/>
      <c r="AO91" s="540"/>
      <c r="AP91" s="541"/>
      <c r="AQ91" s="541"/>
      <c r="AR91" s="542"/>
      <c r="AS91" s="540"/>
      <c r="AT91" s="541"/>
      <c r="AU91" s="541"/>
      <c r="AV91" s="542"/>
      <c r="AW91" s="540"/>
      <c r="AX91" s="541"/>
      <c r="AY91" s="541"/>
      <c r="AZ91" s="542"/>
      <c r="BG91" s="93"/>
      <c r="BH91" s="93"/>
      <c r="BI91" s="93"/>
      <c r="BJ91" s="204">
        <v>32</v>
      </c>
      <c r="BK91" s="164">
        <v>0</v>
      </c>
      <c r="BL91" s="165">
        <v>40.4</v>
      </c>
      <c r="BM91" s="165">
        <v>55.21</v>
      </c>
      <c r="BN91" s="165">
        <v>76.11</v>
      </c>
      <c r="BO91" s="165">
        <v>77.45</v>
      </c>
      <c r="BP91" s="165">
        <v>78.77</v>
      </c>
      <c r="BQ91" s="165">
        <v>65.760000000000005</v>
      </c>
      <c r="BR91" s="165">
        <v>79.27</v>
      </c>
      <c r="BS91" s="165">
        <v>107.18</v>
      </c>
      <c r="BT91" s="165">
        <v>144.83000000000001</v>
      </c>
      <c r="BU91" s="165">
        <v>156.55000000000001</v>
      </c>
      <c r="BV91" s="165">
        <v>78.77</v>
      </c>
      <c r="BW91" s="165">
        <v>65.760000000000005</v>
      </c>
      <c r="BX91" s="165">
        <v>79.27</v>
      </c>
      <c r="BY91" s="165">
        <v>107.18</v>
      </c>
      <c r="BZ91" s="165">
        <v>144.83000000000001</v>
      </c>
      <c r="CA91" s="165">
        <v>156.55000000000001</v>
      </c>
      <c r="CB91" s="204"/>
      <c r="CC91" s="126"/>
      <c r="CD91" s="126"/>
      <c r="CE91" s="143"/>
      <c r="CG91" s="191" t="s">
        <v>416</v>
      </c>
      <c r="CH91" s="192">
        <v>11</v>
      </c>
      <c r="CI91" s="193">
        <v>0</v>
      </c>
      <c r="CJ91" s="194">
        <v>6.09</v>
      </c>
      <c r="CK91" s="195">
        <v>9.2200000000000006</v>
      </c>
      <c r="CL91" s="195">
        <v>12.84</v>
      </c>
      <c r="CM91" s="196">
        <v>12.84</v>
      </c>
      <c r="CN91" s="194">
        <v>13.76</v>
      </c>
      <c r="CO91" s="195">
        <v>12.61</v>
      </c>
      <c r="CP91" s="195">
        <v>13.91</v>
      </c>
      <c r="CQ91" s="195">
        <v>23.64</v>
      </c>
      <c r="CR91" s="195">
        <v>30.99</v>
      </c>
      <c r="CS91" s="196">
        <v>32.53</v>
      </c>
      <c r="CT91" s="197">
        <v>13.76</v>
      </c>
      <c r="CU91" s="195">
        <v>12.61</v>
      </c>
      <c r="CV91" s="195">
        <v>13.91</v>
      </c>
      <c r="CW91" s="195">
        <v>23.64</v>
      </c>
      <c r="CX91" s="195">
        <v>30.99</v>
      </c>
      <c r="CY91" s="196">
        <v>32.53</v>
      </c>
      <c r="CZ91" s="198"/>
      <c r="DA91" s="187" t="s">
        <v>414</v>
      </c>
    </row>
    <row r="92" spans="1:105" ht="16" thickBot="1">
      <c r="A92" s="107"/>
      <c r="B92" s="107"/>
      <c r="C92" s="107"/>
      <c r="D92" s="107"/>
      <c r="E92" s="551"/>
      <c r="F92" s="552"/>
      <c r="G92" s="552"/>
      <c r="H92" s="553"/>
      <c r="I92" s="545"/>
      <c r="J92" s="546"/>
      <c r="K92" s="546"/>
      <c r="L92" s="547"/>
      <c r="M92" s="545"/>
      <c r="N92" s="546"/>
      <c r="O92" s="546"/>
      <c r="P92" s="547"/>
      <c r="Q92" s="545"/>
      <c r="R92" s="546"/>
      <c r="S92" s="546"/>
      <c r="T92" s="547"/>
      <c r="U92" s="545"/>
      <c r="V92" s="546"/>
      <c r="W92" s="546"/>
      <c r="X92" s="547"/>
      <c r="Y92" s="545"/>
      <c r="Z92" s="546"/>
      <c r="AA92" s="546"/>
      <c r="AB92" s="547"/>
      <c r="AC92" s="545"/>
      <c r="AD92" s="546"/>
      <c r="AE92" s="546"/>
      <c r="AF92" s="547"/>
      <c r="AG92" s="545"/>
      <c r="AH92" s="546"/>
      <c r="AI92" s="546"/>
      <c r="AJ92" s="547"/>
      <c r="AK92" s="545"/>
      <c r="AL92" s="546"/>
      <c r="AM92" s="546"/>
      <c r="AN92" s="547"/>
      <c r="AO92" s="545"/>
      <c r="AP92" s="546"/>
      <c r="AQ92" s="546"/>
      <c r="AR92" s="547"/>
      <c r="AS92" s="545"/>
      <c r="AT92" s="546"/>
      <c r="AU92" s="546"/>
      <c r="AV92" s="547"/>
      <c r="AW92" s="545"/>
      <c r="AX92" s="546"/>
      <c r="AY92" s="546"/>
      <c r="AZ92" s="547"/>
      <c r="BG92" s="93"/>
      <c r="BH92" s="93"/>
      <c r="BI92" s="93"/>
      <c r="BJ92" s="204">
        <v>33</v>
      </c>
      <c r="BK92" s="164">
        <v>0</v>
      </c>
      <c r="BL92" s="165">
        <v>41.36</v>
      </c>
      <c r="BM92" s="165">
        <v>56.62</v>
      </c>
      <c r="BN92" s="165">
        <v>78.16</v>
      </c>
      <c r="BO92" s="165">
        <v>79.540000000000006</v>
      </c>
      <c r="BP92" s="165">
        <v>81</v>
      </c>
      <c r="BQ92" s="165">
        <v>67.66</v>
      </c>
      <c r="BR92" s="165">
        <v>81.540000000000006</v>
      </c>
      <c r="BS92" s="165">
        <v>110.76</v>
      </c>
      <c r="BT92" s="165">
        <v>150.01</v>
      </c>
      <c r="BU92" s="165">
        <v>162.01</v>
      </c>
      <c r="BV92" s="165">
        <v>81</v>
      </c>
      <c r="BW92" s="165">
        <v>67.66</v>
      </c>
      <c r="BX92" s="165">
        <v>81.540000000000006</v>
      </c>
      <c r="BY92" s="165">
        <v>110.76</v>
      </c>
      <c r="BZ92" s="165">
        <v>150.01</v>
      </c>
      <c r="CA92" s="165">
        <v>162.01</v>
      </c>
      <c r="CB92" s="204"/>
      <c r="CC92" s="126"/>
      <c r="CD92" s="126"/>
      <c r="CE92" s="143"/>
    </row>
    <row r="93" spans="1:105" ht="17" thickBot="1">
      <c r="A93" s="107"/>
      <c r="B93" s="107"/>
      <c r="C93" s="107"/>
      <c r="D93" s="107"/>
      <c r="E93" s="548"/>
      <c r="F93" s="549"/>
      <c r="G93" s="549"/>
      <c r="H93" s="550"/>
      <c r="I93" s="540"/>
      <c r="J93" s="541"/>
      <c r="K93" s="541"/>
      <c r="L93" s="542"/>
      <c r="M93" s="540"/>
      <c r="N93" s="541"/>
      <c r="O93" s="541"/>
      <c r="P93" s="542"/>
      <c r="Q93" s="540"/>
      <c r="R93" s="541"/>
      <c r="S93" s="541"/>
      <c r="T93" s="542"/>
      <c r="U93" s="540"/>
      <c r="V93" s="541"/>
      <c r="W93" s="541"/>
      <c r="X93" s="542"/>
      <c r="Y93" s="540"/>
      <c r="Z93" s="541"/>
      <c r="AA93" s="541"/>
      <c r="AB93" s="542"/>
      <c r="AC93" s="540"/>
      <c r="AD93" s="541"/>
      <c r="AE93" s="541"/>
      <c r="AF93" s="542"/>
      <c r="AG93" s="540"/>
      <c r="AH93" s="541"/>
      <c r="AI93" s="541"/>
      <c r="AJ93" s="542"/>
      <c r="AK93" s="540"/>
      <c r="AL93" s="541"/>
      <c r="AM93" s="541"/>
      <c r="AN93" s="542"/>
      <c r="AO93" s="540"/>
      <c r="AP93" s="541"/>
      <c r="AQ93" s="541"/>
      <c r="AR93" s="542"/>
      <c r="AS93" s="540"/>
      <c r="AT93" s="541"/>
      <c r="AU93" s="541"/>
      <c r="AV93" s="542"/>
      <c r="AW93" s="540"/>
      <c r="AX93" s="541"/>
      <c r="AY93" s="541"/>
      <c r="AZ93" s="542"/>
      <c r="BG93" s="93"/>
      <c r="BH93" s="93"/>
      <c r="BI93" s="93"/>
      <c r="BJ93" s="204">
        <v>34</v>
      </c>
      <c r="BK93" s="164">
        <v>0</v>
      </c>
      <c r="BL93" s="165">
        <v>42.32</v>
      </c>
      <c r="BM93" s="165">
        <v>58.02</v>
      </c>
      <c r="BN93" s="165">
        <v>80.22</v>
      </c>
      <c r="BO93" s="165">
        <v>81.63</v>
      </c>
      <c r="BP93" s="165">
        <v>83.24</v>
      </c>
      <c r="BQ93" s="165">
        <v>69.56</v>
      </c>
      <c r="BR93" s="165">
        <v>83.82</v>
      </c>
      <c r="BS93" s="165">
        <v>114.33</v>
      </c>
      <c r="BT93" s="165">
        <v>155.19999999999999</v>
      </c>
      <c r="BU93" s="165">
        <v>167.47</v>
      </c>
      <c r="BV93" s="165">
        <v>83.24</v>
      </c>
      <c r="BW93" s="165">
        <v>69.56</v>
      </c>
      <c r="BX93" s="165">
        <v>83.82</v>
      </c>
      <c r="BY93" s="165">
        <v>114.33</v>
      </c>
      <c r="BZ93" s="165">
        <v>155.19999999999999</v>
      </c>
      <c r="CA93" s="165">
        <v>167.47</v>
      </c>
      <c r="CB93" s="204"/>
      <c r="CC93" s="126"/>
      <c r="CD93" s="126"/>
      <c r="CE93" s="143"/>
      <c r="CG93" s="129" t="s">
        <v>425</v>
      </c>
      <c r="CH93" s="130" t="s">
        <v>426</v>
      </c>
      <c r="CI93" s="131">
        <v>0</v>
      </c>
      <c r="CJ93" s="132">
        <v>1</v>
      </c>
      <c r="CK93" s="133">
        <v>2</v>
      </c>
      <c r="CL93" s="133">
        <v>3</v>
      </c>
      <c r="CM93" s="134">
        <v>4</v>
      </c>
      <c r="CN93" s="132">
        <v>5</v>
      </c>
      <c r="CO93" s="133">
        <v>6</v>
      </c>
      <c r="CP93" s="133">
        <v>7</v>
      </c>
      <c r="CQ93" s="133">
        <v>8</v>
      </c>
      <c r="CR93" s="133">
        <v>9</v>
      </c>
      <c r="CS93" s="134">
        <v>10</v>
      </c>
      <c r="CT93" s="135">
        <v>5</v>
      </c>
      <c r="CU93" s="133">
        <v>6</v>
      </c>
      <c r="CV93" s="133">
        <v>7</v>
      </c>
      <c r="CW93" s="133">
        <v>8</v>
      </c>
      <c r="CX93" s="133">
        <v>9</v>
      </c>
      <c r="CY93" s="134">
        <v>10</v>
      </c>
      <c r="CZ93" s="136"/>
    </row>
    <row r="94" spans="1:105">
      <c r="A94" s="107"/>
      <c r="B94" s="107"/>
      <c r="C94" s="107"/>
      <c r="D94" s="107"/>
      <c r="E94" s="551"/>
      <c r="F94" s="552"/>
      <c r="G94" s="552"/>
      <c r="H94" s="553"/>
      <c r="I94" s="545"/>
      <c r="J94" s="546"/>
      <c r="K94" s="546"/>
      <c r="L94" s="547"/>
      <c r="M94" s="545"/>
      <c r="N94" s="546"/>
      <c r="O94" s="546"/>
      <c r="P94" s="547"/>
      <c r="Q94" s="545"/>
      <c r="R94" s="546"/>
      <c r="S94" s="546"/>
      <c r="T94" s="547"/>
      <c r="U94" s="545"/>
      <c r="V94" s="546"/>
      <c r="W94" s="546"/>
      <c r="X94" s="547"/>
      <c r="Y94" s="545"/>
      <c r="Z94" s="546"/>
      <c r="AA94" s="546"/>
      <c r="AB94" s="547"/>
      <c r="AC94" s="545"/>
      <c r="AD94" s="546"/>
      <c r="AE94" s="546"/>
      <c r="AF94" s="547"/>
      <c r="AG94" s="545"/>
      <c r="AH94" s="546"/>
      <c r="AI94" s="546"/>
      <c r="AJ94" s="547"/>
      <c r="AK94" s="545"/>
      <c r="AL94" s="546"/>
      <c r="AM94" s="546"/>
      <c r="AN94" s="547"/>
      <c r="AO94" s="545"/>
      <c r="AP94" s="546"/>
      <c r="AQ94" s="546"/>
      <c r="AR94" s="547"/>
      <c r="AS94" s="545"/>
      <c r="AT94" s="546"/>
      <c r="AU94" s="546"/>
      <c r="AV94" s="547"/>
      <c r="AW94" s="545"/>
      <c r="AX94" s="546"/>
      <c r="AY94" s="546"/>
      <c r="AZ94" s="547"/>
      <c r="BG94" s="93"/>
      <c r="BH94" s="93"/>
      <c r="BI94" s="93"/>
      <c r="BJ94" s="204">
        <v>35</v>
      </c>
      <c r="BK94" s="164">
        <v>0</v>
      </c>
      <c r="BL94" s="165">
        <v>43.28</v>
      </c>
      <c r="BM94" s="165">
        <v>59.43</v>
      </c>
      <c r="BN94" s="165">
        <v>82.27</v>
      </c>
      <c r="BO94" s="165">
        <v>83.72</v>
      </c>
      <c r="BP94" s="165">
        <v>85.48</v>
      </c>
      <c r="BQ94" s="165">
        <v>71.45</v>
      </c>
      <c r="BR94" s="165">
        <v>86.09</v>
      </c>
      <c r="BS94" s="165">
        <v>117.9</v>
      </c>
      <c r="BT94" s="165">
        <v>160.38999999999999</v>
      </c>
      <c r="BU94" s="165">
        <v>172.93</v>
      </c>
      <c r="BV94" s="165">
        <v>85.48</v>
      </c>
      <c r="BW94" s="165">
        <v>71.45</v>
      </c>
      <c r="BX94" s="165">
        <v>86.09</v>
      </c>
      <c r="BY94" s="165">
        <v>117.9</v>
      </c>
      <c r="BZ94" s="165">
        <v>160.38999999999999</v>
      </c>
      <c r="CA94" s="165">
        <v>172.93</v>
      </c>
      <c r="CB94" s="204"/>
      <c r="CC94" s="126"/>
      <c r="CD94" s="126"/>
      <c r="CE94" s="143"/>
      <c r="CG94" s="144" t="s">
        <v>406</v>
      </c>
      <c r="CH94" s="145">
        <v>1</v>
      </c>
      <c r="CI94" s="146">
        <v>0</v>
      </c>
      <c r="CJ94" s="205"/>
      <c r="CK94" s="206"/>
      <c r="CL94" s="206"/>
      <c r="CM94" s="207"/>
      <c r="CN94" s="205"/>
      <c r="CO94" s="206"/>
      <c r="CP94" s="206"/>
      <c r="CQ94" s="206"/>
      <c r="CR94" s="206"/>
      <c r="CS94" s="207"/>
      <c r="CT94" s="208"/>
      <c r="CU94" s="206"/>
      <c r="CV94" s="206"/>
      <c r="CW94" s="206"/>
      <c r="CX94" s="206"/>
      <c r="CY94" s="207"/>
      <c r="CZ94" s="151"/>
    </row>
    <row r="95" spans="1:105">
      <c r="A95" s="107"/>
      <c r="B95" s="107"/>
      <c r="C95" s="107"/>
      <c r="D95" s="107"/>
      <c r="E95" s="548"/>
      <c r="F95" s="549"/>
      <c r="G95" s="549"/>
      <c r="H95" s="550"/>
      <c r="I95" s="540"/>
      <c r="J95" s="541"/>
      <c r="K95" s="541"/>
      <c r="L95" s="542"/>
      <c r="M95" s="540"/>
      <c r="N95" s="541"/>
      <c r="O95" s="541"/>
      <c r="P95" s="542"/>
      <c r="Q95" s="540"/>
      <c r="R95" s="541"/>
      <c r="S95" s="541"/>
      <c r="T95" s="542"/>
      <c r="U95" s="540"/>
      <c r="V95" s="541"/>
      <c r="W95" s="541"/>
      <c r="X95" s="542"/>
      <c r="Y95" s="540"/>
      <c r="Z95" s="541"/>
      <c r="AA95" s="541"/>
      <c r="AB95" s="542"/>
      <c r="AC95" s="540"/>
      <c r="AD95" s="541"/>
      <c r="AE95" s="541"/>
      <c r="AF95" s="542"/>
      <c r="AG95" s="540"/>
      <c r="AH95" s="541"/>
      <c r="AI95" s="541"/>
      <c r="AJ95" s="542"/>
      <c r="AK95" s="540"/>
      <c r="AL95" s="541"/>
      <c r="AM95" s="541"/>
      <c r="AN95" s="542"/>
      <c r="AO95" s="540"/>
      <c r="AP95" s="541"/>
      <c r="AQ95" s="541"/>
      <c r="AR95" s="542"/>
      <c r="AS95" s="540"/>
      <c r="AT95" s="541"/>
      <c r="AU95" s="541"/>
      <c r="AV95" s="542"/>
      <c r="AW95" s="540"/>
      <c r="AX95" s="541"/>
      <c r="AY95" s="541"/>
      <c r="AZ95" s="542"/>
      <c r="BG95" s="93"/>
      <c r="BH95" s="93"/>
      <c r="BI95" s="93"/>
      <c r="BJ95" s="204">
        <v>36</v>
      </c>
      <c r="BK95" s="164">
        <v>0</v>
      </c>
      <c r="BL95" s="165">
        <v>44.24</v>
      </c>
      <c r="BM95" s="165">
        <v>60.84</v>
      </c>
      <c r="BN95" s="165">
        <v>84.33</v>
      </c>
      <c r="BO95" s="165">
        <v>85.81</v>
      </c>
      <c r="BP95" s="165">
        <v>87.72</v>
      </c>
      <c r="BQ95" s="165">
        <v>73.349999999999994</v>
      </c>
      <c r="BR95" s="165">
        <v>88.36</v>
      </c>
      <c r="BS95" s="165">
        <v>121.48</v>
      </c>
      <c r="BT95" s="165">
        <v>165.58</v>
      </c>
      <c r="BU95" s="165">
        <v>178.39</v>
      </c>
      <c r="BV95" s="165">
        <v>87.72</v>
      </c>
      <c r="BW95" s="165">
        <v>73.349999999999994</v>
      </c>
      <c r="BX95" s="165">
        <v>88.36</v>
      </c>
      <c r="BY95" s="165">
        <v>121.48</v>
      </c>
      <c r="BZ95" s="165">
        <v>165.58</v>
      </c>
      <c r="CA95" s="165">
        <v>178.39</v>
      </c>
      <c r="CB95" s="204"/>
      <c r="CC95" s="126"/>
      <c r="CD95" s="126"/>
      <c r="CE95" s="143"/>
      <c r="CG95" s="155" t="s">
        <v>407</v>
      </c>
      <c r="CH95" s="156">
        <v>2</v>
      </c>
      <c r="CI95" s="157">
        <v>0</v>
      </c>
      <c r="CJ95" s="209"/>
      <c r="CK95" s="210"/>
      <c r="CL95" s="210"/>
      <c r="CM95" s="211"/>
      <c r="CN95" s="209"/>
      <c r="CO95" s="210"/>
      <c r="CP95" s="210"/>
      <c r="CQ95" s="210"/>
      <c r="CR95" s="210"/>
      <c r="CS95" s="211"/>
      <c r="CT95" s="212"/>
      <c r="CU95" s="210"/>
      <c r="CV95" s="210"/>
      <c r="CW95" s="210"/>
      <c r="CX95" s="210"/>
      <c r="CY95" s="211"/>
      <c r="CZ95" s="162"/>
    </row>
    <row r="96" spans="1:105">
      <c r="A96" s="107"/>
      <c r="B96" s="107"/>
      <c r="C96" s="107"/>
      <c r="D96" s="107"/>
      <c r="E96" s="551"/>
      <c r="F96" s="552"/>
      <c r="G96" s="552"/>
      <c r="H96" s="553"/>
      <c r="I96" s="545"/>
      <c r="J96" s="546"/>
      <c r="K96" s="546"/>
      <c r="L96" s="547"/>
      <c r="M96" s="545"/>
      <c r="N96" s="546"/>
      <c r="O96" s="546"/>
      <c r="P96" s="547"/>
      <c r="Q96" s="545"/>
      <c r="R96" s="546"/>
      <c r="S96" s="546"/>
      <c r="T96" s="547"/>
      <c r="U96" s="545"/>
      <c r="V96" s="546"/>
      <c r="W96" s="546"/>
      <c r="X96" s="547"/>
      <c r="Y96" s="545"/>
      <c r="Z96" s="546"/>
      <c r="AA96" s="546"/>
      <c r="AB96" s="547"/>
      <c r="AC96" s="545"/>
      <c r="AD96" s="546"/>
      <c r="AE96" s="546"/>
      <c r="AF96" s="547"/>
      <c r="AG96" s="545"/>
      <c r="AH96" s="546"/>
      <c r="AI96" s="546"/>
      <c r="AJ96" s="547"/>
      <c r="AK96" s="545"/>
      <c r="AL96" s="546"/>
      <c r="AM96" s="546"/>
      <c r="AN96" s="547"/>
      <c r="AO96" s="545"/>
      <c r="AP96" s="546"/>
      <c r="AQ96" s="546"/>
      <c r="AR96" s="547"/>
      <c r="AS96" s="545"/>
      <c r="AT96" s="546"/>
      <c r="AU96" s="546"/>
      <c r="AV96" s="547"/>
      <c r="AW96" s="545"/>
      <c r="AX96" s="546"/>
      <c r="AY96" s="546"/>
      <c r="AZ96" s="547"/>
      <c r="BG96" s="93"/>
      <c r="BH96" s="93"/>
      <c r="BI96" s="93"/>
      <c r="BJ96" s="204">
        <v>37</v>
      </c>
      <c r="BK96" s="164">
        <v>0</v>
      </c>
      <c r="BL96" s="165">
        <v>45.2</v>
      </c>
      <c r="BM96" s="165">
        <v>62.24</v>
      </c>
      <c r="BN96" s="165">
        <v>86.38</v>
      </c>
      <c r="BO96" s="165">
        <v>87.9</v>
      </c>
      <c r="BP96" s="165">
        <v>89.96</v>
      </c>
      <c r="BQ96" s="165">
        <v>75.239999999999995</v>
      </c>
      <c r="BR96" s="165">
        <v>90.63</v>
      </c>
      <c r="BS96" s="165">
        <v>125.05</v>
      </c>
      <c r="BT96" s="165">
        <v>170.77</v>
      </c>
      <c r="BU96" s="165">
        <v>183.85</v>
      </c>
      <c r="BV96" s="165">
        <v>89.96</v>
      </c>
      <c r="BW96" s="165">
        <v>75.239999999999995</v>
      </c>
      <c r="BX96" s="165">
        <v>90.63</v>
      </c>
      <c r="BY96" s="165">
        <v>125.05</v>
      </c>
      <c r="BZ96" s="165">
        <v>170.77</v>
      </c>
      <c r="CA96" s="165">
        <v>183.85</v>
      </c>
      <c r="CB96" s="204"/>
      <c r="CC96" s="126"/>
      <c r="CD96" s="126"/>
      <c r="CE96" s="143"/>
      <c r="CG96" s="166" t="s">
        <v>408</v>
      </c>
      <c r="CH96" s="167">
        <v>3</v>
      </c>
      <c r="CI96" s="157">
        <v>0</v>
      </c>
      <c r="CJ96" s="209"/>
      <c r="CK96" s="210"/>
      <c r="CL96" s="210"/>
      <c r="CM96" s="211"/>
      <c r="CN96" s="209"/>
      <c r="CO96" s="210"/>
      <c r="CP96" s="210"/>
      <c r="CQ96" s="210"/>
      <c r="CR96" s="210"/>
      <c r="CS96" s="211"/>
      <c r="CT96" s="212"/>
      <c r="CU96" s="210"/>
      <c r="CV96" s="210"/>
      <c r="CW96" s="210"/>
      <c r="CX96" s="210"/>
      <c r="CY96" s="211"/>
      <c r="CZ96" s="168"/>
    </row>
    <row r="97" spans="1:105">
      <c r="A97" s="107"/>
      <c r="B97" s="107"/>
      <c r="C97" s="107"/>
      <c r="D97" s="107"/>
      <c r="E97" s="548"/>
      <c r="F97" s="549"/>
      <c r="G97" s="549"/>
      <c r="H97" s="550"/>
      <c r="I97" s="540"/>
      <c r="J97" s="541"/>
      <c r="K97" s="541"/>
      <c r="L97" s="542"/>
      <c r="M97" s="540"/>
      <c r="N97" s="541"/>
      <c r="O97" s="541"/>
      <c r="P97" s="542"/>
      <c r="Q97" s="540"/>
      <c r="R97" s="541"/>
      <c r="S97" s="541"/>
      <c r="T97" s="542"/>
      <c r="U97" s="540"/>
      <c r="V97" s="541"/>
      <c r="W97" s="541"/>
      <c r="X97" s="542"/>
      <c r="Y97" s="540"/>
      <c r="Z97" s="541"/>
      <c r="AA97" s="541"/>
      <c r="AB97" s="542"/>
      <c r="AC97" s="540"/>
      <c r="AD97" s="541"/>
      <c r="AE97" s="541"/>
      <c r="AF97" s="542"/>
      <c r="AG97" s="540"/>
      <c r="AH97" s="541"/>
      <c r="AI97" s="541"/>
      <c r="AJ97" s="542"/>
      <c r="AK97" s="540"/>
      <c r="AL97" s="541"/>
      <c r="AM97" s="541"/>
      <c r="AN97" s="542"/>
      <c r="AO97" s="540"/>
      <c r="AP97" s="541"/>
      <c r="AQ97" s="541"/>
      <c r="AR97" s="542"/>
      <c r="AS97" s="540"/>
      <c r="AT97" s="541"/>
      <c r="AU97" s="541"/>
      <c r="AV97" s="542"/>
      <c r="AW97" s="540"/>
      <c r="AX97" s="541"/>
      <c r="AY97" s="541"/>
      <c r="AZ97" s="542"/>
      <c r="BG97" s="93"/>
      <c r="BH97" s="93"/>
      <c r="BI97" s="93"/>
      <c r="BJ97" s="204">
        <v>38</v>
      </c>
      <c r="BK97" s="164">
        <v>0</v>
      </c>
      <c r="BL97" s="165">
        <v>46.16</v>
      </c>
      <c r="BM97" s="165">
        <v>63.65</v>
      </c>
      <c r="BN97" s="165">
        <v>88.44</v>
      </c>
      <c r="BO97" s="165">
        <v>89.99</v>
      </c>
      <c r="BP97" s="165">
        <v>92.2</v>
      </c>
      <c r="BQ97" s="165">
        <v>77.14</v>
      </c>
      <c r="BR97" s="165">
        <v>92.9</v>
      </c>
      <c r="BS97" s="165">
        <v>128.63</v>
      </c>
      <c r="BT97" s="165">
        <v>175.96</v>
      </c>
      <c r="BU97" s="165">
        <v>189.31</v>
      </c>
      <c r="BV97" s="165">
        <v>92.2</v>
      </c>
      <c r="BW97" s="165">
        <v>77.14</v>
      </c>
      <c r="BX97" s="165">
        <v>92.9</v>
      </c>
      <c r="BY97" s="165">
        <v>128.63</v>
      </c>
      <c r="BZ97" s="165">
        <v>175.96</v>
      </c>
      <c r="CA97" s="165">
        <v>189.31</v>
      </c>
      <c r="CB97" s="204"/>
      <c r="CC97" s="126"/>
      <c r="CD97" s="126"/>
      <c r="CE97" s="143"/>
      <c r="CG97" s="170">
        <v>2.5</v>
      </c>
      <c r="CH97" s="171">
        <v>4</v>
      </c>
      <c r="CI97" s="157">
        <v>0</v>
      </c>
      <c r="CJ97" s="209"/>
      <c r="CK97" s="210"/>
      <c r="CL97" s="210"/>
      <c r="CM97" s="211"/>
      <c r="CN97" s="209"/>
      <c r="CO97" s="210"/>
      <c r="CP97" s="210"/>
      <c r="CQ97" s="210"/>
      <c r="CR97" s="210"/>
      <c r="CS97" s="211"/>
      <c r="CT97" s="212"/>
      <c r="CU97" s="210"/>
      <c r="CV97" s="210"/>
      <c r="CW97" s="210"/>
      <c r="CX97" s="210"/>
      <c r="CY97" s="211"/>
      <c r="CZ97" s="172"/>
    </row>
    <row r="98" spans="1:105">
      <c r="A98" s="107"/>
      <c r="B98" s="107"/>
      <c r="C98" s="107"/>
      <c r="D98" s="107"/>
      <c r="E98" s="551"/>
      <c r="F98" s="552"/>
      <c r="G98" s="552"/>
      <c r="H98" s="553"/>
      <c r="I98" s="545"/>
      <c r="J98" s="546"/>
      <c r="K98" s="546"/>
      <c r="L98" s="547"/>
      <c r="M98" s="545"/>
      <c r="N98" s="546"/>
      <c r="O98" s="546"/>
      <c r="P98" s="547"/>
      <c r="Q98" s="545"/>
      <c r="R98" s="546"/>
      <c r="S98" s="546"/>
      <c r="T98" s="547"/>
      <c r="U98" s="545"/>
      <c r="V98" s="546"/>
      <c r="W98" s="546"/>
      <c r="X98" s="547"/>
      <c r="Y98" s="545"/>
      <c r="Z98" s="546"/>
      <c r="AA98" s="546"/>
      <c r="AB98" s="547"/>
      <c r="AC98" s="545"/>
      <c r="AD98" s="546"/>
      <c r="AE98" s="546"/>
      <c r="AF98" s="547"/>
      <c r="AG98" s="545"/>
      <c r="AH98" s="546"/>
      <c r="AI98" s="546"/>
      <c r="AJ98" s="547"/>
      <c r="AK98" s="545"/>
      <c r="AL98" s="546"/>
      <c r="AM98" s="546"/>
      <c r="AN98" s="547"/>
      <c r="AO98" s="545"/>
      <c r="AP98" s="546"/>
      <c r="AQ98" s="546"/>
      <c r="AR98" s="547"/>
      <c r="AS98" s="545"/>
      <c r="AT98" s="546"/>
      <c r="AU98" s="546"/>
      <c r="AV98" s="547"/>
      <c r="AW98" s="545"/>
      <c r="AX98" s="546"/>
      <c r="AY98" s="546"/>
      <c r="AZ98" s="547"/>
      <c r="BG98" s="93"/>
      <c r="BH98" s="93"/>
      <c r="BI98" s="93"/>
      <c r="BJ98" s="204">
        <v>39</v>
      </c>
      <c r="BK98" s="164">
        <v>0</v>
      </c>
      <c r="BL98" s="165">
        <v>47.12</v>
      </c>
      <c r="BM98" s="165">
        <v>65.05</v>
      </c>
      <c r="BN98" s="165">
        <v>90.49</v>
      </c>
      <c r="BO98" s="165">
        <v>92.08</v>
      </c>
      <c r="BP98" s="165">
        <v>94.44</v>
      </c>
      <c r="BQ98" s="165">
        <v>79.040000000000006</v>
      </c>
      <c r="BR98" s="165">
        <v>95.17</v>
      </c>
      <c r="BS98" s="165">
        <v>132.19999999999999</v>
      </c>
      <c r="BT98" s="165">
        <v>181.15</v>
      </c>
      <c r="BU98" s="165">
        <v>194.77</v>
      </c>
      <c r="BV98" s="165">
        <v>94.44</v>
      </c>
      <c r="BW98" s="165">
        <v>79.040000000000006</v>
      </c>
      <c r="BX98" s="165">
        <v>95.17</v>
      </c>
      <c r="BY98" s="165">
        <v>132.19999999999999</v>
      </c>
      <c r="BZ98" s="165">
        <v>181.15</v>
      </c>
      <c r="CA98" s="165">
        <v>194.77</v>
      </c>
      <c r="CB98" s="204"/>
      <c r="CC98" s="126"/>
      <c r="CD98" s="126"/>
      <c r="CE98" s="143"/>
      <c r="CG98" s="173" t="s">
        <v>409</v>
      </c>
      <c r="CH98" s="174">
        <v>5</v>
      </c>
      <c r="CI98" s="157">
        <v>0</v>
      </c>
      <c r="CJ98" s="209"/>
      <c r="CK98" s="210"/>
      <c r="CL98" s="210"/>
      <c r="CM98" s="211"/>
      <c r="CN98" s="209"/>
      <c r="CO98" s="210"/>
      <c r="CP98" s="210"/>
      <c r="CQ98" s="210"/>
      <c r="CR98" s="210"/>
      <c r="CS98" s="211"/>
      <c r="CT98" s="212"/>
      <c r="CU98" s="210"/>
      <c r="CV98" s="210"/>
      <c r="CW98" s="210"/>
      <c r="CX98" s="210"/>
      <c r="CY98" s="211"/>
      <c r="CZ98" s="175"/>
    </row>
    <row r="99" spans="1:105">
      <c r="A99" s="107"/>
      <c r="B99" s="107"/>
      <c r="C99" s="107"/>
      <c r="D99" s="107"/>
      <c r="E99" s="548"/>
      <c r="F99" s="549"/>
      <c r="G99" s="549"/>
      <c r="H99" s="550"/>
      <c r="I99" s="540"/>
      <c r="J99" s="541"/>
      <c r="K99" s="541"/>
      <c r="L99" s="542"/>
      <c r="M99" s="540"/>
      <c r="N99" s="541"/>
      <c r="O99" s="541"/>
      <c r="P99" s="542"/>
      <c r="Q99" s="540"/>
      <c r="R99" s="541"/>
      <c r="S99" s="541"/>
      <c r="T99" s="542"/>
      <c r="U99" s="540"/>
      <c r="V99" s="541"/>
      <c r="W99" s="541"/>
      <c r="X99" s="542"/>
      <c r="Y99" s="540"/>
      <c r="Z99" s="541"/>
      <c r="AA99" s="541"/>
      <c r="AB99" s="542"/>
      <c r="AC99" s="540"/>
      <c r="AD99" s="541"/>
      <c r="AE99" s="541"/>
      <c r="AF99" s="542"/>
      <c r="AG99" s="540"/>
      <c r="AH99" s="541"/>
      <c r="AI99" s="541"/>
      <c r="AJ99" s="542"/>
      <c r="AK99" s="540"/>
      <c r="AL99" s="541"/>
      <c r="AM99" s="541"/>
      <c r="AN99" s="542"/>
      <c r="AO99" s="540"/>
      <c r="AP99" s="541"/>
      <c r="AQ99" s="541"/>
      <c r="AR99" s="542"/>
      <c r="AS99" s="540"/>
      <c r="AT99" s="541"/>
      <c r="AU99" s="541"/>
      <c r="AV99" s="542"/>
      <c r="AW99" s="540"/>
      <c r="AX99" s="541"/>
      <c r="AY99" s="541"/>
      <c r="AZ99" s="542"/>
      <c r="BG99" s="93"/>
      <c r="BH99" s="93"/>
      <c r="BI99" s="93"/>
      <c r="BJ99" s="204">
        <v>40</v>
      </c>
      <c r="BK99" s="164">
        <v>0</v>
      </c>
      <c r="BL99" s="165">
        <v>48.08</v>
      </c>
      <c r="BM99" s="165">
        <v>66.459999999999994</v>
      </c>
      <c r="BN99" s="165">
        <v>92.54</v>
      </c>
      <c r="BO99" s="165">
        <v>94.17</v>
      </c>
      <c r="BP99" s="165">
        <v>96.68</v>
      </c>
      <c r="BQ99" s="165">
        <v>80.930000000000007</v>
      </c>
      <c r="BR99" s="165">
        <v>97.44</v>
      </c>
      <c r="BS99" s="165">
        <v>135.77000000000001</v>
      </c>
      <c r="BT99" s="165">
        <v>186.34</v>
      </c>
      <c r="BU99" s="165">
        <v>200.23</v>
      </c>
      <c r="BV99" s="165">
        <v>96.68</v>
      </c>
      <c r="BW99" s="165">
        <v>80.930000000000007</v>
      </c>
      <c r="BX99" s="165">
        <v>97.44</v>
      </c>
      <c r="BY99" s="165">
        <v>135.77000000000001</v>
      </c>
      <c r="BZ99" s="165">
        <v>186.34</v>
      </c>
      <c r="CA99" s="165">
        <v>200.23</v>
      </c>
      <c r="CB99" s="204"/>
      <c r="CC99" s="126"/>
      <c r="CD99" s="126"/>
      <c r="CE99" s="143"/>
      <c r="CG99" s="177" t="s">
        <v>410</v>
      </c>
      <c r="CH99" s="178">
        <v>6</v>
      </c>
      <c r="CI99" s="157">
        <v>0</v>
      </c>
      <c r="CJ99" s="209"/>
      <c r="CK99" s="210"/>
      <c r="CL99" s="210"/>
      <c r="CM99" s="211"/>
      <c r="CN99" s="209"/>
      <c r="CO99" s="210"/>
      <c r="CP99" s="210"/>
      <c r="CQ99" s="210"/>
      <c r="CR99" s="210"/>
      <c r="CS99" s="211"/>
      <c r="CT99" s="212"/>
      <c r="CU99" s="210"/>
      <c r="CV99" s="210"/>
      <c r="CW99" s="210"/>
      <c r="CX99" s="210"/>
      <c r="CY99" s="211"/>
      <c r="CZ99" s="179"/>
    </row>
    <row r="100" spans="1:105">
      <c r="A100" s="107"/>
      <c r="B100" s="107"/>
      <c r="C100" s="107"/>
      <c r="D100" s="107"/>
      <c r="E100" s="551"/>
      <c r="F100" s="552"/>
      <c r="G100" s="552"/>
      <c r="H100" s="553"/>
      <c r="I100" s="545"/>
      <c r="J100" s="546"/>
      <c r="K100" s="546"/>
      <c r="L100" s="547"/>
      <c r="M100" s="545"/>
      <c r="N100" s="546"/>
      <c r="O100" s="546"/>
      <c r="P100" s="547"/>
      <c r="Q100" s="545"/>
      <c r="R100" s="546"/>
      <c r="S100" s="546"/>
      <c r="T100" s="547"/>
      <c r="U100" s="545"/>
      <c r="V100" s="546"/>
      <c r="W100" s="546"/>
      <c r="X100" s="547"/>
      <c r="Y100" s="545"/>
      <c r="Z100" s="546"/>
      <c r="AA100" s="546"/>
      <c r="AB100" s="547"/>
      <c r="AC100" s="545"/>
      <c r="AD100" s="546"/>
      <c r="AE100" s="546"/>
      <c r="AF100" s="547"/>
      <c r="AG100" s="545"/>
      <c r="AH100" s="546"/>
      <c r="AI100" s="546"/>
      <c r="AJ100" s="547"/>
      <c r="AK100" s="545"/>
      <c r="AL100" s="546"/>
      <c r="AM100" s="546"/>
      <c r="AN100" s="547"/>
      <c r="AO100" s="545"/>
      <c r="AP100" s="546"/>
      <c r="AQ100" s="546"/>
      <c r="AR100" s="547"/>
      <c r="AS100" s="545"/>
      <c r="AT100" s="546"/>
      <c r="AU100" s="546"/>
      <c r="AV100" s="547"/>
      <c r="AW100" s="545"/>
      <c r="AX100" s="546"/>
      <c r="AY100" s="546"/>
      <c r="AZ100" s="547"/>
      <c r="BG100" s="93"/>
      <c r="BH100" s="93"/>
      <c r="BI100" s="93"/>
      <c r="BJ100" s="204">
        <v>41</v>
      </c>
      <c r="BK100" s="164">
        <v>0</v>
      </c>
      <c r="BL100" s="165">
        <v>49.04</v>
      </c>
      <c r="BM100" s="165">
        <v>67.87</v>
      </c>
      <c r="BN100" s="165">
        <v>94.6</v>
      </c>
      <c r="BO100" s="165">
        <v>96.26</v>
      </c>
      <c r="BP100" s="165">
        <v>98.92</v>
      </c>
      <c r="BQ100" s="165">
        <v>82.83</v>
      </c>
      <c r="BR100" s="165">
        <v>99.71</v>
      </c>
      <c r="BS100" s="165">
        <v>139.35</v>
      </c>
      <c r="BT100" s="165">
        <v>191.52</v>
      </c>
      <c r="BU100" s="165">
        <v>205.69</v>
      </c>
      <c r="BV100" s="165">
        <v>98.92</v>
      </c>
      <c r="BW100" s="165">
        <v>82.83</v>
      </c>
      <c r="BX100" s="165">
        <v>99.71</v>
      </c>
      <c r="BY100" s="165">
        <v>139.35</v>
      </c>
      <c r="BZ100" s="165">
        <v>191.52</v>
      </c>
      <c r="CA100" s="165">
        <v>205.69</v>
      </c>
      <c r="CB100" s="204"/>
      <c r="CC100" s="126"/>
      <c r="CD100" s="126"/>
      <c r="CE100" s="143"/>
      <c r="CG100" s="181" t="s">
        <v>411</v>
      </c>
      <c r="CH100" s="182">
        <v>7</v>
      </c>
      <c r="CI100" s="157">
        <v>0</v>
      </c>
      <c r="CJ100" s="209"/>
      <c r="CK100" s="210"/>
      <c r="CL100" s="210"/>
      <c r="CM100" s="211"/>
      <c r="CN100" s="209"/>
      <c r="CO100" s="210"/>
      <c r="CP100" s="210"/>
      <c r="CQ100" s="210"/>
      <c r="CR100" s="210"/>
      <c r="CS100" s="211"/>
      <c r="CT100" s="212"/>
      <c r="CU100" s="210"/>
      <c r="CV100" s="210"/>
      <c r="CW100" s="210"/>
      <c r="CX100" s="210"/>
      <c r="CY100" s="211"/>
      <c r="CZ100" s="183"/>
    </row>
    <row r="101" spans="1:105">
      <c r="A101" s="107"/>
      <c r="B101" s="107"/>
      <c r="C101" s="107"/>
      <c r="D101" s="107"/>
      <c r="E101" s="548"/>
      <c r="F101" s="549"/>
      <c r="G101" s="549"/>
      <c r="H101" s="550"/>
      <c r="I101" s="540"/>
      <c r="J101" s="541"/>
      <c r="K101" s="541"/>
      <c r="L101" s="542"/>
      <c r="M101" s="540"/>
      <c r="N101" s="541"/>
      <c r="O101" s="541"/>
      <c r="P101" s="542"/>
      <c r="Q101" s="540"/>
      <c r="R101" s="541"/>
      <c r="S101" s="541"/>
      <c r="T101" s="542"/>
      <c r="U101" s="540"/>
      <c r="V101" s="541"/>
      <c r="W101" s="541"/>
      <c r="X101" s="542"/>
      <c r="Y101" s="540"/>
      <c r="Z101" s="541"/>
      <c r="AA101" s="541"/>
      <c r="AB101" s="542"/>
      <c r="AC101" s="540"/>
      <c r="AD101" s="541"/>
      <c r="AE101" s="541"/>
      <c r="AF101" s="542"/>
      <c r="AG101" s="540"/>
      <c r="AH101" s="541"/>
      <c r="AI101" s="541"/>
      <c r="AJ101" s="542"/>
      <c r="AK101" s="540"/>
      <c r="AL101" s="541"/>
      <c r="AM101" s="541"/>
      <c r="AN101" s="542"/>
      <c r="AO101" s="540"/>
      <c r="AP101" s="541"/>
      <c r="AQ101" s="541"/>
      <c r="AR101" s="542"/>
      <c r="AS101" s="540"/>
      <c r="AT101" s="541"/>
      <c r="AU101" s="541"/>
      <c r="AV101" s="542"/>
      <c r="AW101" s="540"/>
      <c r="AX101" s="541"/>
      <c r="AY101" s="541"/>
      <c r="AZ101" s="542"/>
      <c r="BG101" s="93"/>
      <c r="BH101" s="93"/>
      <c r="BI101" s="93"/>
      <c r="BJ101" s="204">
        <v>42</v>
      </c>
      <c r="BK101" s="164">
        <v>0</v>
      </c>
      <c r="BL101" s="165">
        <v>50</v>
      </c>
      <c r="BM101" s="165">
        <v>69.27</v>
      </c>
      <c r="BN101" s="165">
        <v>96.65</v>
      </c>
      <c r="BO101" s="165">
        <v>98.35</v>
      </c>
      <c r="BP101" s="165">
        <v>101.16</v>
      </c>
      <c r="BQ101" s="165">
        <v>84.72</v>
      </c>
      <c r="BR101" s="165">
        <v>101.98</v>
      </c>
      <c r="BS101" s="165">
        <v>142.91999999999999</v>
      </c>
      <c r="BT101" s="165">
        <v>196.71</v>
      </c>
      <c r="BU101" s="165">
        <v>211.15</v>
      </c>
      <c r="BV101" s="165">
        <v>101.16</v>
      </c>
      <c r="BW101" s="165">
        <v>84.72</v>
      </c>
      <c r="BX101" s="165">
        <v>101.98</v>
      </c>
      <c r="BY101" s="165">
        <v>142.91999999999999</v>
      </c>
      <c r="BZ101" s="165">
        <v>196.71</v>
      </c>
      <c r="CA101" s="165">
        <v>211.15</v>
      </c>
      <c r="CB101" s="204"/>
      <c r="CC101" s="126"/>
      <c r="CD101" s="126"/>
      <c r="CE101" s="143"/>
      <c r="CG101" s="184" t="s">
        <v>412</v>
      </c>
      <c r="CH101" s="185">
        <v>8</v>
      </c>
      <c r="CI101" s="157">
        <v>0</v>
      </c>
      <c r="CJ101" s="209"/>
      <c r="CK101" s="210"/>
      <c r="CL101" s="210"/>
      <c r="CM101" s="211"/>
      <c r="CN101" s="209"/>
      <c r="CO101" s="210"/>
      <c r="CP101" s="210"/>
      <c r="CQ101" s="210"/>
      <c r="CR101" s="210"/>
      <c r="CS101" s="211"/>
      <c r="CT101" s="212"/>
      <c r="CU101" s="210"/>
      <c r="CV101" s="210"/>
      <c r="CW101" s="210"/>
      <c r="CX101" s="210"/>
      <c r="CY101" s="211"/>
      <c r="CZ101" s="186"/>
    </row>
    <row r="102" spans="1:105">
      <c r="A102" s="107"/>
      <c r="B102" s="107"/>
      <c r="C102" s="107"/>
      <c r="D102" s="107"/>
      <c r="E102" s="551"/>
      <c r="F102" s="552"/>
      <c r="G102" s="552"/>
      <c r="H102" s="553"/>
      <c r="I102" s="545"/>
      <c r="J102" s="546"/>
      <c r="K102" s="546"/>
      <c r="L102" s="547"/>
      <c r="M102" s="545"/>
      <c r="N102" s="546"/>
      <c r="O102" s="546"/>
      <c r="P102" s="547"/>
      <c r="Q102" s="545"/>
      <c r="R102" s="546"/>
      <c r="S102" s="546"/>
      <c r="T102" s="547"/>
      <c r="U102" s="545"/>
      <c r="V102" s="546"/>
      <c r="W102" s="546"/>
      <c r="X102" s="547"/>
      <c r="Y102" s="545"/>
      <c r="Z102" s="546"/>
      <c r="AA102" s="546"/>
      <c r="AB102" s="547"/>
      <c r="AC102" s="545"/>
      <c r="AD102" s="546"/>
      <c r="AE102" s="546"/>
      <c r="AF102" s="547"/>
      <c r="AG102" s="545"/>
      <c r="AH102" s="546"/>
      <c r="AI102" s="546"/>
      <c r="AJ102" s="547"/>
      <c r="AK102" s="545"/>
      <c r="AL102" s="546"/>
      <c r="AM102" s="546"/>
      <c r="AN102" s="547"/>
      <c r="AO102" s="545"/>
      <c r="AP102" s="546"/>
      <c r="AQ102" s="546"/>
      <c r="AR102" s="547"/>
      <c r="AS102" s="545"/>
      <c r="AT102" s="546"/>
      <c r="AU102" s="546"/>
      <c r="AV102" s="547"/>
      <c r="AW102" s="545"/>
      <c r="AX102" s="546"/>
      <c r="AY102" s="546"/>
      <c r="AZ102" s="547"/>
      <c r="BG102" s="93"/>
      <c r="BH102" s="93"/>
      <c r="BI102" s="93"/>
      <c r="BJ102" s="204">
        <v>43</v>
      </c>
      <c r="BK102" s="164">
        <v>0</v>
      </c>
      <c r="BL102" s="165">
        <v>50.96</v>
      </c>
      <c r="BM102" s="165">
        <v>70.680000000000007</v>
      </c>
      <c r="BN102" s="165">
        <v>98.71</v>
      </c>
      <c r="BO102" s="165">
        <v>100.44</v>
      </c>
      <c r="BP102" s="165">
        <v>103.4</v>
      </c>
      <c r="BQ102" s="165">
        <v>86.62</v>
      </c>
      <c r="BR102" s="165">
        <v>104.25</v>
      </c>
      <c r="BS102" s="165">
        <v>146.49</v>
      </c>
      <c r="BT102" s="165">
        <v>201.9</v>
      </c>
      <c r="BU102" s="165">
        <v>216.61</v>
      </c>
      <c r="BV102" s="165">
        <v>103.4</v>
      </c>
      <c r="BW102" s="165">
        <v>86.62</v>
      </c>
      <c r="BX102" s="165">
        <v>104.25</v>
      </c>
      <c r="BY102" s="165">
        <v>146.49</v>
      </c>
      <c r="BZ102" s="165">
        <v>201.9</v>
      </c>
      <c r="CA102" s="165">
        <v>216.61</v>
      </c>
      <c r="CB102" s="204"/>
      <c r="CC102" s="126"/>
      <c r="CD102" s="126"/>
      <c r="CE102" s="143"/>
      <c r="CG102" s="166" t="s">
        <v>413</v>
      </c>
      <c r="CH102" s="167">
        <v>9</v>
      </c>
      <c r="CI102" s="157">
        <v>0</v>
      </c>
      <c r="CJ102" s="209"/>
      <c r="CK102" s="210"/>
      <c r="CL102" s="210"/>
      <c r="CM102" s="211"/>
      <c r="CN102" s="209"/>
      <c r="CO102" s="210"/>
      <c r="CP102" s="210"/>
      <c r="CQ102" s="210"/>
      <c r="CR102" s="210"/>
      <c r="CS102" s="211"/>
      <c r="CT102" s="212"/>
      <c r="CU102" s="210"/>
      <c r="CV102" s="210"/>
      <c r="CW102" s="210"/>
      <c r="CX102" s="210"/>
      <c r="CY102" s="211"/>
      <c r="CZ102" s="168"/>
      <c r="DA102" s="187" t="s">
        <v>414</v>
      </c>
    </row>
    <row r="103" spans="1:105">
      <c r="A103" s="107"/>
      <c r="B103" s="107"/>
      <c r="C103" s="107"/>
      <c r="D103" s="107"/>
      <c r="E103" s="548"/>
      <c r="F103" s="549"/>
      <c r="G103" s="549"/>
      <c r="H103" s="550"/>
      <c r="I103" s="540"/>
      <c r="J103" s="541"/>
      <c r="K103" s="541"/>
      <c r="L103" s="542"/>
      <c r="M103" s="540"/>
      <c r="N103" s="541"/>
      <c r="O103" s="541"/>
      <c r="P103" s="542"/>
      <c r="Q103" s="540"/>
      <c r="R103" s="541"/>
      <c r="S103" s="541"/>
      <c r="T103" s="542"/>
      <c r="U103" s="540"/>
      <c r="V103" s="541"/>
      <c r="W103" s="541"/>
      <c r="X103" s="542"/>
      <c r="Y103" s="540"/>
      <c r="Z103" s="541"/>
      <c r="AA103" s="541"/>
      <c r="AB103" s="542"/>
      <c r="AC103" s="540"/>
      <c r="AD103" s="541"/>
      <c r="AE103" s="541"/>
      <c r="AF103" s="542"/>
      <c r="AG103" s="540"/>
      <c r="AH103" s="541"/>
      <c r="AI103" s="541"/>
      <c r="AJ103" s="542"/>
      <c r="AK103" s="540"/>
      <c r="AL103" s="541"/>
      <c r="AM103" s="541"/>
      <c r="AN103" s="542"/>
      <c r="AO103" s="540"/>
      <c r="AP103" s="541"/>
      <c r="AQ103" s="541"/>
      <c r="AR103" s="542"/>
      <c r="AS103" s="540"/>
      <c r="AT103" s="541"/>
      <c r="AU103" s="541"/>
      <c r="AV103" s="542"/>
      <c r="AW103" s="540"/>
      <c r="AX103" s="541"/>
      <c r="AY103" s="541"/>
      <c r="AZ103" s="542"/>
      <c r="BG103" s="93"/>
      <c r="BH103" s="93"/>
      <c r="BI103" s="93"/>
      <c r="BJ103" s="204">
        <v>44</v>
      </c>
      <c r="BK103" s="164">
        <v>0</v>
      </c>
      <c r="BL103" s="165">
        <v>51.92</v>
      </c>
      <c r="BM103" s="165">
        <v>72.09</v>
      </c>
      <c r="BN103" s="165">
        <v>100.76</v>
      </c>
      <c r="BO103" s="165">
        <v>102.53</v>
      </c>
      <c r="BP103" s="165">
        <v>105.64</v>
      </c>
      <c r="BQ103" s="165">
        <v>88.52</v>
      </c>
      <c r="BR103" s="165">
        <v>106.52</v>
      </c>
      <c r="BS103" s="165">
        <v>150.07</v>
      </c>
      <c r="BT103" s="165">
        <v>207.09</v>
      </c>
      <c r="BU103" s="165">
        <v>222.07</v>
      </c>
      <c r="BV103" s="165">
        <v>105.64</v>
      </c>
      <c r="BW103" s="165">
        <v>88.52</v>
      </c>
      <c r="BX103" s="165">
        <v>106.52</v>
      </c>
      <c r="BY103" s="165">
        <v>150.07</v>
      </c>
      <c r="BZ103" s="165">
        <v>207.09</v>
      </c>
      <c r="CA103" s="165">
        <v>222.07</v>
      </c>
      <c r="CB103" s="204"/>
      <c r="CC103" s="126"/>
      <c r="CD103" s="126"/>
      <c r="CE103" s="143"/>
      <c r="CG103" s="188" t="s">
        <v>415</v>
      </c>
      <c r="CH103" s="189">
        <v>10</v>
      </c>
      <c r="CI103" s="157">
        <v>0</v>
      </c>
      <c r="CJ103" s="209"/>
      <c r="CK103" s="210"/>
      <c r="CL103" s="210"/>
      <c r="CM103" s="211"/>
      <c r="CN103" s="209"/>
      <c r="CO103" s="210"/>
      <c r="CP103" s="210"/>
      <c r="CQ103" s="210"/>
      <c r="CR103" s="210"/>
      <c r="CS103" s="211"/>
      <c r="CT103" s="212"/>
      <c r="CU103" s="210"/>
      <c r="CV103" s="210"/>
      <c r="CW103" s="210"/>
      <c r="CX103" s="210"/>
      <c r="CY103" s="211"/>
      <c r="CZ103" s="190"/>
      <c r="DA103" s="187" t="s">
        <v>414</v>
      </c>
    </row>
    <row r="104" spans="1:105" ht="16" thickBot="1">
      <c r="A104" s="107"/>
      <c r="B104" s="107"/>
      <c r="C104" s="107"/>
      <c r="D104" s="107"/>
      <c r="E104" s="551"/>
      <c r="F104" s="552"/>
      <c r="G104" s="552"/>
      <c r="H104" s="553"/>
      <c r="I104" s="545"/>
      <c r="J104" s="546"/>
      <c r="K104" s="546"/>
      <c r="L104" s="547"/>
      <c r="M104" s="545"/>
      <c r="N104" s="546"/>
      <c r="O104" s="546"/>
      <c r="P104" s="547"/>
      <c r="Q104" s="545"/>
      <c r="R104" s="546"/>
      <c r="S104" s="546"/>
      <c r="T104" s="547"/>
      <c r="U104" s="545"/>
      <c r="V104" s="546"/>
      <c r="W104" s="546"/>
      <c r="X104" s="547"/>
      <c r="Y104" s="545"/>
      <c r="Z104" s="546"/>
      <c r="AA104" s="546"/>
      <c r="AB104" s="547"/>
      <c r="AC104" s="545"/>
      <c r="AD104" s="546"/>
      <c r="AE104" s="546"/>
      <c r="AF104" s="547"/>
      <c r="AG104" s="545"/>
      <c r="AH104" s="546"/>
      <c r="AI104" s="546"/>
      <c r="AJ104" s="547"/>
      <c r="AK104" s="545"/>
      <c r="AL104" s="546"/>
      <c r="AM104" s="546"/>
      <c r="AN104" s="547"/>
      <c r="AO104" s="545"/>
      <c r="AP104" s="546"/>
      <c r="AQ104" s="546"/>
      <c r="AR104" s="547"/>
      <c r="AS104" s="545"/>
      <c r="AT104" s="546"/>
      <c r="AU104" s="546"/>
      <c r="AV104" s="547"/>
      <c r="AW104" s="545"/>
      <c r="AX104" s="546"/>
      <c r="AY104" s="546"/>
      <c r="AZ104" s="547"/>
      <c r="BG104" s="93"/>
      <c r="BH104" s="93"/>
      <c r="BI104" s="93"/>
      <c r="BJ104" s="204">
        <v>45</v>
      </c>
      <c r="BK104" s="164">
        <v>0</v>
      </c>
      <c r="BL104" s="165">
        <v>52.88</v>
      </c>
      <c r="BM104" s="165">
        <v>73.489999999999995</v>
      </c>
      <c r="BN104" s="165">
        <v>102.82</v>
      </c>
      <c r="BO104" s="165">
        <v>104.62</v>
      </c>
      <c r="BP104" s="165">
        <v>107.88</v>
      </c>
      <c r="BQ104" s="165">
        <v>90.41</v>
      </c>
      <c r="BR104" s="165">
        <v>108.79</v>
      </c>
      <c r="BS104" s="165">
        <v>153.63999999999999</v>
      </c>
      <c r="BT104" s="165">
        <v>212.28</v>
      </c>
      <c r="BU104" s="165">
        <v>227.53</v>
      </c>
      <c r="BV104" s="165">
        <v>107.88</v>
      </c>
      <c r="BW104" s="165">
        <v>90.41</v>
      </c>
      <c r="BX104" s="165">
        <v>108.79</v>
      </c>
      <c r="BY104" s="165">
        <v>153.63999999999999</v>
      </c>
      <c r="BZ104" s="165">
        <v>212.28</v>
      </c>
      <c r="CA104" s="165">
        <v>227.53</v>
      </c>
      <c r="CB104" s="204"/>
      <c r="CC104" s="126"/>
      <c r="CD104" s="126"/>
      <c r="CE104" s="143"/>
      <c r="CG104" s="191" t="s">
        <v>416</v>
      </c>
      <c r="CH104" s="192">
        <v>11</v>
      </c>
      <c r="CI104" s="193">
        <v>0</v>
      </c>
      <c r="CJ104" s="213"/>
      <c r="CK104" s="214"/>
      <c r="CL104" s="214"/>
      <c r="CM104" s="215"/>
      <c r="CN104" s="213"/>
      <c r="CO104" s="214"/>
      <c r="CP104" s="214"/>
      <c r="CQ104" s="214"/>
      <c r="CR104" s="214"/>
      <c r="CS104" s="215"/>
      <c r="CT104" s="216"/>
      <c r="CU104" s="214"/>
      <c r="CV104" s="214"/>
      <c r="CW104" s="214"/>
      <c r="CX104" s="214"/>
      <c r="CY104" s="215"/>
      <c r="CZ104" s="198"/>
      <c r="DA104" s="187" t="s">
        <v>414</v>
      </c>
    </row>
    <row r="105" spans="1:105" ht="16" thickBot="1">
      <c r="A105" s="107"/>
      <c r="B105" s="107"/>
      <c r="C105" s="107"/>
      <c r="D105" s="107"/>
      <c r="E105" s="548"/>
      <c r="F105" s="549"/>
      <c r="G105" s="549"/>
      <c r="H105" s="550"/>
      <c r="I105" s="540"/>
      <c r="J105" s="541"/>
      <c r="K105" s="541"/>
      <c r="L105" s="542"/>
      <c r="M105" s="540"/>
      <c r="N105" s="541"/>
      <c r="O105" s="541"/>
      <c r="P105" s="542"/>
      <c r="Q105" s="540"/>
      <c r="R105" s="541"/>
      <c r="S105" s="541"/>
      <c r="T105" s="542"/>
      <c r="U105" s="540"/>
      <c r="V105" s="541"/>
      <c r="W105" s="541"/>
      <c r="X105" s="542"/>
      <c r="Y105" s="540"/>
      <c r="Z105" s="541"/>
      <c r="AA105" s="541"/>
      <c r="AB105" s="542"/>
      <c r="AC105" s="540"/>
      <c r="AD105" s="541"/>
      <c r="AE105" s="541"/>
      <c r="AF105" s="542"/>
      <c r="AG105" s="540"/>
      <c r="AH105" s="541"/>
      <c r="AI105" s="541"/>
      <c r="AJ105" s="542"/>
      <c r="AK105" s="540"/>
      <c r="AL105" s="541"/>
      <c r="AM105" s="541"/>
      <c r="AN105" s="542"/>
      <c r="AO105" s="540"/>
      <c r="AP105" s="541"/>
      <c r="AQ105" s="541"/>
      <c r="AR105" s="542"/>
      <c r="AS105" s="540"/>
      <c r="AT105" s="541"/>
      <c r="AU105" s="541"/>
      <c r="AV105" s="542"/>
      <c r="AW105" s="540"/>
      <c r="AX105" s="541"/>
      <c r="AY105" s="541"/>
      <c r="AZ105" s="542"/>
      <c r="BG105" s="93"/>
      <c r="BH105" s="93"/>
      <c r="BI105" s="93"/>
      <c r="BJ105" s="204">
        <v>46</v>
      </c>
      <c r="BK105" s="164">
        <v>0</v>
      </c>
      <c r="BL105" s="165">
        <v>53.84</v>
      </c>
      <c r="BM105" s="165">
        <v>74.900000000000006</v>
      </c>
      <c r="BN105" s="165">
        <v>104.87</v>
      </c>
      <c r="BO105" s="165">
        <v>106.71</v>
      </c>
      <c r="BP105" s="165">
        <v>110.11</v>
      </c>
      <c r="BQ105" s="165">
        <v>92.31</v>
      </c>
      <c r="BR105" s="165">
        <v>111.06</v>
      </c>
      <c r="BS105" s="165">
        <v>157.21</v>
      </c>
      <c r="BT105" s="165">
        <v>217.47</v>
      </c>
      <c r="BU105" s="165">
        <v>232.99</v>
      </c>
      <c r="BV105" s="165">
        <v>110.11</v>
      </c>
      <c r="BW105" s="165">
        <v>92.31</v>
      </c>
      <c r="BX105" s="165">
        <v>111.06</v>
      </c>
      <c r="BY105" s="165">
        <v>157.21</v>
      </c>
      <c r="BZ105" s="165">
        <v>217.47</v>
      </c>
      <c r="CA105" s="165">
        <v>232.99</v>
      </c>
      <c r="CB105" s="204"/>
      <c r="CC105" s="126"/>
      <c r="CD105" s="126"/>
      <c r="CE105" s="143"/>
    </row>
    <row r="106" spans="1:105" ht="17" thickBot="1">
      <c r="A106" s="107"/>
      <c r="B106" s="107"/>
      <c r="C106" s="107"/>
      <c r="D106" s="107"/>
      <c r="E106" s="551"/>
      <c r="F106" s="552"/>
      <c r="G106" s="552"/>
      <c r="H106" s="553"/>
      <c r="I106" s="545"/>
      <c r="J106" s="546"/>
      <c r="K106" s="546"/>
      <c r="L106" s="547"/>
      <c r="M106" s="545"/>
      <c r="N106" s="546"/>
      <c r="O106" s="546"/>
      <c r="P106" s="547"/>
      <c r="Q106" s="545"/>
      <c r="R106" s="546"/>
      <c r="S106" s="546"/>
      <c r="T106" s="547"/>
      <c r="U106" s="545"/>
      <c r="V106" s="546"/>
      <c r="W106" s="546"/>
      <c r="X106" s="547"/>
      <c r="Y106" s="545"/>
      <c r="Z106" s="546"/>
      <c r="AA106" s="546"/>
      <c r="AB106" s="547"/>
      <c r="AC106" s="545"/>
      <c r="AD106" s="546"/>
      <c r="AE106" s="546"/>
      <c r="AF106" s="547"/>
      <c r="AG106" s="545"/>
      <c r="AH106" s="546"/>
      <c r="AI106" s="546"/>
      <c r="AJ106" s="547"/>
      <c r="AK106" s="545"/>
      <c r="AL106" s="546"/>
      <c r="AM106" s="546"/>
      <c r="AN106" s="547"/>
      <c r="AO106" s="545"/>
      <c r="AP106" s="546"/>
      <c r="AQ106" s="546"/>
      <c r="AR106" s="547"/>
      <c r="AS106" s="545"/>
      <c r="AT106" s="546"/>
      <c r="AU106" s="546"/>
      <c r="AV106" s="547"/>
      <c r="AW106" s="545"/>
      <c r="AX106" s="546"/>
      <c r="AY106" s="546"/>
      <c r="AZ106" s="547"/>
      <c r="BG106" s="93"/>
      <c r="BH106" s="93"/>
      <c r="BI106" s="93"/>
      <c r="BJ106" s="204">
        <v>47</v>
      </c>
      <c r="BK106" s="164">
        <v>0</v>
      </c>
      <c r="BL106" s="165">
        <v>54.8</v>
      </c>
      <c r="BM106" s="165">
        <v>76.31</v>
      </c>
      <c r="BN106" s="165">
        <v>106.92</v>
      </c>
      <c r="BO106" s="165">
        <v>108.8</v>
      </c>
      <c r="BP106" s="165">
        <v>112.35</v>
      </c>
      <c r="BQ106" s="165">
        <v>94.2</v>
      </c>
      <c r="BR106" s="165">
        <v>113.33</v>
      </c>
      <c r="BS106" s="165">
        <v>160.79</v>
      </c>
      <c r="BT106" s="165">
        <v>222.66</v>
      </c>
      <c r="BU106" s="165">
        <v>238.45</v>
      </c>
      <c r="BV106" s="165">
        <v>112.35</v>
      </c>
      <c r="BW106" s="165">
        <v>94.2</v>
      </c>
      <c r="BX106" s="165">
        <v>113.33</v>
      </c>
      <c r="BY106" s="165">
        <v>160.79</v>
      </c>
      <c r="BZ106" s="165">
        <v>222.66</v>
      </c>
      <c r="CA106" s="165">
        <v>238.45</v>
      </c>
      <c r="CB106" s="204"/>
      <c r="CC106" s="126"/>
      <c r="CD106" s="126"/>
      <c r="CE106" s="143"/>
      <c r="CG106" s="129" t="s">
        <v>427</v>
      </c>
      <c r="CH106" s="130" t="s">
        <v>428</v>
      </c>
      <c r="CI106" s="131">
        <v>0</v>
      </c>
      <c r="CJ106" s="132">
        <v>1</v>
      </c>
      <c r="CK106" s="133">
        <v>2</v>
      </c>
      <c r="CL106" s="133">
        <v>3</v>
      </c>
      <c r="CM106" s="134">
        <v>4</v>
      </c>
      <c r="CN106" s="132">
        <v>5</v>
      </c>
      <c r="CO106" s="133">
        <v>6</v>
      </c>
      <c r="CP106" s="133">
        <v>7</v>
      </c>
      <c r="CQ106" s="133">
        <v>8</v>
      </c>
      <c r="CR106" s="133">
        <v>9</v>
      </c>
      <c r="CS106" s="134">
        <v>10</v>
      </c>
      <c r="CT106" s="135">
        <v>5</v>
      </c>
      <c r="CU106" s="133">
        <v>6</v>
      </c>
      <c r="CV106" s="133">
        <v>7</v>
      </c>
      <c r="CW106" s="133">
        <v>8</v>
      </c>
      <c r="CX106" s="133">
        <v>9</v>
      </c>
      <c r="CY106" s="134">
        <v>10</v>
      </c>
      <c r="CZ106" s="136"/>
    </row>
    <row r="107" spans="1:105">
      <c r="A107" s="107"/>
      <c r="B107" s="107"/>
      <c r="C107" s="107"/>
      <c r="D107" s="107"/>
      <c r="E107" s="548"/>
      <c r="F107" s="549"/>
      <c r="G107" s="549"/>
      <c r="H107" s="550"/>
      <c r="I107" s="540"/>
      <c r="J107" s="541"/>
      <c r="K107" s="541"/>
      <c r="L107" s="542"/>
      <c r="M107" s="540"/>
      <c r="N107" s="541"/>
      <c r="O107" s="541"/>
      <c r="P107" s="542"/>
      <c r="Q107" s="540"/>
      <c r="R107" s="541"/>
      <c r="S107" s="541"/>
      <c r="T107" s="542"/>
      <c r="U107" s="540"/>
      <c r="V107" s="541"/>
      <c r="W107" s="541"/>
      <c r="X107" s="542"/>
      <c r="Y107" s="540"/>
      <c r="Z107" s="541"/>
      <c r="AA107" s="541"/>
      <c r="AB107" s="542"/>
      <c r="AC107" s="540"/>
      <c r="AD107" s="541"/>
      <c r="AE107" s="541"/>
      <c r="AF107" s="542"/>
      <c r="AG107" s="540"/>
      <c r="AH107" s="541"/>
      <c r="AI107" s="541"/>
      <c r="AJ107" s="542"/>
      <c r="AK107" s="540"/>
      <c r="AL107" s="541"/>
      <c r="AM107" s="541"/>
      <c r="AN107" s="542"/>
      <c r="AO107" s="540"/>
      <c r="AP107" s="541"/>
      <c r="AQ107" s="541"/>
      <c r="AR107" s="542"/>
      <c r="AS107" s="540"/>
      <c r="AT107" s="541"/>
      <c r="AU107" s="541"/>
      <c r="AV107" s="542"/>
      <c r="AW107" s="540"/>
      <c r="AX107" s="541"/>
      <c r="AY107" s="541"/>
      <c r="AZ107" s="542"/>
      <c r="BG107" s="93"/>
      <c r="BH107" s="93"/>
      <c r="BI107" s="93"/>
      <c r="BJ107" s="204">
        <v>48</v>
      </c>
      <c r="BK107" s="164">
        <v>0</v>
      </c>
      <c r="BL107" s="165">
        <v>55.76</v>
      </c>
      <c r="BM107" s="165">
        <v>77.709999999999994</v>
      </c>
      <c r="BN107" s="165">
        <v>108.98</v>
      </c>
      <c r="BO107" s="165">
        <v>110.89</v>
      </c>
      <c r="BP107" s="165">
        <v>114.59</v>
      </c>
      <c r="BQ107" s="165">
        <v>96.1</v>
      </c>
      <c r="BR107" s="165">
        <v>115.6</v>
      </c>
      <c r="BS107" s="165">
        <v>164.36</v>
      </c>
      <c r="BT107" s="165">
        <v>227.85</v>
      </c>
      <c r="BU107" s="165">
        <v>243.91</v>
      </c>
      <c r="BV107" s="165">
        <v>114.59</v>
      </c>
      <c r="BW107" s="165">
        <v>96.1</v>
      </c>
      <c r="BX107" s="165">
        <v>115.6</v>
      </c>
      <c r="BY107" s="165">
        <v>164.36</v>
      </c>
      <c r="BZ107" s="165">
        <v>227.85</v>
      </c>
      <c r="CA107" s="165">
        <v>243.91</v>
      </c>
      <c r="CB107" s="204"/>
      <c r="CC107" s="126"/>
      <c r="CD107" s="126"/>
      <c r="CE107" s="143"/>
      <c r="CG107" s="144" t="s">
        <v>406</v>
      </c>
      <c r="CH107" s="145">
        <v>1</v>
      </c>
      <c r="CI107" s="146">
        <v>0</v>
      </c>
      <c r="CJ107" s="147">
        <v>48.18</v>
      </c>
      <c r="CK107" s="148">
        <v>50.6</v>
      </c>
      <c r="CL107" s="148">
        <v>55.2</v>
      </c>
      <c r="CM107" s="149">
        <v>56.02</v>
      </c>
      <c r="CN107" s="147">
        <v>58.06</v>
      </c>
      <c r="CO107" s="148">
        <v>47.25</v>
      </c>
      <c r="CP107" s="148">
        <v>59.05</v>
      </c>
      <c r="CQ107" s="148">
        <v>59.36</v>
      </c>
      <c r="CR107" s="148">
        <v>61.49</v>
      </c>
      <c r="CS107" s="149">
        <v>77.290000000000006</v>
      </c>
      <c r="CT107" s="150">
        <v>70.2</v>
      </c>
      <c r="CU107" s="148">
        <v>60.48</v>
      </c>
      <c r="CV107" s="148">
        <v>70.75</v>
      </c>
      <c r="CW107" s="148">
        <v>79.150000000000006</v>
      </c>
      <c r="CX107" s="148">
        <v>82.56</v>
      </c>
      <c r="CY107" s="149">
        <v>91.27</v>
      </c>
      <c r="CZ107" s="151"/>
    </row>
    <row r="108" spans="1:105">
      <c r="A108" s="107"/>
      <c r="B108" s="107"/>
      <c r="C108" s="107"/>
      <c r="D108" s="107"/>
      <c r="E108" s="551"/>
      <c r="F108" s="552"/>
      <c r="G108" s="552"/>
      <c r="H108" s="553"/>
      <c r="I108" s="545"/>
      <c r="J108" s="546"/>
      <c r="K108" s="546"/>
      <c r="L108" s="547"/>
      <c r="M108" s="545"/>
      <c r="N108" s="546"/>
      <c r="O108" s="546"/>
      <c r="P108" s="547"/>
      <c r="Q108" s="545"/>
      <c r="R108" s="546"/>
      <c r="S108" s="546"/>
      <c r="T108" s="547"/>
      <c r="U108" s="545"/>
      <c r="V108" s="546"/>
      <c r="W108" s="546"/>
      <c r="X108" s="547"/>
      <c r="Y108" s="545"/>
      <c r="Z108" s="546"/>
      <c r="AA108" s="546"/>
      <c r="AB108" s="547"/>
      <c r="AC108" s="545"/>
      <c r="AD108" s="546"/>
      <c r="AE108" s="546"/>
      <c r="AF108" s="547"/>
      <c r="AG108" s="545"/>
      <c r="AH108" s="546"/>
      <c r="AI108" s="546"/>
      <c r="AJ108" s="547"/>
      <c r="AK108" s="545"/>
      <c r="AL108" s="546"/>
      <c r="AM108" s="546"/>
      <c r="AN108" s="547"/>
      <c r="AO108" s="545"/>
      <c r="AP108" s="546"/>
      <c r="AQ108" s="546"/>
      <c r="AR108" s="547"/>
      <c r="AS108" s="545"/>
      <c r="AT108" s="546"/>
      <c r="AU108" s="546"/>
      <c r="AV108" s="547"/>
      <c r="AW108" s="545"/>
      <c r="AX108" s="546"/>
      <c r="AY108" s="546"/>
      <c r="AZ108" s="547"/>
      <c r="BG108" s="93"/>
      <c r="BH108" s="93"/>
      <c r="BI108" s="93"/>
      <c r="BJ108" s="204">
        <v>49</v>
      </c>
      <c r="BK108" s="164">
        <v>0</v>
      </c>
      <c r="BL108" s="165">
        <v>56.72</v>
      </c>
      <c r="BM108" s="165">
        <v>79.12</v>
      </c>
      <c r="BN108" s="165">
        <v>111.03</v>
      </c>
      <c r="BO108" s="165">
        <v>112.98</v>
      </c>
      <c r="BP108" s="165">
        <v>116.83</v>
      </c>
      <c r="BQ108" s="165">
        <v>98</v>
      </c>
      <c r="BR108" s="165">
        <v>117.87</v>
      </c>
      <c r="BS108" s="165">
        <v>167.94</v>
      </c>
      <c r="BT108" s="165">
        <v>233.04</v>
      </c>
      <c r="BU108" s="165">
        <v>249.37</v>
      </c>
      <c r="BV108" s="165">
        <v>116.83</v>
      </c>
      <c r="BW108" s="165">
        <v>98</v>
      </c>
      <c r="BX108" s="165">
        <v>117.87</v>
      </c>
      <c r="BY108" s="165">
        <v>167.94</v>
      </c>
      <c r="BZ108" s="165">
        <v>233.04</v>
      </c>
      <c r="CA108" s="165">
        <v>249.37</v>
      </c>
      <c r="CB108" s="204"/>
      <c r="CC108" s="126"/>
      <c r="CD108" s="126"/>
      <c r="CE108" s="143"/>
      <c r="CG108" s="155" t="s">
        <v>407</v>
      </c>
      <c r="CH108" s="156">
        <v>2</v>
      </c>
      <c r="CI108" s="157">
        <v>0</v>
      </c>
      <c r="CJ108" s="158">
        <v>9.1999999999999993</v>
      </c>
      <c r="CK108" s="159">
        <v>8.84</v>
      </c>
      <c r="CL108" s="159">
        <v>10.51</v>
      </c>
      <c r="CM108" s="160">
        <v>10.64</v>
      </c>
      <c r="CN108" s="158">
        <v>9.52</v>
      </c>
      <c r="CO108" s="159">
        <v>6.03</v>
      </c>
      <c r="CP108" s="159">
        <v>9.52</v>
      </c>
      <c r="CQ108" s="159">
        <v>10.32</v>
      </c>
      <c r="CR108" s="159">
        <v>14.61</v>
      </c>
      <c r="CS108" s="160">
        <v>15.29</v>
      </c>
      <c r="CT108" s="161">
        <v>8.9499999999999993</v>
      </c>
      <c r="CU108" s="159">
        <v>5.96</v>
      </c>
      <c r="CV108" s="159">
        <v>8.9499999999999993</v>
      </c>
      <c r="CW108" s="159">
        <v>10.06</v>
      </c>
      <c r="CX108" s="159">
        <v>14.73</v>
      </c>
      <c r="CY108" s="160">
        <v>14.98</v>
      </c>
      <c r="CZ108" s="162"/>
    </row>
    <row r="109" spans="1:105">
      <c r="A109" s="107"/>
      <c r="B109" s="107"/>
      <c r="C109" s="107"/>
      <c r="D109" s="107"/>
      <c r="E109" s="548"/>
      <c r="F109" s="549"/>
      <c r="G109" s="549"/>
      <c r="H109" s="550"/>
      <c r="I109" s="540"/>
      <c r="J109" s="541"/>
      <c r="K109" s="541"/>
      <c r="L109" s="542"/>
      <c r="M109" s="540"/>
      <c r="N109" s="541"/>
      <c r="O109" s="541"/>
      <c r="P109" s="542"/>
      <c r="Q109" s="540"/>
      <c r="R109" s="541"/>
      <c r="S109" s="541"/>
      <c r="T109" s="542"/>
      <c r="U109" s="540"/>
      <c r="V109" s="541"/>
      <c r="W109" s="541"/>
      <c r="X109" s="542"/>
      <c r="Y109" s="540"/>
      <c r="Z109" s="541"/>
      <c r="AA109" s="541"/>
      <c r="AB109" s="542"/>
      <c r="AC109" s="540"/>
      <c r="AD109" s="541"/>
      <c r="AE109" s="541"/>
      <c r="AF109" s="542"/>
      <c r="AG109" s="540"/>
      <c r="AH109" s="541"/>
      <c r="AI109" s="541"/>
      <c r="AJ109" s="542"/>
      <c r="AK109" s="540"/>
      <c r="AL109" s="541"/>
      <c r="AM109" s="541"/>
      <c r="AN109" s="542"/>
      <c r="AO109" s="540"/>
      <c r="AP109" s="541"/>
      <c r="AQ109" s="541"/>
      <c r="AR109" s="542"/>
      <c r="AS109" s="540"/>
      <c r="AT109" s="541"/>
      <c r="AU109" s="541"/>
      <c r="AV109" s="542"/>
      <c r="AW109" s="540"/>
      <c r="AX109" s="541"/>
      <c r="AY109" s="541"/>
      <c r="AZ109" s="542"/>
      <c r="BG109" s="93"/>
      <c r="BH109" s="93"/>
      <c r="BI109" s="93"/>
      <c r="BJ109" s="204">
        <v>50</v>
      </c>
      <c r="BK109" s="164">
        <v>0</v>
      </c>
      <c r="BL109" s="165">
        <v>57.68</v>
      </c>
      <c r="BM109" s="165">
        <v>80.52</v>
      </c>
      <c r="BN109" s="165">
        <v>113.09</v>
      </c>
      <c r="BO109" s="165">
        <v>115.08</v>
      </c>
      <c r="BP109" s="165">
        <v>119.07</v>
      </c>
      <c r="BQ109" s="165">
        <v>99.89</v>
      </c>
      <c r="BR109" s="165">
        <v>120.14</v>
      </c>
      <c r="BS109" s="165">
        <v>171.51</v>
      </c>
      <c r="BT109" s="165">
        <v>238.22</v>
      </c>
      <c r="BU109" s="165">
        <v>254.83</v>
      </c>
      <c r="BV109" s="165">
        <v>119.07</v>
      </c>
      <c r="BW109" s="165">
        <v>99.89</v>
      </c>
      <c r="BX109" s="165">
        <v>120.14</v>
      </c>
      <c r="BY109" s="165">
        <v>171.51</v>
      </c>
      <c r="BZ109" s="165">
        <v>238.22</v>
      </c>
      <c r="CA109" s="165">
        <v>254.83</v>
      </c>
      <c r="CB109" s="204"/>
      <c r="CC109" s="126"/>
      <c r="CD109" s="126"/>
      <c r="CE109" s="143"/>
      <c r="CG109" s="166" t="s">
        <v>408</v>
      </c>
      <c r="CH109" s="167">
        <v>3</v>
      </c>
      <c r="CI109" s="157">
        <v>0</v>
      </c>
      <c r="CJ109" s="158">
        <v>2.68</v>
      </c>
      <c r="CK109" s="159">
        <v>4.16</v>
      </c>
      <c r="CL109" s="159">
        <v>5.6</v>
      </c>
      <c r="CM109" s="160">
        <v>5.66</v>
      </c>
      <c r="CN109" s="158">
        <v>5.23</v>
      </c>
      <c r="CO109" s="159">
        <v>4.16</v>
      </c>
      <c r="CP109" s="159">
        <v>5.23</v>
      </c>
      <c r="CQ109" s="159">
        <v>6.46</v>
      </c>
      <c r="CR109" s="159">
        <v>9.4700000000000006</v>
      </c>
      <c r="CS109" s="160">
        <v>9.8800000000000008</v>
      </c>
      <c r="CT109" s="161">
        <v>5.23</v>
      </c>
      <c r="CU109" s="159">
        <v>4.41</v>
      </c>
      <c r="CV109" s="159">
        <v>5.23</v>
      </c>
      <c r="CW109" s="159">
        <v>5.77</v>
      </c>
      <c r="CX109" s="159">
        <v>8.52</v>
      </c>
      <c r="CY109" s="160">
        <v>9.52</v>
      </c>
      <c r="CZ109" s="168"/>
    </row>
    <row r="110" spans="1:105">
      <c r="A110" s="107"/>
      <c r="B110" s="107"/>
      <c r="C110" s="107"/>
      <c r="D110" s="107"/>
      <c r="E110" s="551"/>
      <c r="F110" s="552"/>
      <c r="G110" s="552"/>
      <c r="H110" s="553"/>
      <c r="I110" s="545"/>
      <c r="J110" s="546"/>
      <c r="K110" s="546"/>
      <c r="L110" s="547"/>
      <c r="M110" s="545"/>
      <c r="N110" s="546"/>
      <c r="O110" s="546"/>
      <c r="P110" s="547"/>
      <c r="Q110" s="545"/>
      <c r="R110" s="546"/>
      <c r="S110" s="546"/>
      <c r="T110" s="547"/>
      <c r="U110" s="545"/>
      <c r="V110" s="546"/>
      <c r="W110" s="546"/>
      <c r="X110" s="547"/>
      <c r="Y110" s="545"/>
      <c r="Z110" s="546"/>
      <c r="AA110" s="546"/>
      <c r="AB110" s="547"/>
      <c r="AC110" s="545"/>
      <c r="AD110" s="546"/>
      <c r="AE110" s="546"/>
      <c r="AF110" s="547"/>
      <c r="AG110" s="545"/>
      <c r="AH110" s="546"/>
      <c r="AI110" s="546"/>
      <c r="AJ110" s="547"/>
      <c r="AK110" s="545"/>
      <c r="AL110" s="546"/>
      <c r="AM110" s="546"/>
      <c r="AN110" s="547"/>
      <c r="AO110" s="545"/>
      <c r="AP110" s="546"/>
      <c r="AQ110" s="546"/>
      <c r="AR110" s="547"/>
      <c r="AS110" s="545"/>
      <c r="AT110" s="546"/>
      <c r="AU110" s="546"/>
      <c r="AV110" s="547"/>
      <c r="AW110" s="545"/>
      <c r="AX110" s="546"/>
      <c r="AY110" s="546"/>
      <c r="AZ110" s="547"/>
      <c r="BG110" s="93"/>
      <c r="BH110" s="93"/>
      <c r="BI110" s="93"/>
      <c r="BJ110" s="204">
        <v>51</v>
      </c>
      <c r="BK110" s="164">
        <v>0</v>
      </c>
      <c r="BL110" s="165">
        <v>58.64</v>
      </c>
      <c r="BM110" s="165">
        <v>81.93</v>
      </c>
      <c r="BN110" s="165">
        <v>115.14</v>
      </c>
      <c r="BO110" s="165">
        <v>117.17</v>
      </c>
      <c r="BP110" s="165">
        <v>121.31</v>
      </c>
      <c r="BQ110" s="165">
        <v>101.79</v>
      </c>
      <c r="BR110" s="165">
        <v>122.41</v>
      </c>
      <c r="BS110" s="165">
        <v>175.08</v>
      </c>
      <c r="BT110" s="165">
        <v>243.41</v>
      </c>
      <c r="BU110" s="165">
        <v>260.29000000000002</v>
      </c>
      <c r="BV110" s="165">
        <v>121.31</v>
      </c>
      <c r="BW110" s="165">
        <v>101.79</v>
      </c>
      <c r="BX110" s="165">
        <v>122.41</v>
      </c>
      <c r="BY110" s="165">
        <v>175.08</v>
      </c>
      <c r="BZ110" s="165">
        <v>243.41</v>
      </c>
      <c r="CA110" s="165">
        <v>260.29000000000002</v>
      </c>
      <c r="CB110" s="204"/>
      <c r="CC110" s="126"/>
      <c r="CD110" s="126"/>
      <c r="CE110" s="143"/>
      <c r="CG110" s="170">
        <v>2.5</v>
      </c>
      <c r="CH110" s="171">
        <v>4</v>
      </c>
      <c r="CI110" s="157">
        <v>0</v>
      </c>
      <c r="CJ110" s="158">
        <v>2.61</v>
      </c>
      <c r="CK110" s="159">
        <v>4.1100000000000003</v>
      </c>
      <c r="CL110" s="159">
        <v>5.54</v>
      </c>
      <c r="CM110" s="160">
        <v>5.6</v>
      </c>
      <c r="CN110" s="158">
        <v>16.740000000000009</v>
      </c>
      <c r="CO110" s="159">
        <v>18.069999999999993</v>
      </c>
      <c r="CP110" s="159">
        <v>16.360000000000014</v>
      </c>
      <c r="CQ110" s="159">
        <v>23.92</v>
      </c>
      <c r="CR110" s="159">
        <v>27.810000000000002</v>
      </c>
      <c r="CS110" s="160">
        <v>22.47</v>
      </c>
      <c r="CT110" s="161">
        <v>5.17</v>
      </c>
      <c r="CU110" s="159">
        <v>4.41</v>
      </c>
      <c r="CV110" s="159">
        <v>5.23</v>
      </c>
      <c r="CW110" s="159">
        <v>5.77</v>
      </c>
      <c r="CX110" s="159">
        <v>8.52</v>
      </c>
      <c r="CY110" s="160">
        <v>9.52</v>
      </c>
      <c r="CZ110" s="172"/>
    </row>
    <row r="111" spans="1:105">
      <c r="A111" s="107"/>
      <c r="B111" s="107"/>
      <c r="C111" s="107"/>
      <c r="D111" s="107"/>
      <c r="E111" s="548"/>
      <c r="F111" s="549"/>
      <c r="G111" s="549"/>
      <c r="H111" s="550"/>
      <c r="I111" s="540"/>
      <c r="J111" s="541"/>
      <c r="K111" s="541"/>
      <c r="L111" s="542"/>
      <c r="M111" s="540"/>
      <c r="N111" s="541"/>
      <c r="O111" s="541"/>
      <c r="P111" s="542"/>
      <c r="Q111" s="540"/>
      <c r="R111" s="541"/>
      <c r="S111" s="541"/>
      <c r="T111" s="542"/>
      <c r="U111" s="540"/>
      <c r="V111" s="541"/>
      <c r="W111" s="541"/>
      <c r="X111" s="542"/>
      <c r="Y111" s="540"/>
      <c r="Z111" s="541"/>
      <c r="AA111" s="541"/>
      <c r="AB111" s="542"/>
      <c r="AC111" s="540"/>
      <c r="AD111" s="541"/>
      <c r="AE111" s="541"/>
      <c r="AF111" s="542"/>
      <c r="AG111" s="540"/>
      <c r="AH111" s="541"/>
      <c r="AI111" s="541"/>
      <c r="AJ111" s="542"/>
      <c r="AK111" s="540"/>
      <c r="AL111" s="541"/>
      <c r="AM111" s="541"/>
      <c r="AN111" s="542"/>
      <c r="AO111" s="540"/>
      <c r="AP111" s="541"/>
      <c r="AQ111" s="541"/>
      <c r="AR111" s="542"/>
      <c r="AS111" s="540"/>
      <c r="AT111" s="541"/>
      <c r="AU111" s="541"/>
      <c r="AV111" s="542"/>
      <c r="AW111" s="540"/>
      <c r="AX111" s="541"/>
      <c r="AY111" s="541"/>
      <c r="AZ111" s="542"/>
      <c r="BG111" s="93"/>
      <c r="BH111" s="93"/>
      <c r="BI111" s="93"/>
      <c r="BJ111" s="204">
        <v>52</v>
      </c>
      <c r="BK111" s="164">
        <v>0</v>
      </c>
      <c r="BL111" s="165">
        <v>59.6</v>
      </c>
      <c r="BM111" s="165">
        <v>83.34</v>
      </c>
      <c r="BN111" s="165">
        <v>117.2</v>
      </c>
      <c r="BO111" s="165">
        <v>119.26</v>
      </c>
      <c r="BP111" s="165">
        <v>123.55</v>
      </c>
      <c r="BQ111" s="165">
        <v>103.68</v>
      </c>
      <c r="BR111" s="165">
        <v>124.68</v>
      </c>
      <c r="BS111" s="165">
        <v>178.66</v>
      </c>
      <c r="BT111" s="165">
        <v>248.6</v>
      </c>
      <c r="BU111" s="165">
        <v>265.75</v>
      </c>
      <c r="BV111" s="165">
        <v>123.55</v>
      </c>
      <c r="BW111" s="165">
        <v>103.68</v>
      </c>
      <c r="BX111" s="165">
        <v>124.68</v>
      </c>
      <c r="BY111" s="165">
        <v>178.66</v>
      </c>
      <c r="BZ111" s="165">
        <v>248.6</v>
      </c>
      <c r="CA111" s="165">
        <v>265.75</v>
      </c>
      <c r="CB111" s="204"/>
      <c r="CC111" s="126"/>
      <c r="CD111" s="126"/>
      <c r="CE111" s="143"/>
      <c r="CG111" s="173" t="s">
        <v>409</v>
      </c>
      <c r="CH111" s="174">
        <v>5</v>
      </c>
      <c r="CI111" s="157">
        <v>0</v>
      </c>
      <c r="CJ111" s="158">
        <v>2.2999999999999998</v>
      </c>
      <c r="CK111" s="159">
        <v>3.43</v>
      </c>
      <c r="CL111" s="159">
        <v>4.97</v>
      </c>
      <c r="CM111" s="160">
        <v>5.04</v>
      </c>
      <c r="CN111" s="158">
        <v>4.59</v>
      </c>
      <c r="CO111" s="159">
        <v>4.05</v>
      </c>
      <c r="CP111" s="159">
        <v>4.78</v>
      </c>
      <c r="CQ111" s="159">
        <v>5.96</v>
      </c>
      <c r="CR111" s="159">
        <v>8.39</v>
      </c>
      <c r="CS111" s="160">
        <v>9.3800000000000008</v>
      </c>
      <c r="CT111" s="161">
        <v>4.59</v>
      </c>
      <c r="CU111" s="159">
        <v>4.05</v>
      </c>
      <c r="CV111" s="159">
        <v>4.78</v>
      </c>
      <c r="CW111" s="159">
        <v>5.96</v>
      </c>
      <c r="CX111" s="159">
        <v>8.39</v>
      </c>
      <c r="CY111" s="160">
        <v>9.3800000000000008</v>
      </c>
      <c r="CZ111" s="175"/>
    </row>
    <row r="112" spans="1:105">
      <c r="A112" s="107"/>
      <c r="B112" s="107"/>
      <c r="C112" s="107"/>
      <c r="D112" s="107"/>
      <c r="E112" s="551"/>
      <c r="F112" s="552"/>
      <c r="G112" s="552"/>
      <c r="H112" s="553"/>
      <c r="I112" s="545"/>
      <c r="J112" s="546"/>
      <c r="K112" s="546"/>
      <c r="L112" s="547"/>
      <c r="M112" s="545"/>
      <c r="N112" s="546"/>
      <c r="O112" s="546"/>
      <c r="P112" s="547"/>
      <c r="Q112" s="545"/>
      <c r="R112" s="546"/>
      <c r="S112" s="546"/>
      <c r="T112" s="547"/>
      <c r="U112" s="545"/>
      <c r="V112" s="546"/>
      <c r="W112" s="546"/>
      <c r="X112" s="547"/>
      <c r="Y112" s="545"/>
      <c r="Z112" s="546"/>
      <c r="AA112" s="546"/>
      <c r="AB112" s="547"/>
      <c r="AC112" s="545"/>
      <c r="AD112" s="546"/>
      <c r="AE112" s="546"/>
      <c r="AF112" s="547"/>
      <c r="AG112" s="545"/>
      <c r="AH112" s="546"/>
      <c r="AI112" s="546"/>
      <c r="AJ112" s="547"/>
      <c r="AK112" s="545"/>
      <c r="AL112" s="546"/>
      <c r="AM112" s="546"/>
      <c r="AN112" s="547"/>
      <c r="AO112" s="545"/>
      <c r="AP112" s="546"/>
      <c r="AQ112" s="546"/>
      <c r="AR112" s="547"/>
      <c r="AS112" s="545"/>
      <c r="AT112" s="546"/>
      <c r="AU112" s="546"/>
      <c r="AV112" s="547"/>
      <c r="AW112" s="545"/>
      <c r="AX112" s="546"/>
      <c r="AY112" s="546"/>
      <c r="AZ112" s="547"/>
      <c r="BG112" s="93"/>
      <c r="BH112" s="93"/>
      <c r="BI112" s="93"/>
      <c r="BJ112" s="204">
        <v>53</v>
      </c>
      <c r="BK112" s="164">
        <v>0</v>
      </c>
      <c r="BL112" s="165">
        <v>60.56</v>
      </c>
      <c r="BM112" s="165">
        <v>84.74</v>
      </c>
      <c r="BN112" s="165">
        <v>119.25</v>
      </c>
      <c r="BO112" s="165">
        <v>121.35</v>
      </c>
      <c r="BP112" s="165">
        <v>125.79</v>
      </c>
      <c r="BQ112" s="165">
        <v>105.58</v>
      </c>
      <c r="BR112" s="165">
        <v>126.95</v>
      </c>
      <c r="BS112" s="165">
        <v>182.23</v>
      </c>
      <c r="BT112" s="165">
        <v>253.79</v>
      </c>
      <c r="BU112" s="165">
        <v>271.20999999999998</v>
      </c>
      <c r="BV112" s="165">
        <v>125.79</v>
      </c>
      <c r="BW112" s="165">
        <v>105.58</v>
      </c>
      <c r="BX112" s="165">
        <v>126.95</v>
      </c>
      <c r="BY112" s="165">
        <v>182.23</v>
      </c>
      <c r="BZ112" s="165">
        <v>253.79</v>
      </c>
      <c r="CA112" s="165">
        <v>271.20999999999998</v>
      </c>
      <c r="CB112" s="204"/>
      <c r="CC112" s="126"/>
      <c r="CD112" s="126"/>
      <c r="CE112" s="143"/>
      <c r="CG112" s="177" t="s">
        <v>410</v>
      </c>
      <c r="CH112" s="178">
        <v>6</v>
      </c>
      <c r="CI112" s="157">
        <v>0</v>
      </c>
      <c r="CJ112" s="158">
        <v>2.25</v>
      </c>
      <c r="CK112" s="159">
        <v>3.61</v>
      </c>
      <c r="CL112" s="159">
        <v>4.7300000000000004</v>
      </c>
      <c r="CM112" s="160">
        <v>4.8499999999999996</v>
      </c>
      <c r="CN112" s="158">
        <v>4.54</v>
      </c>
      <c r="CO112" s="159">
        <v>3.91</v>
      </c>
      <c r="CP112" s="159">
        <v>4.41</v>
      </c>
      <c r="CQ112" s="159">
        <v>5.91</v>
      </c>
      <c r="CR112" s="159">
        <v>8.08</v>
      </c>
      <c r="CS112" s="160">
        <v>9.07</v>
      </c>
      <c r="CT112" s="161">
        <v>4.54</v>
      </c>
      <c r="CU112" s="159">
        <v>3.91</v>
      </c>
      <c r="CV112" s="159">
        <v>4.41</v>
      </c>
      <c r="CW112" s="159">
        <v>5.91</v>
      </c>
      <c r="CX112" s="159">
        <v>8.08</v>
      </c>
      <c r="CY112" s="160">
        <v>9.07</v>
      </c>
      <c r="CZ112" s="179"/>
    </row>
    <row r="113" spans="1:105">
      <c r="A113" s="107"/>
      <c r="B113" s="107"/>
      <c r="C113" s="107"/>
      <c r="D113" s="107"/>
      <c r="E113" s="548"/>
      <c r="F113" s="549"/>
      <c r="G113" s="549"/>
      <c r="H113" s="550"/>
      <c r="I113" s="540"/>
      <c r="J113" s="541"/>
      <c r="K113" s="541"/>
      <c r="L113" s="542"/>
      <c r="M113" s="540"/>
      <c r="N113" s="541"/>
      <c r="O113" s="541"/>
      <c r="P113" s="542"/>
      <c r="Q113" s="540"/>
      <c r="R113" s="541"/>
      <c r="S113" s="541"/>
      <c r="T113" s="542"/>
      <c r="U113" s="540"/>
      <c r="V113" s="541"/>
      <c r="W113" s="541"/>
      <c r="X113" s="542"/>
      <c r="Y113" s="540"/>
      <c r="Z113" s="541"/>
      <c r="AA113" s="541"/>
      <c r="AB113" s="542"/>
      <c r="AC113" s="540"/>
      <c r="AD113" s="541"/>
      <c r="AE113" s="541"/>
      <c r="AF113" s="542"/>
      <c r="AG113" s="540"/>
      <c r="AH113" s="541"/>
      <c r="AI113" s="541"/>
      <c r="AJ113" s="542"/>
      <c r="AK113" s="540"/>
      <c r="AL113" s="541"/>
      <c r="AM113" s="541"/>
      <c r="AN113" s="542"/>
      <c r="AO113" s="540"/>
      <c r="AP113" s="541"/>
      <c r="AQ113" s="541"/>
      <c r="AR113" s="542"/>
      <c r="AS113" s="540"/>
      <c r="AT113" s="541"/>
      <c r="AU113" s="541"/>
      <c r="AV113" s="542"/>
      <c r="AW113" s="540"/>
      <c r="AX113" s="541"/>
      <c r="AY113" s="541"/>
      <c r="AZ113" s="542"/>
      <c r="BG113" s="93"/>
      <c r="BH113" s="93"/>
      <c r="BI113" s="93"/>
      <c r="BJ113" s="204">
        <v>54</v>
      </c>
      <c r="BK113" s="164">
        <v>0</v>
      </c>
      <c r="BL113" s="165">
        <v>61.52</v>
      </c>
      <c r="BM113" s="165">
        <v>86.15</v>
      </c>
      <c r="BN113" s="165">
        <v>121.31</v>
      </c>
      <c r="BO113" s="165">
        <v>123.44</v>
      </c>
      <c r="BP113" s="165">
        <v>128.03</v>
      </c>
      <c r="BQ113" s="165">
        <v>107.48</v>
      </c>
      <c r="BR113" s="165">
        <v>129.22</v>
      </c>
      <c r="BS113" s="165">
        <v>185.8</v>
      </c>
      <c r="BT113" s="165">
        <v>258.98</v>
      </c>
      <c r="BU113" s="165">
        <v>276.67</v>
      </c>
      <c r="BV113" s="165">
        <v>128.03</v>
      </c>
      <c r="BW113" s="165">
        <v>107.48</v>
      </c>
      <c r="BX113" s="165">
        <v>129.22</v>
      </c>
      <c r="BY113" s="165">
        <v>185.8</v>
      </c>
      <c r="BZ113" s="165">
        <v>258.98</v>
      </c>
      <c r="CA113" s="165">
        <v>276.67</v>
      </c>
      <c r="CB113" s="204"/>
      <c r="CC113" s="126"/>
      <c r="CD113" s="126"/>
      <c r="CE113" s="143"/>
      <c r="CG113" s="181" t="s">
        <v>411</v>
      </c>
      <c r="CH113" s="182">
        <v>7</v>
      </c>
      <c r="CI113" s="157">
        <v>0</v>
      </c>
      <c r="CJ113" s="158">
        <v>1.43</v>
      </c>
      <c r="CK113" s="159">
        <v>2.36</v>
      </c>
      <c r="CL113" s="159">
        <v>3.66</v>
      </c>
      <c r="CM113" s="160">
        <v>3.74</v>
      </c>
      <c r="CN113" s="158">
        <v>3.66</v>
      </c>
      <c r="CO113" s="159">
        <v>2.98</v>
      </c>
      <c r="CP113" s="159">
        <v>3.74</v>
      </c>
      <c r="CQ113" s="159">
        <v>5.66</v>
      </c>
      <c r="CR113" s="159">
        <v>7.83</v>
      </c>
      <c r="CS113" s="160">
        <v>8.26</v>
      </c>
      <c r="CT113" s="161">
        <v>3.66</v>
      </c>
      <c r="CU113" s="159">
        <v>2.98</v>
      </c>
      <c r="CV113" s="159">
        <v>3.74</v>
      </c>
      <c r="CW113" s="159">
        <v>5.66</v>
      </c>
      <c r="CX113" s="159">
        <v>7.83</v>
      </c>
      <c r="CY113" s="160">
        <v>8.26</v>
      </c>
      <c r="CZ113" s="183"/>
    </row>
    <row r="114" spans="1:105">
      <c r="A114" s="107"/>
      <c r="B114" s="107"/>
      <c r="C114" s="107"/>
      <c r="D114" s="107"/>
      <c r="E114" s="551"/>
      <c r="F114" s="552"/>
      <c r="G114" s="552"/>
      <c r="H114" s="553"/>
      <c r="I114" s="545"/>
      <c r="J114" s="546"/>
      <c r="K114" s="546"/>
      <c r="L114" s="547"/>
      <c r="M114" s="545"/>
      <c r="N114" s="546"/>
      <c r="O114" s="546"/>
      <c r="P114" s="547"/>
      <c r="Q114" s="545"/>
      <c r="R114" s="546"/>
      <c r="S114" s="546"/>
      <c r="T114" s="547"/>
      <c r="U114" s="545"/>
      <c r="V114" s="546"/>
      <c r="W114" s="546"/>
      <c r="X114" s="547"/>
      <c r="Y114" s="545"/>
      <c r="Z114" s="546"/>
      <c r="AA114" s="546"/>
      <c r="AB114" s="547"/>
      <c r="AC114" s="545"/>
      <c r="AD114" s="546"/>
      <c r="AE114" s="546"/>
      <c r="AF114" s="547"/>
      <c r="AG114" s="545"/>
      <c r="AH114" s="546"/>
      <c r="AI114" s="546"/>
      <c r="AJ114" s="547"/>
      <c r="AK114" s="545"/>
      <c r="AL114" s="546"/>
      <c r="AM114" s="546"/>
      <c r="AN114" s="547"/>
      <c r="AO114" s="545"/>
      <c r="AP114" s="546"/>
      <c r="AQ114" s="546"/>
      <c r="AR114" s="547"/>
      <c r="AS114" s="545"/>
      <c r="AT114" s="546"/>
      <c r="AU114" s="546"/>
      <c r="AV114" s="547"/>
      <c r="AW114" s="545"/>
      <c r="AX114" s="546"/>
      <c r="AY114" s="546"/>
      <c r="AZ114" s="547"/>
      <c r="BG114" s="93"/>
      <c r="BH114" s="93"/>
      <c r="BI114" s="93"/>
      <c r="BJ114" s="204">
        <v>55</v>
      </c>
      <c r="BK114" s="164">
        <v>0</v>
      </c>
      <c r="BL114" s="165">
        <v>62.48</v>
      </c>
      <c r="BM114" s="165">
        <v>87.56</v>
      </c>
      <c r="BN114" s="165">
        <v>123.36</v>
      </c>
      <c r="BO114" s="165">
        <v>125.53</v>
      </c>
      <c r="BP114" s="165">
        <v>130.27000000000001</v>
      </c>
      <c r="BQ114" s="165">
        <v>109.37</v>
      </c>
      <c r="BR114" s="165">
        <v>131.49</v>
      </c>
      <c r="BS114" s="165">
        <v>189.38</v>
      </c>
      <c r="BT114" s="165">
        <v>264.17</v>
      </c>
      <c r="BU114" s="165">
        <v>282.13</v>
      </c>
      <c r="BV114" s="165">
        <v>130.27000000000001</v>
      </c>
      <c r="BW114" s="165">
        <v>109.37</v>
      </c>
      <c r="BX114" s="165">
        <v>131.49</v>
      </c>
      <c r="BY114" s="165">
        <v>189.38</v>
      </c>
      <c r="BZ114" s="165">
        <v>264.17</v>
      </c>
      <c r="CA114" s="165">
        <v>282.13</v>
      </c>
      <c r="CB114" s="204"/>
      <c r="CC114" s="126"/>
      <c r="CD114" s="126"/>
      <c r="CE114" s="143"/>
      <c r="CG114" s="184" t="s">
        <v>412</v>
      </c>
      <c r="CH114" s="185">
        <v>8</v>
      </c>
      <c r="CI114" s="157">
        <v>0</v>
      </c>
      <c r="CJ114" s="158">
        <v>1.62</v>
      </c>
      <c r="CK114" s="159">
        <v>2.2999999999999998</v>
      </c>
      <c r="CL114" s="159">
        <v>3.61</v>
      </c>
      <c r="CM114" s="160">
        <v>3.66</v>
      </c>
      <c r="CN114" s="158">
        <v>3.66</v>
      </c>
      <c r="CO114" s="159">
        <v>2.98</v>
      </c>
      <c r="CP114" s="159">
        <v>3.66</v>
      </c>
      <c r="CQ114" s="159">
        <v>5.41</v>
      </c>
      <c r="CR114" s="159">
        <v>7.9</v>
      </c>
      <c r="CS114" s="160">
        <v>8.4600000000000009</v>
      </c>
      <c r="CT114" s="161">
        <v>3.66</v>
      </c>
      <c r="CU114" s="159">
        <v>2.98</v>
      </c>
      <c r="CV114" s="159">
        <v>3.66</v>
      </c>
      <c r="CW114" s="159">
        <v>5.41</v>
      </c>
      <c r="CX114" s="159">
        <v>7.9</v>
      </c>
      <c r="CY114" s="160">
        <v>8.4600000000000009</v>
      </c>
      <c r="CZ114" s="186"/>
    </row>
    <row r="115" spans="1:105">
      <c r="A115" s="107"/>
      <c r="B115" s="107"/>
      <c r="C115" s="107"/>
      <c r="D115" s="107"/>
      <c r="E115" s="548"/>
      <c r="F115" s="549"/>
      <c r="G115" s="549"/>
      <c r="H115" s="550"/>
      <c r="I115" s="540"/>
      <c r="J115" s="541"/>
      <c r="K115" s="541"/>
      <c r="L115" s="542"/>
      <c r="M115" s="540"/>
      <c r="N115" s="541"/>
      <c r="O115" s="541"/>
      <c r="P115" s="542"/>
      <c r="Q115" s="540"/>
      <c r="R115" s="541"/>
      <c r="S115" s="541"/>
      <c r="T115" s="542"/>
      <c r="U115" s="540"/>
      <c r="V115" s="541"/>
      <c r="W115" s="541"/>
      <c r="X115" s="542"/>
      <c r="Y115" s="540"/>
      <c r="Z115" s="541"/>
      <c r="AA115" s="541"/>
      <c r="AB115" s="542"/>
      <c r="AC115" s="540"/>
      <c r="AD115" s="541"/>
      <c r="AE115" s="541"/>
      <c r="AF115" s="542"/>
      <c r="AG115" s="540"/>
      <c r="AH115" s="541"/>
      <c r="AI115" s="541"/>
      <c r="AJ115" s="542"/>
      <c r="AK115" s="540"/>
      <c r="AL115" s="541"/>
      <c r="AM115" s="541"/>
      <c r="AN115" s="542"/>
      <c r="AO115" s="540"/>
      <c r="AP115" s="541"/>
      <c r="AQ115" s="541"/>
      <c r="AR115" s="542"/>
      <c r="AS115" s="540"/>
      <c r="AT115" s="541"/>
      <c r="AU115" s="541"/>
      <c r="AV115" s="542"/>
      <c r="AW115" s="540"/>
      <c r="AX115" s="541"/>
      <c r="AY115" s="541"/>
      <c r="AZ115" s="542"/>
      <c r="BG115" s="93"/>
      <c r="BH115" s="93"/>
      <c r="BI115" s="93"/>
      <c r="BJ115" s="204">
        <v>56</v>
      </c>
      <c r="BK115" s="164">
        <v>0</v>
      </c>
      <c r="BL115" s="165">
        <v>63.44</v>
      </c>
      <c r="BM115" s="165">
        <v>88.96</v>
      </c>
      <c r="BN115" s="165">
        <v>125.41</v>
      </c>
      <c r="BO115" s="165">
        <v>127.62</v>
      </c>
      <c r="BP115" s="165">
        <v>132.51</v>
      </c>
      <c r="BQ115" s="165">
        <v>111.27</v>
      </c>
      <c r="BR115" s="165">
        <v>133.76</v>
      </c>
      <c r="BS115" s="165">
        <v>192.95</v>
      </c>
      <c r="BT115" s="165">
        <v>269.36</v>
      </c>
      <c r="BU115" s="165">
        <v>287.58999999999997</v>
      </c>
      <c r="BV115" s="165">
        <v>132.51</v>
      </c>
      <c r="BW115" s="165">
        <v>111.27</v>
      </c>
      <c r="BX115" s="165">
        <v>133.76</v>
      </c>
      <c r="BY115" s="165">
        <v>192.95</v>
      </c>
      <c r="BZ115" s="165">
        <v>269.36</v>
      </c>
      <c r="CA115" s="165">
        <v>287.58999999999997</v>
      </c>
      <c r="CB115" s="204"/>
      <c r="CC115" s="126"/>
      <c r="CD115" s="126"/>
      <c r="CE115" s="143"/>
      <c r="CG115" s="166" t="s">
        <v>413</v>
      </c>
      <c r="CH115" s="167">
        <v>9</v>
      </c>
      <c r="CI115" s="157">
        <v>0</v>
      </c>
      <c r="CJ115" s="158">
        <v>4</v>
      </c>
      <c r="CK115" s="159">
        <v>5.86</v>
      </c>
      <c r="CL115" s="159">
        <v>8.56</v>
      </c>
      <c r="CM115" s="160">
        <v>8.7100000000000009</v>
      </c>
      <c r="CN115" s="158">
        <v>9.33</v>
      </c>
      <c r="CO115" s="159">
        <v>7.9</v>
      </c>
      <c r="CP115" s="159">
        <v>9.4600000000000009</v>
      </c>
      <c r="CQ115" s="159">
        <v>14.89</v>
      </c>
      <c r="CR115" s="159">
        <v>21.62</v>
      </c>
      <c r="CS115" s="160">
        <v>22.75</v>
      </c>
      <c r="CT115" s="161">
        <v>9.33</v>
      </c>
      <c r="CU115" s="159">
        <v>7.9</v>
      </c>
      <c r="CV115" s="159">
        <v>9.4600000000000009</v>
      </c>
      <c r="CW115" s="159">
        <v>14.89</v>
      </c>
      <c r="CX115" s="159">
        <v>21.62</v>
      </c>
      <c r="CY115" s="160">
        <v>22.75</v>
      </c>
      <c r="CZ115" s="168"/>
      <c r="DA115" s="187" t="s">
        <v>414</v>
      </c>
    </row>
    <row r="116" spans="1:105">
      <c r="A116" s="107"/>
      <c r="B116" s="107"/>
      <c r="C116" s="107"/>
      <c r="D116" s="107"/>
      <c r="E116" s="551"/>
      <c r="F116" s="552"/>
      <c r="G116" s="552"/>
      <c r="H116" s="553"/>
      <c r="I116" s="545"/>
      <c r="J116" s="546"/>
      <c r="K116" s="546"/>
      <c r="L116" s="547"/>
      <c r="M116" s="545"/>
      <c r="N116" s="546"/>
      <c r="O116" s="546"/>
      <c r="P116" s="547"/>
      <c r="Q116" s="545"/>
      <c r="R116" s="546"/>
      <c r="S116" s="546"/>
      <c r="T116" s="547"/>
      <c r="U116" s="545"/>
      <c r="V116" s="546"/>
      <c r="W116" s="546"/>
      <c r="X116" s="547"/>
      <c r="Y116" s="545"/>
      <c r="Z116" s="546"/>
      <c r="AA116" s="546"/>
      <c r="AB116" s="547"/>
      <c r="AC116" s="545"/>
      <c r="AD116" s="546"/>
      <c r="AE116" s="546"/>
      <c r="AF116" s="547"/>
      <c r="AG116" s="545"/>
      <c r="AH116" s="546"/>
      <c r="AI116" s="546"/>
      <c r="AJ116" s="547"/>
      <c r="AK116" s="545"/>
      <c r="AL116" s="546"/>
      <c r="AM116" s="546"/>
      <c r="AN116" s="547"/>
      <c r="AO116" s="545"/>
      <c r="AP116" s="546"/>
      <c r="AQ116" s="546"/>
      <c r="AR116" s="547"/>
      <c r="AS116" s="545"/>
      <c r="AT116" s="546"/>
      <c r="AU116" s="546"/>
      <c r="AV116" s="547"/>
      <c r="AW116" s="545"/>
      <c r="AX116" s="546"/>
      <c r="AY116" s="546"/>
      <c r="AZ116" s="547"/>
      <c r="BG116" s="93"/>
      <c r="BH116" s="93"/>
      <c r="BI116" s="93"/>
      <c r="BJ116" s="204">
        <v>57</v>
      </c>
      <c r="BK116" s="164">
        <v>0</v>
      </c>
      <c r="BL116" s="165">
        <v>64.400000000000006</v>
      </c>
      <c r="BM116" s="165">
        <v>90.37</v>
      </c>
      <c r="BN116" s="165">
        <v>127.47</v>
      </c>
      <c r="BO116" s="165">
        <v>129.71</v>
      </c>
      <c r="BP116" s="165">
        <v>134.75</v>
      </c>
      <c r="BQ116" s="165">
        <v>113.16</v>
      </c>
      <c r="BR116" s="165">
        <v>136.03</v>
      </c>
      <c r="BS116" s="165">
        <v>196.52</v>
      </c>
      <c r="BT116" s="165">
        <v>274.55</v>
      </c>
      <c r="BU116" s="165">
        <v>293.05</v>
      </c>
      <c r="BV116" s="165">
        <v>134.75</v>
      </c>
      <c r="BW116" s="165">
        <v>113.16</v>
      </c>
      <c r="BX116" s="165">
        <v>136.03</v>
      </c>
      <c r="BY116" s="165">
        <v>196.52</v>
      </c>
      <c r="BZ116" s="165">
        <v>274.55</v>
      </c>
      <c r="CA116" s="165">
        <v>293.05</v>
      </c>
      <c r="CB116" s="204"/>
      <c r="CC116" s="126"/>
      <c r="CD116" s="126"/>
      <c r="CE116" s="143"/>
      <c r="CG116" s="188" t="s">
        <v>415</v>
      </c>
      <c r="CH116" s="189">
        <v>10</v>
      </c>
      <c r="CI116" s="157">
        <v>0</v>
      </c>
      <c r="CJ116" s="158">
        <v>4.8600000000000003</v>
      </c>
      <c r="CK116" s="159">
        <v>7.33</v>
      </c>
      <c r="CL116" s="159">
        <v>10.18</v>
      </c>
      <c r="CM116" s="160">
        <v>10.18</v>
      </c>
      <c r="CN116" s="158">
        <v>10.93</v>
      </c>
      <c r="CO116" s="159">
        <v>9.07</v>
      </c>
      <c r="CP116" s="159">
        <v>11.08</v>
      </c>
      <c r="CQ116" s="159">
        <v>17.23</v>
      </c>
      <c r="CR116" s="159">
        <v>24.62</v>
      </c>
      <c r="CS116" s="160">
        <v>25.86</v>
      </c>
      <c r="CT116" s="161">
        <v>10.93</v>
      </c>
      <c r="CU116" s="159">
        <v>9.07</v>
      </c>
      <c r="CV116" s="159">
        <v>11.08</v>
      </c>
      <c r="CW116" s="159">
        <v>17.23</v>
      </c>
      <c r="CX116" s="159">
        <v>24.62</v>
      </c>
      <c r="CY116" s="160">
        <v>25.86</v>
      </c>
      <c r="CZ116" s="190"/>
      <c r="DA116" s="187" t="s">
        <v>414</v>
      </c>
    </row>
    <row r="117" spans="1:105" ht="16" thickBot="1">
      <c r="A117" s="107"/>
      <c r="B117" s="107"/>
      <c r="C117" s="107"/>
      <c r="D117" s="107"/>
      <c r="E117" s="548"/>
      <c r="F117" s="549"/>
      <c r="G117" s="549"/>
      <c r="H117" s="550"/>
      <c r="I117" s="540"/>
      <c r="J117" s="541"/>
      <c r="K117" s="541"/>
      <c r="L117" s="542"/>
      <c r="M117" s="540"/>
      <c r="N117" s="541"/>
      <c r="O117" s="541"/>
      <c r="P117" s="542"/>
      <c r="Q117" s="540"/>
      <c r="R117" s="541"/>
      <c r="S117" s="541"/>
      <c r="T117" s="542"/>
      <c r="U117" s="540"/>
      <c r="V117" s="541"/>
      <c r="W117" s="541"/>
      <c r="X117" s="542"/>
      <c r="Y117" s="540"/>
      <c r="Z117" s="541"/>
      <c r="AA117" s="541"/>
      <c r="AB117" s="542"/>
      <c r="AC117" s="540"/>
      <c r="AD117" s="541"/>
      <c r="AE117" s="541"/>
      <c r="AF117" s="542"/>
      <c r="AG117" s="540"/>
      <c r="AH117" s="541"/>
      <c r="AI117" s="541"/>
      <c r="AJ117" s="542"/>
      <c r="AK117" s="540"/>
      <c r="AL117" s="541"/>
      <c r="AM117" s="541"/>
      <c r="AN117" s="542"/>
      <c r="AO117" s="540"/>
      <c r="AP117" s="541"/>
      <c r="AQ117" s="541"/>
      <c r="AR117" s="542"/>
      <c r="AS117" s="540"/>
      <c r="AT117" s="541"/>
      <c r="AU117" s="541"/>
      <c r="AV117" s="542"/>
      <c r="AW117" s="540"/>
      <c r="AX117" s="541"/>
      <c r="AY117" s="541"/>
      <c r="AZ117" s="542"/>
      <c r="BG117" s="93"/>
      <c r="BH117" s="93"/>
      <c r="BI117" s="93"/>
      <c r="BJ117" s="204">
        <v>58</v>
      </c>
      <c r="BK117" s="164">
        <v>0</v>
      </c>
      <c r="BL117" s="165">
        <v>65.36</v>
      </c>
      <c r="BM117" s="165">
        <v>91.78</v>
      </c>
      <c r="BN117" s="165">
        <v>129.52000000000001</v>
      </c>
      <c r="BO117" s="165">
        <v>131.80000000000001</v>
      </c>
      <c r="BP117" s="165">
        <v>136.97999999999999</v>
      </c>
      <c r="BQ117" s="165">
        <v>115.06</v>
      </c>
      <c r="BR117" s="165">
        <v>138.30000000000001</v>
      </c>
      <c r="BS117" s="165">
        <v>200.1</v>
      </c>
      <c r="BT117" s="165">
        <v>279.73</v>
      </c>
      <c r="BU117" s="165">
        <v>298.51</v>
      </c>
      <c r="BV117" s="165">
        <v>136.97999999999999</v>
      </c>
      <c r="BW117" s="165">
        <v>115.06</v>
      </c>
      <c r="BX117" s="165">
        <v>138.30000000000001</v>
      </c>
      <c r="BY117" s="165">
        <v>200.1</v>
      </c>
      <c r="BZ117" s="165">
        <v>279.73</v>
      </c>
      <c r="CA117" s="165">
        <v>298.51</v>
      </c>
      <c r="CB117" s="204"/>
      <c r="CC117" s="126"/>
      <c r="CD117" s="126"/>
      <c r="CE117" s="143"/>
      <c r="CG117" s="191" t="s">
        <v>416</v>
      </c>
      <c r="CH117" s="192">
        <v>11</v>
      </c>
      <c r="CI117" s="193">
        <v>0</v>
      </c>
      <c r="CJ117" s="194">
        <v>5.09</v>
      </c>
      <c r="CK117" s="195">
        <v>7.69</v>
      </c>
      <c r="CL117" s="195">
        <v>10.69</v>
      </c>
      <c r="CM117" s="196">
        <v>10.69</v>
      </c>
      <c r="CN117" s="194">
        <v>11.46</v>
      </c>
      <c r="CO117" s="195">
        <v>10.52</v>
      </c>
      <c r="CP117" s="195">
        <v>11.63</v>
      </c>
      <c r="CQ117" s="195">
        <v>19.7</v>
      </c>
      <c r="CR117" s="195">
        <v>25.82</v>
      </c>
      <c r="CS117" s="196">
        <v>27.11</v>
      </c>
      <c r="CT117" s="197">
        <v>11.46</v>
      </c>
      <c r="CU117" s="195">
        <v>10.52</v>
      </c>
      <c r="CV117" s="195">
        <v>11.63</v>
      </c>
      <c r="CW117" s="195">
        <v>19.7</v>
      </c>
      <c r="CX117" s="195">
        <v>25.82</v>
      </c>
      <c r="CY117" s="196">
        <v>27.11</v>
      </c>
      <c r="CZ117" s="198"/>
      <c r="DA117" s="187" t="s">
        <v>414</v>
      </c>
    </row>
    <row r="118" spans="1:105" ht="16" thickBot="1">
      <c r="A118" s="107"/>
      <c r="B118" s="107"/>
      <c r="C118" s="107"/>
      <c r="D118" s="107"/>
      <c r="E118" s="551"/>
      <c r="F118" s="552"/>
      <c r="G118" s="552"/>
      <c r="H118" s="553"/>
      <c r="I118" s="545"/>
      <c r="J118" s="546"/>
      <c r="K118" s="546"/>
      <c r="L118" s="547"/>
      <c r="M118" s="545"/>
      <c r="N118" s="546"/>
      <c r="O118" s="546"/>
      <c r="P118" s="547"/>
      <c r="Q118" s="545"/>
      <c r="R118" s="546"/>
      <c r="S118" s="546"/>
      <c r="T118" s="547"/>
      <c r="U118" s="545"/>
      <c r="V118" s="546"/>
      <c r="W118" s="546"/>
      <c r="X118" s="547"/>
      <c r="Y118" s="545"/>
      <c r="Z118" s="546"/>
      <c r="AA118" s="546"/>
      <c r="AB118" s="547"/>
      <c r="AC118" s="545"/>
      <c r="AD118" s="546"/>
      <c r="AE118" s="546"/>
      <c r="AF118" s="547"/>
      <c r="AG118" s="545"/>
      <c r="AH118" s="546"/>
      <c r="AI118" s="546"/>
      <c r="AJ118" s="547"/>
      <c r="AK118" s="545"/>
      <c r="AL118" s="546"/>
      <c r="AM118" s="546"/>
      <c r="AN118" s="547"/>
      <c r="AO118" s="545"/>
      <c r="AP118" s="546"/>
      <c r="AQ118" s="546"/>
      <c r="AR118" s="547"/>
      <c r="AS118" s="545"/>
      <c r="AT118" s="546"/>
      <c r="AU118" s="546"/>
      <c r="AV118" s="547"/>
      <c r="AW118" s="545"/>
      <c r="AX118" s="546"/>
      <c r="AY118" s="546"/>
      <c r="AZ118" s="547"/>
      <c r="BG118" s="93"/>
      <c r="BH118" s="93"/>
      <c r="BI118" s="93"/>
      <c r="BJ118" s="204">
        <v>59</v>
      </c>
      <c r="BK118" s="164">
        <v>0</v>
      </c>
      <c r="BL118" s="165">
        <v>66.319999999999993</v>
      </c>
      <c r="BM118" s="165">
        <v>93.18</v>
      </c>
      <c r="BN118" s="165">
        <v>131.58000000000001</v>
      </c>
      <c r="BO118" s="165">
        <v>133.88999999999999</v>
      </c>
      <c r="BP118" s="165">
        <v>139.22</v>
      </c>
      <c r="BQ118" s="165">
        <v>116.96</v>
      </c>
      <c r="BR118" s="165">
        <v>140.58000000000001</v>
      </c>
      <c r="BS118" s="165">
        <v>203.67</v>
      </c>
      <c r="BT118" s="165">
        <v>284.92</v>
      </c>
      <c r="BU118" s="165">
        <v>303.97000000000003</v>
      </c>
      <c r="BV118" s="165">
        <v>139.22</v>
      </c>
      <c r="BW118" s="165">
        <v>116.96</v>
      </c>
      <c r="BX118" s="165">
        <v>140.58000000000001</v>
      </c>
      <c r="BY118" s="165">
        <v>203.67</v>
      </c>
      <c r="BZ118" s="165">
        <v>284.92</v>
      </c>
      <c r="CA118" s="165">
        <v>303.97000000000003</v>
      </c>
      <c r="CB118" s="204"/>
      <c r="CC118" s="126"/>
      <c r="CD118" s="126"/>
      <c r="CE118" s="143"/>
    </row>
    <row r="119" spans="1:105" ht="17" thickBot="1">
      <c r="A119" s="107"/>
      <c r="B119" s="107"/>
      <c r="C119" s="107"/>
      <c r="D119" s="107"/>
      <c r="E119" s="548"/>
      <c r="F119" s="549"/>
      <c r="G119" s="549"/>
      <c r="H119" s="550"/>
      <c r="I119" s="540"/>
      <c r="J119" s="541"/>
      <c r="K119" s="541"/>
      <c r="L119" s="542"/>
      <c r="M119" s="540"/>
      <c r="N119" s="541"/>
      <c r="O119" s="541"/>
      <c r="P119" s="542"/>
      <c r="Q119" s="540"/>
      <c r="R119" s="541"/>
      <c r="S119" s="541"/>
      <c r="T119" s="542"/>
      <c r="U119" s="540"/>
      <c r="V119" s="541"/>
      <c r="W119" s="541"/>
      <c r="X119" s="542"/>
      <c r="Y119" s="540"/>
      <c r="Z119" s="541"/>
      <c r="AA119" s="541"/>
      <c r="AB119" s="542"/>
      <c r="AC119" s="540"/>
      <c r="AD119" s="541"/>
      <c r="AE119" s="541"/>
      <c r="AF119" s="542"/>
      <c r="AG119" s="540"/>
      <c r="AH119" s="541"/>
      <c r="AI119" s="541"/>
      <c r="AJ119" s="542"/>
      <c r="AK119" s="540"/>
      <c r="AL119" s="541"/>
      <c r="AM119" s="541"/>
      <c r="AN119" s="542"/>
      <c r="AO119" s="540"/>
      <c r="AP119" s="541"/>
      <c r="AQ119" s="541"/>
      <c r="AR119" s="542"/>
      <c r="AS119" s="540"/>
      <c r="AT119" s="541"/>
      <c r="AU119" s="541"/>
      <c r="AV119" s="542"/>
      <c r="AW119" s="540"/>
      <c r="AX119" s="541"/>
      <c r="AY119" s="541"/>
      <c r="AZ119" s="542"/>
      <c r="BG119" s="93"/>
      <c r="BH119" s="93"/>
      <c r="BI119" s="93"/>
      <c r="BJ119" s="204">
        <v>60</v>
      </c>
      <c r="BK119" s="164">
        <v>0</v>
      </c>
      <c r="BL119" s="165">
        <v>67.28</v>
      </c>
      <c r="BM119" s="165">
        <v>94.59</v>
      </c>
      <c r="BN119" s="165">
        <v>133.63</v>
      </c>
      <c r="BO119" s="165">
        <v>135.97999999999999</v>
      </c>
      <c r="BP119" s="165">
        <v>141.46</v>
      </c>
      <c r="BQ119" s="165">
        <v>118.85</v>
      </c>
      <c r="BR119" s="165">
        <v>142.85</v>
      </c>
      <c r="BS119" s="165">
        <v>207.24</v>
      </c>
      <c r="BT119" s="165">
        <v>290.11</v>
      </c>
      <c r="BU119" s="165">
        <v>309.43</v>
      </c>
      <c r="BV119" s="165">
        <v>141.46</v>
      </c>
      <c r="BW119" s="165">
        <v>118.85</v>
      </c>
      <c r="BX119" s="165">
        <v>142.85</v>
      </c>
      <c r="BY119" s="165">
        <v>207.24</v>
      </c>
      <c r="BZ119" s="165">
        <v>290.11</v>
      </c>
      <c r="CA119" s="165">
        <v>309.43</v>
      </c>
      <c r="CB119" s="204"/>
      <c r="CC119" s="126"/>
      <c r="CD119" s="126"/>
      <c r="CE119" s="143"/>
      <c r="CG119" s="129" t="s">
        <v>429</v>
      </c>
      <c r="CH119" s="130" t="s">
        <v>430</v>
      </c>
      <c r="CI119" s="131">
        <v>0</v>
      </c>
      <c r="CJ119" s="132">
        <v>1</v>
      </c>
      <c r="CK119" s="133">
        <v>2</v>
      </c>
      <c r="CL119" s="133">
        <v>3</v>
      </c>
      <c r="CM119" s="134">
        <v>4</v>
      </c>
      <c r="CN119" s="132">
        <v>5</v>
      </c>
      <c r="CO119" s="133">
        <v>6</v>
      </c>
      <c r="CP119" s="133">
        <v>7</v>
      </c>
      <c r="CQ119" s="133">
        <v>8</v>
      </c>
      <c r="CR119" s="133">
        <v>9</v>
      </c>
      <c r="CS119" s="134">
        <v>10</v>
      </c>
      <c r="CT119" s="135">
        <v>5</v>
      </c>
      <c r="CU119" s="133">
        <v>6</v>
      </c>
      <c r="CV119" s="133">
        <v>7</v>
      </c>
      <c r="CW119" s="133">
        <v>8</v>
      </c>
      <c r="CX119" s="133">
        <v>9</v>
      </c>
      <c r="CY119" s="134">
        <v>10</v>
      </c>
      <c r="CZ119" s="136"/>
    </row>
    <row r="120" spans="1:105">
      <c r="A120" s="107"/>
      <c r="B120" s="107"/>
      <c r="C120" s="107"/>
      <c r="D120" s="107"/>
      <c r="E120" s="551"/>
      <c r="F120" s="552"/>
      <c r="G120" s="552"/>
      <c r="H120" s="553"/>
      <c r="I120" s="545"/>
      <c r="J120" s="546"/>
      <c r="K120" s="546"/>
      <c r="L120" s="547"/>
      <c r="M120" s="545"/>
      <c r="N120" s="546"/>
      <c r="O120" s="546"/>
      <c r="P120" s="547"/>
      <c r="Q120" s="545"/>
      <c r="R120" s="546"/>
      <c r="S120" s="546"/>
      <c r="T120" s="547"/>
      <c r="U120" s="545"/>
      <c r="V120" s="546"/>
      <c r="W120" s="546"/>
      <c r="X120" s="547"/>
      <c r="Y120" s="545"/>
      <c r="Z120" s="546"/>
      <c r="AA120" s="546"/>
      <c r="AB120" s="547"/>
      <c r="AC120" s="545"/>
      <c r="AD120" s="546"/>
      <c r="AE120" s="546"/>
      <c r="AF120" s="547"/>
      <c r="AG120" s="545"/>
      <c r="AH120" s="546"/>
      <c r="AI120" s="546"/>
      <c r="AJ120" s="547"/>
      <c r="AK120" s="545"/>
      <c r="AL120" s="546"/>
      <c r="AM120" s="546"/>
      <c r="AN120" s="547"/>
      <c r="AO120" s="545"/>
      <c r="AP120" s="546"/>
      <c r="AQ120" s="546"/>
      <c r="AR120" s="547"/>
      <c r="AS120" s="545"/>
      <c r="AT120" s="546"/>
      <c r="AU120" s="546"/>
      <c r="AV120" s="547"/>
      <c r="AW120" s="545"/>
      <c r="AX120" s="546"/>
      <c r="AY120" s="546"/>
      <c r="AZ120" s="547"/>
      <c r="BG120" s="93"/>
      <c r="BH120" s="93"/>
      <c r="BI120" s="93"/>
      <c r="BJ120" s="204">
        <v>61</v>
      </c>
      <c r="BK120" s="164">
        <v>0</v>
      </c>
      <c r="BL120" s="165">
        <v>68.239999999999995</v>
      </c>
      <c r="BM120" s="165">
        <v>96</v>
      </c>
      <c r="BN120" s="165">
        <v>135.69</v>
      </c>
      <c r="BO120" s="165">
        <v>138.07</v>
      </c>
      <c r="BP120" s="165">
        <v>143.69999999999999</v>
      </c>
      <c r="BQ120" s="165">
        <v>120.75</v>
      </c>
      <c r="BR120" s="165">
        <v>145.12</v>
      </c>
      <c r="BS120" s="165">
        <v>210.82</v>
      </c>
      <c r="BT120" s="165">
        <v>295.3</v>
      </c>
      <c r="BU120" s="165">
        <v>314.89</v>
      </c>
      <c r="BV120" s="165">
        <v>143.69999999999999</v>
      </c>
      <c r="BW120" s="165">
        <v>120.75</v>
      </c>
      <c r="BX120" s="165">
        <v>145.12</v>
      </c>
      <c r="BY120" s="165">
        <v>210.82</v>
      </c>
      <c r="BZ120" s="165">
        <v>295.3</v>
      </c>
      <c r="CA120" s="165">
        <v>314.89</v>
      </c>
      <c r="CB120" s="204"/>
      <c r="CC120" s="126"/>
      <c r="CD120" s="126"/>
      <c r="CE120" s="143"/>
      <c r="CG120" s="144" t="s">
        <v>406</v>
      </c>
      <c r="CH120" s="145">
        <v>1</v>
      </c>
      <c r="CI120" s="146">
        <v>0</v>
      </c>
      <c r="CJ120" s="147">
        <v>42.86</v>
      </c>
      <c r="CK120" s="148">
        <v>47.87</v>
      </c>
      <c r="CL120" s="148">
        <v>57.02</v>
      </c>
      <c r="CM120" s="149">
        <v>58.07</v>
      </c>
      <c r="CN120" s="147">
        <v>58.13</v>
      </c>
      <c r="CO120" s="148">
        <v>41.73</v>
      </c>
      <c r="CP120" s="148">
        <v>59.13</v>
      </c>
      <c r="CQ120" s="148">
        <v>62.73</v>
      </c>
      <c r="CR120" s="148">
        <v>75.099999999999994</v>
      </c>
      <c r="CS120" s="149">
        <v>92.46</v>
      </c>
      <c r="CT120" s="150">
        <v>69.7</v>
      </c>
      <c r="CU120" s="148">
        <v>55.38</v>
      </c>
      <c r="CV120" s="148">
        <v>70.260000000000005</v>
      </c>
      <c r="CW120" s="148">
        <v>80.89</v>
      </c>
      <c r="CX120" s="148">
        <v>94.42</v>
      </c>
      <c r="CY120" s="149">
        <v>105.38</v>
      </c>
      <c r="CZ120" s="151"/>
    </row>
    <row r="121" spans="1:105">
      <c r="A121" s="107"/>
      <c r="B121" s="107"/>
      <c r="C121" s="107"/>
      <c r="D121" s="107"/>
      <c r="E121" s="548"/>
      <c r="F121" s="549"/>
      <c r="G121" s="549"/>
      <c r="H121" s="550"/>
      <c r="I121" s="540"/>
      <c r="J121" s="541"/>
      <c r="K121" s="541"/>
      <c r="L121" s="542"/>
      <c r="M121" s="540"/>
      <c r="N121" s="541"/>
      <c r="O121" s="541"/>
      <c r="P121" s="542"/>
      <c r="Q121" s="540"/>
      <c r="R121" s="541"/>
      <c r="S121" s="541"/>
      <c r="T121" s="542"/>
      <c r="U121" s="540"/>
      <c r="V121" s="541"/>
      <c r="W121" s="541"/>
      <c r="X121" s="542"/>
      <c r="Y121" s="540"/>
      <c r="Z121" s="541"/>
      <c r="AA121" s="541"/>
      <c r="AB121" s="542"/>
      <c r="AC121" s="540"/>
      <c r="AD121" s="541"/>
      <c r="AE121" s="541"/>
      <c r="AF121" s="542"/>
      <c r="AG121" s="540"/>
      <c r="AH121" s="541"/>
      <c r="AI121" s="541"/>
      <c r="AJ121" s="542"/>
      <c r="AK121" s="540"/>
      <c r="AL121" s="541"/>
      <c r="AM121" s="541"/>
      <c r="AN121" s="542"/>
      <c r="AO121" s="540"/>
      <c r="AP121" s="541"/>
      <c r="AQ121" s="541"/>
      <c r="AR121" s="542"/>
      <c r="AS121" s="540"/>
      <c r="AT121" s="541"/>
      <c r="AU121" s="541"/>
      <c r="AV121" s="542"/>
      <c r="AW121" s="540"/>
      <c r="AX121" s="541"/>
      <c r="AY121" s="541"/>
      <c r="AZ121" s="542"/>
      <c r="BG121" s="93"/>
      <c r="BH121" s="93"/>
      <c r="BI121" s="93"/>
      <c r="BJ121" s="204">
        <v>62</v>
      </c>
      <c r="BK121" s="164">
        <v>0</v>
      </c>
      <c r="BL121" s="165">
        <v>69.2</v>
      </c>
      <c r="BM121" s="165">
        <v>97.4</v>
      </c>
      <c r="BN121" s="165">
        <v>137.74</v>
      </c>
      <c r="BO121" s="165">
        <v>140.16</v>
      </c>
      <c r="BP121" s="165">
        <v>145.94</v>
      </c>
      <c r="BQ121" s="165">
        <v>122.64</v>
      </c>
      <c r="BR121" s="165">
        <v>147.38999999999999</v>
      </c>
      <c r="BS121" s="165">
        <v>214.39</v>
      </c>
      <c r="BT121" s="165">
        <v>300.49</v>
      </c>
      <c r="BU121" s="165">
        <v>320.35000000000002</v>
      </c>
      <c r="BV121" s="165">
        <v>145.94</v>
      </c>
      <c r="BW121" s="165">
        <v>122.64</v>
      </c>
      <c r="BX121" s="165">
        <v>147.38999999999999</v>
      </c>
      <c r="BY121" s="165">
        <v>214.39</v>
      </c>
      <c r="BZ121" s="165">
        <v>300.49</v>
      </c>
      <c r="CA121" s="165">
        <v>320.35000000000002</v>
      </c>
      <c r="CB121" s="204"/>
      <c r="CC121" s="126"/>
      <c r="CD121" s="126"/>
      <c r="CE121" s="143"/>
      <c r="CG121" s="155" t="s">
        <v>407</v>
      </c>
      <c r="CH121" s="156">
        <v>2</v>
      </c>
      <c r="CI121" s="157">
        <v>0</v>
      </c>
      <c r="CJ121" s="158">
        <v>0</v>
      </c>
      <c r="CK121" s="159">
        <v>0</v>
      </c>
      <c r="CL121" s="159">
        <v>0</v>
      </c>
      <c r="CM121" s="160">
        <v>0</v>
      </c>
      <c r="CN121" s="158">
        <v>0</v>
      </c>
      <c r="CO121" s="159">
        <v>0</v>
      </c>
      <c r="CP121" s="159">
        <v>0</v>
      </c>
      <c r="CQ121" s="159">
        <v>0</v>
      </c>
      <c r="CR121" s="159">
        <v>0</v>
      </c>
      <c r="CS121" s="160">
        <v>0</v>
      </c>
      <c r="CT121" s="161">
        <v>0</v>
      </c>
      <c r="CU121" s="159">
        <v>0</v>
      </c>
      <c r="CV121" s="159">
        <v>0</v>
      </c>
      <c r="CW121" s="159">
        <v>0</v>
      </c>
      <c r="CX121" s="159">
        <v>0</v>
      </c>
      <c r="CY121" s="160">
        <v>0</v>
      </c>
      <c r="CZ121" s="162"/>
    </row>
    <row r="122" spans="1:105">
      <c r="A122" s="107"/>
      <c r="B122" s="107"/>
      <c r="C122" s="107"/>
      <c r="D122" s="107"/>
      <c r="E122" s="551"/>
      <c r="F122" s="552"/>
      <c r="G122" s="552"/>
      <c r="H122" s="553"/>
      <c r="I122" s="545"/>
      <c r="J122" s="546"/>
      <c r="K122" s="546"/>
      <c r="L122" s="547"/>
      <c r="M122" s="545"/>
      <c r="N122" s="546"/>
      <c r="O122" s="546"/>
      <c r="P122" s="547"/>
      <c r="Q122" s="545"/>
      <c r="R122" s="546"/>
      <c r="S122" s="546"/>
      <c r="T122" s="547"/>
      <c r="U122" s="545"/>
      <c r="V122" s="546"/>
      <c r="W122" s="546"/>
      <c r="X122" s="547"/>
      <c r="Y122" s="545"/>
      <c r="Z122" s="546"/>
      <c r="AA122" s="546"/>
      <c r="AB122" s="547"/>
      <c r="AC122" s="545"/>
      <c r="AD122" s="546"/>
      <c r="AE122" s="546"/>
      <c r="AF122" s="547"/>
      <c r="AG122" s="545"/>
      <c r="AH122" s="546"/>
      <c r="AI122" s="546"/>
      <c r="AJ122" s="547"/>
      <c r="AK122" s="545"/>
      <c r="AL122" s="546"/>
      <c r="AM122" s="546"/>
      <c r="AN122" s="547"/>
      <c r="AO122" s="545"/>
      <c r="AP122" s="546"/>
      <c r="AQ122" s="546"/>
      <c r="AR122" s="547"/>
      <c r="AS122" s="545"/>
      <c r="AT122" s="546"/>
      <c r="AU122" s="546"/>
      <c r="AV122" s="547"/>
      <c r="AW122" s="545"/>
      <c r="AX122" s="546"/>
      <c r="AY122" s="546"/>
      <c r="AZ122" s="547"/>
      <c r="BG122" s="93"/>
      <c r="BH122" s="93"/>
      <c r="BI122" s="93"/>
      <c r="BJ122" s="204">
        <v>63</v>
      </c>
      <c r="BK122" s="164">
        <v>0</v>
      </c>
      <c r="BL122" s="165">
        <v>70.16</v>
      </c>
      <c r="BM122" s="165">
        <v>98.81</v>
      </c>
      <c r="BN122" s="165">
        <v>139.80000000000001</v>
      </c>
      <c r="BO122" s="165">
        <v>142.25</v>
      </c>
      <c r="BP122" s="165">
        <v>148.18</v>
      </c>
      <c r="BQ122" s="165">
        <v>124.54</v>
      </c>
      <c r="BR122" s="165">
        <v>149.66</v>
      </c>
      <c r="BS122" s="165">
        <v>217.97</v>
      </c>
      <c r="BT122" s="165">
        <v>305.68</v>
      </c>
      <c r="BU122" s="165">
        <v>325.81</v>
      </c>
      <c r="BV122" s="165">
        <v>148.18</v>
      </c>
      <c r="BW122" s="165">
        <v>124.54</v>
      </c>
      <c r="BX122" s="165">
        <v>149.66</v>
      </c>
      <c r="BY122" s="165">
        <v>217.97</v>
      </c>
      <c r="BZ122" s="165">
        <v>305.68</v>
      </c>
      <c r="CA122" s="165">
        <v>325.81</v>
      </c>
      <c r="CB122" s="204"/>
      <c r="CC122" s="126"/>
      <c r="CD122" s="126"/>
      <c r="CE122" s="143"/>
      <c r="CG122" s="166" t="s">
        <v>408</v>
      </c>
      <c r="CH122" s="167">
        <v>3</v>
      </c>
      <c r="CI122" s="157">
        <v>0</v>
      </c>
      <c r="CJ122" s="158">
        <v>0</v>
      </c>
      <c r="CK122" s="159">
        <v>0</v>
      </c>
      <c r="CL122" s="159">
        <v>0</v>
      </c>
      <c r="CM122" s="160">
        <v>0</v>
      </c>
      <c r="CN122" s="158">
        <v>0</v>
      </c>
      <c r="CO122" s="159">
        <v>0</v>
      </c>
      <c r="CP122" s="159">
        <v>0</v>
      </c>
      <c r="CQ122" s="159">
        <v>0</v>
      </c>
      <c r="CR122" s="159">
        <v>0</v>
      </c>
      <c r="CS122" s="160">
        <v>0</v>
      </c>
      <c r="CT122" s="161">
        <v>0</v>
      </c>
      <c r="CU122" s="159">
        <v>0</v>
      </c>
      <c r="CV122" s="159">
        <v>0</v>
      </c>
      <c r="CW122" s="159">
        <v>0</v>
      </c>
      <c r="CX122" s="159">
        <v>0</v>
      </c>
      <c r="CY122" s="160">
        <v>0</v>
      </c>
      <c r="CZ122" s="168"/>
    </row>
    <row r="123" spans="1:105">
      <c r="A123" s="107"/>
      <c r="B123" s="107"/>
      <c r="C123" s="107"/>
      <c r="D123" s="107"/>
      <c r="E123" s="548"/>
      <c r="F123" s="549"/>
      <c r="G123" s="549"/>
      <c r="H123" s="550"/>
      <c r="I123" s="540"/>
      <c r="J123" s="541"/>
      <c r="K123" s="541"/>
      <c r="L123" s="542"/>
      <c r="M123" s="540"/>
      <c r="N123" s="541"/>
      <c r="O123" s="541"/>
      <c r="P123" s="542"/>
      <c r="Q123" s="540"/>
      <c r="R123" s="541"/>
      <c r="S123" s="541"/>
      <c r="T123" s="542"/>
      <c r="U123" s="540"/>
      <c r="V123" s="541"/>
      <c r="W123" s="541"/>
      <c r="X123" s="542"/>
      <c r="Y123" s="540"/>
      <c r="Z123" s="541"/>
      <c r="AA123" s="541"/>
      <c r="AB123" s="542"/>
      <c r="AC123" s="540"/>
      <c r="AD123" s="541"/>
      <c r="AE123" s="541"/>
      <c r="AF123" s="542"/>
      <c r="AG123" s="540"/>
      <c r="AH123" s="541"/>
      <c r="AI123" s="541"/>
      <c r="AJ123" s="542"/>
      <c r="AK123" s="540"/>
      <c r="AL123" s="541"/>
      <c r="AM123" s="541"/>
      <c r="AN123" s="542"/>
      <c r="AO123" s="540"/>
      <c r="AP123" s="541"/>
      <c r="AQ123" s="541"/>
      <c r="AR123" s="542"/>
      <c r="AS123" s="540"/>
      <c r="AT123" s="541"/>
      <c r="AU123" s="541"/>
      <c r="AV123" s="542"/>
      <c r="AW123" s="540"/>
      <c r="AX123" s="541"/>
      <c r="AY123" s="541"/>
      <c r="AZ123" s="542"/>
      <c r="BG123" s="93"/>
      <c r="BH123" s="93"/>
      <c r="BI123" s="93"/>
      <c r="BJ123" s="204">
        <v>64</v>
      </c>
      <c r="BK123" s="164">
        <v>0</v>
      </c>
      <c r="BL123" s="165">
        <v>71.12</v>
      </c>
      <c r="BM123" s="165">
        <v>100.21</v>
      </c>
      <c r="BN123" s="165">
        <v>141.85</v>
      </c>
      <c r="BO123" s="165">
        <v>144.34</v>
      </c>
      <c r="BP123" s="165">
        <v>150.41999999999999</v>
      </c>
      <c r="BQ123" s="165">
        <v>126.44</v>
      </c>
      <c r="BR123" s="165">
        <v>151.93</v>
      </c>
      <c r="BS123" s="165">
        <v>221.54</v>
      </c>
      <c r="BT123" s="165">
        <v>310.87</v>
      </c>
      <c r="BU123" s="165">
        <v>331.27</v>
      </c>
      <c r="BV123" s="165">
        <v>150.41999999999999</v>
      </c>
      <c r="BW123" s="165">
        <v>126.44</v>
      </c>
      <c r="BX123" s="165">
        <v>151.93</v>
      </c>
      <c r="BY123" s="165">
        <v>221.54</v>
      </c>
      <c r="BZ123" s="165">
        <v>310.87</v>
      </c>
      <c r="CA123" s="165">
        <v>331.27</v>
      </c>
      <c r="CB123" s="204"/>
      <c r="CC123" s="126"/>
      <c r="CD123" s="126"/>
      <c r="CE123" s="143"/>
      <c r="CG123" s="170">
        <v>2.5</v>
      </c>
      <c r="CH123" s="171">
        <v>4</v>
      </c>
      <c r="CI123" s="157">
        <v>0</v>
      </c>
      <c r="CJ123" s="158">
        <v>2.61</v>
      </c>
      <c r="CK123" s="159">
        <v>4.1100000000000003</v>
      </c>
      <c r="CL123" s="159">
        <v>5.54</v>
      </c>
      <c r="CM123" s="160">
        <v>5.6</v>
      </c>
      <c r="CN123" s="158">
        <v>16.740000000000002</v>
      </c>
      <c r="CO123" s="159">
        <v>18.060000000000009</v>
      </c>
      <c r="CP123" s="159">
        <v>16.360000000000007</v>
      </c>
      <c r="CQ123" s="159">
        <v>23.93</v>
      </c>
      <c r="CR123" s="159">
        <v>27.840000000000003</v>
      </c>
      <c r="CS123" s="160">
        <v>22.439999999999998</v>
      </c>
      <c r="CT123" s="161">
        <v>5.17</v>
      </c>
      <c r="CU123" s="159">
        <v>4.41</v>
      </c>
      <c r="CV123" s="159">
        <v>5.23</v>
      </c>
      <c r="CW123" s="159">
        <v>5.77</v>
      </c>
      <c r="CX123" s="159">
        <v>8.52</v>
      </c>
      <c r="CY123" s="160">
        <v>9.52</v>
      </c>
      <c r="CZ123" s="172"/>
    </row>
    <row r="124" spans="1:105">
      <c r="A124" s="107"/>
      <c r="B124" s="107"/>
      <c r="C124" s="107"/>
      <c r="D124" s="107"/>
      <c r="E124" s="551"/>
      <c r="F124" s="552"/>
      <c r="G124" s="552"/>
      <c r="H124" s="553"/>
      <c r="I124" s="545"/>
      <c r="J124" s="546"/>
      <c r="K124" s="546"/>
      <c r="L124" s="547"/>
      <c r="M124" s="545"/>
      <c r="N124" s="546"/>
      <c r="O124" s="546"/>
      <c r="P124" s="547"/>
      <c r="Q124" s="545"/>
      <c r="R124" s="546"/>
      <c r="S124" s="546"/>
      <c r="T124" s="547"/>
      <c r="U124" s="545"/>
      <c r="V124" s="546"/>
      <c r="W124" s="546"/>
      <c r="X124" s="547"/>
      <c r="Y124" s="545"/>
      <c r="Z124" s="546"/>
      <c r="AA124" s="546"/>
      <c r="AB124" s="547"/>
      <c r="AC124" s="545"/>
      <c r="AD124" s="546"/>
      <c r="AE124" s="546"/>
      <c r="AF124" s="547"/>
      <c r="AG124" s="545"/>
      <c r="AH124" s="546"/>
      <c r="AI124" s="546"/>
      <c r="AJ124" s="547"/>
      <c r="AK124" s="545"/>
      <c r="AL124" s="546"/>
      <c r="AM124" s="546"/>
      <c r="AN124" s="547"/>
      <c r="AO124" s="545"/>
      <c r="AP124" s="546"/>
      <c r="AQ124" s="546"/>
      <c r="AR124" s="547"/>
      <c r="AS124" s="545"/>
      <c r="AT124" s="546"/>
      <c r="AU124" s="546"/>
      <c r="AV124" s="547"/>
      <c r="AW124" s="545"/>
      <c r="AX124" s="546"/>
      <c r="AY124" s="546"/>
      <c r="AZ124" s="547"/>
      <c r="BG124" s="93"/>
      <c r="BH124" s="93"/>
      <c r="BI124" s="93"/>
      <c r="BJ124" s="204">
        <v>65</v>
      </c>
      <c r="BK124" s="164">
        <v>0</v>
      </c>
      <c r="BL124" s="165">
        <v>72.08</v>
      </c>
      <c r="BM124" s="165">
        <v>101.62</v>
      </c>
      <c r="BN124" s="165">
        <v>143.9</v>
      </c>
      <c r="BO124" s="165">
        <v>146.43</v>
      </c>
      <c r="BP124" s="165">
        <v>152.66</v>
      </c>
      <c r="BQ124" s="165">
        <v>128.33000000000001</v>
      </c>
      <c r="BR124" s="165">
        <v>154.19999999999999</v>
      </c>
      <c r="BS124" s="165">
        <v>225.11</v>
      </c>
      <c r="BT124" s="165">
        <v>316.06</v>
      </c>
      <c r="BU124" s="165">
        <v>336.73</v>
      </c>
      <c r="BV124" s="165">
        <v>152.66</v>
      </c>
      <c r="BW124" s="165">
        <v>128.33000000000001</v>
      </c>
      <c r="BX124" s="165">
        <v>154.19999999999999</v>
      </c>
      <c r="BY124" s="165">
        <v>225.11</v>
      </c>
      <c r="BZ124" s="165">
        <v>316.06</v>
      </c>
      <c r="CA124" s="165">
        <v>336.73</v>
      </c>
      <c r="CB124" s="204"/>
      <c r="CC124" s="126"/>
      <c r="CD124" s="126"/>
      <c r="CE124" s="143"/>
      <c r="CG124" s="173" t="s">
        <v>409</v>
      </c>
      <c r="CH124" s="174">
        <v>5</v>
      </c>
      <c r="CI124" s="157">
        <v>0</v>
      </c>
      <c r="CJ124" s="158">
        <v>2.2999999999999998</v>
      </c>
      <c r="CK124" s="159">
        <v>3.43</v>
      </c>
      <c r="CL124" s="159">
        <v>4.97</v>
      </c>
      <c r="CM124" s="160">
        <v>5.04</v>
      </c>
      <c r="CN124" s="158">
        <v>4.59</v>
      </c>
      <c r="CO124" s="159">
        <v>4.05</v>
      </c>
      <c r="CP124" s="159">
        <v>4.78</v>
      </c>
      <c r="CQ124" s="159">
        <v>5.96</v>
      </c>
      <c r="CR124" s="159">
        <v>8.39</v>
      </c>
      <c r="CS124" s="160">
        <v>9.3800000000000008</v>
      </c>
      <c r="CT124" s="161">
        <v>4.59</v>
      </c>
      <c r="CU124" s="159">
        <v>4.05</v>
      </c>
      <c r="CV124" s="159">
        <v>4.78</v>
      </c>
      <c r="CW124" s="159">
        <v>5.96</v>
      </c>
      <c r="CX124" s="159">
        <v>8.39</v>
      </c>
      <c r="CY124" s="160">
        <v>9.3800000000000008</v>
      </c>
      <c r="CZ124" s="175"/>
    </row>
    <row r="125" spans="1:105">
      <c r="A125" s="107"/>
      <c r="B125" s="107"/>
      <c r="C125" s="107"/>
      <c r="D125" s="107"/>
      <c r="E125" s="548"/>
      <c r="F125" s="549"/>
      <c r="G125" s="549"/>
      <c r="H125" s="550"/>
      <c r="I125" s="540"/>
      <c r="J125" s="541"/>
      <c r="K125" s="541"/>
      <c r="L125" s="542"/>
      <c r="M125" s="540"/>
      <c r="N125" s="541"/>
      <c r="O125" s="541"/>
      <c r="P125" s="542"/>
      <c r="Q125" s="540"/>
      <c r="R125" s="541"/>
      <c r="S125" s="541"/>
      <c r="T125" s="542"/>
      <c r="U125" s="540"/>
      <c r="V125" s="541"/>
      <c r="W125" s="541"/>
      <c r="X125" s="542"/>
      <c r="Y125" s="540"/>
      <c r="Z125" s="541"/>
      <c r="AA125" s="541"/>
      <c r="AB125" s="542"/>
      <c r="AC125" s="540"/>
      <c r="AD125" s="541"/>
      <c r="AE125" s="541"/>
      <c r="AF125" s="542"/>
      <c r="AG125" s="540"/>
      <c r="AH125" s="541"/>
      <c r="AI125" s="541"/>
      <c r="AJ125" s="542"/>
      <c r="AK125" s="540"/>
      <c r="AL125" s="541"/>
      <c r="AM125" s="541"/>
      <c r="AN125" s="542"/>
      <c r="AO125" s="540"/>
      <c r="AP125" s="541"/>
      <c r="AQ125" s="541"/>
      <c r="AR125" s="542"/>
      <c r="AS125" s="540"/>
      <c r="AT125" s="541"/>
      <c r="AU125" s="541"/>
      <c r="AV125" s="542"/>
      <c r="AW125" s="540"/>
      <c r="AX125" s="541"/>
      <c r="AY125" s="541"/>
      <c r="AZ125" s="542"/>
      <c r="BG125" s="93"/>
      <c r="BH125" s="93"/>
      <c r="BI125" s="93"/>
      <c r="BJ125" s="204">
        <v>66</v>
      </c>
      <c r="BK125" s="164">
        <v>0</v>
      </c>
      <c r="BL125" s="165">
        <v>73.040000000000006</v>
      </c>
      <c r="BM125" s="165">
        <v>103.03</v>
      </c>
      <c r="BN125" s="165">
        <v>145.96</v>
      </c>
      <c r="BO125" s="165">
        <v>148.52000000000001</v>
      </c>
      <c r="BP125" s="165">
        <v>154.9</v>
      </c>
      <c r="BQ125" s="165">
        <v>130.22999999999999</v>
      </c>
      <c r="BR125" s="165">
        <v>156.47</v>
      </c>
      <c r="BS125" s="165">
        <v>228.69</v>
      </c>
      <c r="BT125" s="165">
        <v>321.24</v>
      </c>
      <c r="BU125" s="165">
        <v>342.19</v>
      </c>
      <c r="BV125" s="165">
        <v>154.9</v>
      </c>
      <c r="BW125" s="165">
        <v>130.22999999999999</v>
      </c>
      <c r="BX125" s="165">
        <v>156.47</v>
      </c>
      <c r="BY125" s="165">
        <v>228.69</v>
      </c>
      <c r="BZ125" s="165">
        <v>321.24</v>
      </c>
      <c r="CA125" s="165">
        <v>342.19</v>
      </c>
      <c r="CB125" s="204"/>
      <c r="CC125" s="126"/>
      <c r="CD125" s="126"/>
      <c r="CE125" s="143"/>
      <c r="CG125" s="177" t="s">
        <v>410</v>
      </c>
      <c r="CH125" s="178">
        <v>6</v>
      </c>
      <c r="CI125" s="157">
        <v>0</v>
      </c>
      <c r="CJ125" s="158">
        <v>2.25</v>
      </c>
      <c r="CK125" s="159">
        <v>3.61</v>
      </c>
      <c r="CL125" s="159">
        <v>4.7300000000000004</v>
      </c>
      <c r="CM125" s="160">
        <v>4.8499999999999996</v>
      </c>
      <c r="CN125" s="158">
        <v>4.54</v>
      </c>
      <c r="CO125" s="159">
        <v>3.91</v>
      </c>
      <c r="CP125" s="159">
        <v>4.41</v>
      </c>
      <c r="CQ125" s="159">
        <v>5.91</v>
      </c>
      <c r="CR125" s="159">
        <v>8.08</v>
      </c>
      <c r="CS125" s="160">
        <v>9.07</v>
      </c>
      <c r="CT125" s="161">
        <v>4.54</v>
      </c>
      <c r="CU125" s="159">
        <v>3.91</v>
      </c>
      <c r="CV125" s="159">
        <v>4.41</v>
      </c>
      <c r="CW125" s="159">
        <v>5.91</v>
      </c>
      <c r="CX125" s="159">
        <v>8.08</v>
      </c>
      <c r="CY125" s="160">
        <v>9.07</v>
      </c>
      <c r="CZ125" s="179"/>
    </row>
    <row r="126" spans="1:105">
      <c r="A126" s="107"/>
      <c r="B126" s="107"/>
      <c r="C126" s="107"/>
      <c r="D126" s="107"/>
      <c r="E126" s="551"/>
      <c r="F126" s="552"/>
      <c r="G126" s="552"/>
      <c r="H126" s="553"/>
      <c r="I126" s="545"/>
      <c r="J126" s="546"/>
      <c r="K126" s="546"/>
      <c r="L126" s="547"/>
      <c r="M126" s="545"/>
      <c r="N126" s="546"/>
      <c r="O126" s="546"/>
      <c r="P126" s="547"/>
      <c r="Q126" s="545"/>
      <c r="R126" s="546"/>
      <c r="S126" s="546"/>
      <c r="T126" s="547"/>
      <c r="U126" s="545"/>
      <c r="V126" s="546"/>
      <c r="W126" s="546"/>
      <c r="X126" s="547"/>
      <c r="Y126" s="545"/>
      <c r="Z126" s="546"/>
      <c r="AA126" s="546"/>
      <c r="AB126" s="547"/>
      <c r="AC126" s="545"/>
      <c r="AD126" s="546"/>
      <c r="AE126" s="546"/>
      <c r="AF126" s="547"/>
      <c r="AG126" s="545"/>
      <c r="AH126" s="546"/>
      <c r="AI126" s="546"/>
      <c r="AJ126" s="547"/>
      <c r="AK126" s="545"/>
      <c r="AL126" s="546"/>
      <c r="AM126" s="546"/>
      <c r="AN126" s="547"/>
      <c r="AO126" s="545"/>
      <c r="AP126" s="546"/>
      <c r="AQ126" s="546"/>
      <c r="AR126" s="547"/>
      <c r="AS126" s="545"/>
      <c r="AT126" s="546"/>
      <c r="AU126" s="546"/>
      <c r="AV126" s="547"/>
      <c r="AW126" s="545"/>
      <c r="AX126" s="546"/>
      <c r="AY126" s="546"/>
      <c r="AZ126" s="547"/>
      <c r="BG126" s="93"/>
      <c r="BH126" s="93"/>
      <c r="BI126" s="93"/>
      <c r="BJ126" s="204">
        <v>67</v>
      </c>
      <c r="BK126" s="164">
        <v>0</v>
      </c>
      <c r="BL126" s="165">
        <v>74</v>
      </c>
      <c r="BM126" s="165">
        <v>104.43</v>
      </c>
      <c r="BN126" s="165">
        <v>148.01</v>
      </c>
      <c r="BO126" s="165">
        <v>150.61000000000001</v>
      </c>
      <c r="BP126" s="165">
        <v>157.13999999999999</v>
      </c>
      <c r="BQ126" s="165">
        <v>132.12</v>
      </c>
      <c r="BR126" s="165">
        <v>158.74</v>
      </c>
      <c r="BS126" s="165">
        <v>232.26</v>
      </c>
      <c r="BT126" s="165">
        <v>326.43</v>
      </c>
      <c r="BU126" s="165">
        <v>347.65</v>
      </c>
      <c r="BV126" s="165">
        <v>157.13999999999999</v>
      </c>
      <c r="BW126" s="165">
        <v>132.12</v>
      </c>
      <c r="BX126" s="165">
        <v>158.74</v>
      </c>
      <c r="BY126" s="165">
        <v>232.26</v>
      </c>
      <c r="BZ126" s="165">
        <v>326.43</v>
      </c>
      <c r="CA126" s="165">
        <v>347.65</v>
      </c>
      <c r="CB126" s="204"/>
      <c r="CC126" s="126"/>
      <c r="CD126" s="126"/>
      <c r="CE126" s="143"/>
      <c r="CG126" s="181" t="s">
        <v>411</v>
      </c>
      <c r="CH126" s="182">
        <v>7</v>
      </c>
      <c r="CI126" s="157">
        <v>0</v>
      </c>
      <c r="CJ126" s="158">
        <v>1.73</v>
      </c>
      <c r="CK126" s="159">
        <v>2.83</v>
      </c>
      <c r="CL126" s="159">
        <v>4.4000000000000004</v>
      </c>
      <c r="CM126" s="160">
        <v>4.4800000000000004</v>
      </c>
      <c r="CN126" s="158">
        <v>4.4000000000000004</v>
      </c>
      <c r="CO126" s="159">
        <v>3.58</v>
      </c>
      <c r="CP126" s="159">
        <v>4.4800000000000004</v>
      </c>
      <c r="CQ126" s="159">
        <v>6.79</v>
      </c>
      <c r="CR126" s="159">
        <v>9.39</v>
      </c>
      <c r="CS126" s="160">
        <v>9.93</v>
      </c>
      <c r="CT126" s="161">
        <v>4.4000000000000004</v>
      </c>
      <c r="CU126" s="159">
        <v>3.58</v>
      </c>
      <c r="CV126" s="159">
        <v>4.4800000000000004</v>
      </c>
      <c r="CW126" s="159">
        <v>6.79</v>
      </c>
      <c r="CX126" s="159">
        <v>9.39</v>
      </c>
      <c r="CY126" s="160">
        <v>9.93</v>
      </c>
      <c r="CZ126" s="183"/>
    </row>
    <row r="127" spans="1:105">
      <c r="A127" s="107"/>
      <c r="B127" s="107"/>
      <c r="C127" s="107"/>
      <c r="D127" s="107"/>
      <c r="E127" s="548"/>
      <c r="F127" s="549"/>
      <c r="G127" s="549"/>
      <c r="H127" s="550"/>
      <c r="I127" s="540"/>
      <c r="J127" s="541"/>
      <c r="K127" s="541"/>
      <c r="L127" s="542"/>
      <c r="M127" s="540"/>
      <c r="N127" s="541"/>
      <c r="O127" s="541"/>
      <c r="P127" s="542"/>
      <c r="Q127" s="540"/>
      <c r="R127" s="541"/>
      <c r="S127" s="541"/>
      <c r="T127" s="542"/>
      <c r="U127" s="540"/>
      <c r="V127" s="541"/>
      <c r="W127" s="541"/>
      <c r="X127" s="542"/>
      <c r="Y127" s="540"/>
      <c r="Z127" s="541"/>
      <c r="AA127" s="541"/>
      <c r="AB127" s="542"/>
      <c r="AC127" s="540"/>
      <c r="AD127" s="541"/>
      <c r="AE127" s="541"/>
      <c r="AF127" s="542"/>
      <c r="AG127" s="540"/>
      <c r="AH127" s="541"/>
      <c r="AI127" s="541"/>
      <c r="AJ127" s="542"/>
      <c r="AK127" s="540"/>
      <c r="AL127" s="541"/>
      <c r="AM127" s="541"/>
      <c r="AN127" s="542"/>
      <c r="AO127" s="540"/>
      <c r="AP127" s="541"/>
      <c r="AQ127" s="541"/>
      <c r="AR127" s="542"/>
      <c r="AS127" s="540"/>
      <c r="AT127" s="541"/>
      <c r="AU127" s="541"/>
      <c r="AV127" s="542"/>
      <c r="AW127" s="540"/>
      <c r="AX127" s="541"/>
      <c r="AY127" s="541"/>
      <c r="AZ127" s="542"/>
      <c r="BG127" s="93"/>
      <c r="BH127" s="93"/>
      <c r="BI127" s="93"/>
      <c r="BJ127" s="204">
        <v>68</v>
      </c>
      <c r="BK127" s="164">
        <v>0</v>
      </c>
      <c r="BL127" s="165">
        <v>74.959999999999994</v>
      </c>
      <c r="BM127" s="165">
        <v>105.84</v>
      </c>
      <c r="BN127" s="165">
        <v>150.07</v>
      </c>
      <c r="BO127" s="165">
        <v>152.69999999999999</v>
      </c>
      <c r="BP127" s="165">
        <v>159.38</v>
      </c>
      <c r="BQ127" s="165">
        <v>134.02000000000001</v>
      </c>
      <c r="BR127" s="165">
        <v>161.01</v>
      </c>
      <c r="BS127" s="165">
        <v>235.83</v>
      </c>
      <c r="BT127" s="165">
        <v>331.62</v>
      </c>
      <c r="BU127" s="165">
        <v>353.11</v>
      </c>
      <c r="BV127" s="165">
        <v>159.38</v>
      </c>
      <c r="BW127" s="165">
        <v>134.02000000000001</v>
      </c>
      <c r="BX127" s="165">
        <v>161.01</v>
      </c>
      <c r="BY127" s="165">
        <v>235.83</v>
      </c>
      <c r="BZ127" s="165">
        <v>331.62</v>
      </c>
      <c r="CA127" s="165">
        <v>353.11</v>
      </c>
      <c r="CB127" s="204"/>
      <c r="CC127" s="126"/>
      <c r="CD127" s="126"/>
      <c r="CE127" s="143"/>
      <c r="CG127" s="184" t="s">
        <v>412</v>
      </c>
      <c r="CH127" s="185">
        <v>8</v>
      </c>
      <c r="CI127" s="157">
        <v>0</v>
      </c>
      <c r="CJ127" s="158">
        <v>1.96</v>
      </c>
      <c r="CK127" s="159">
        <v>2.75</v>
      </c>
      <c r="CL127" s="159">
        <v>4.33</v>
      </c>
      <c r="CM127" s="160">
        <v>4.4000000000000004</v>
      </c>
      <c r="CN127" s="158">
        <v>4.4000000000000004</v>
      </c>
      <c r="CO127" s="159">
        <v>3.58</v>
      </c>
      <c r="CP127" s="159">
        <v>4.4000000000000004</v>
      </c>
      <c r="CQ127" s="159">
        <v>6.49</v>
      </c>
      <c r="CR127" s="159">
        <v>9.48</v>
      </c>
      <c r="CS127" s="160">
        <v>10.16</v>
      </c>
      <c r="CT127" s="161">
        <v>4.4000000000000004</v>
      </c>
      <c r="CU127" s="159">
        <v>3.58</v>
      </c>
      <c r="CV127" s="159">
        <v>4.4000000000000004</v>
      </c>
      <c r="CW127" s="159">
        <v>6.49</v>
      </c>
      <c r="CX127" s="159">
        <v>9.48</v>
      </c>
      <c r="CY127" s="160">
        <v>10.16</v>
      </c>
      <c r="CZ127" s="186"/>
    </row>
    <row r="128" spans="1:105">
      <c r="A128" s="107"/>
      <c r="B128" s="107"/>
      <c r="C128" s="107"/>
      <c r="D128" s="107"/>
      <c r="E128" s="551"/>
      <c r="F128" s="552"/>
      <c r="G128" s="552"/>
      <c r="H128" s="553"/>
      <c r="I128" s="545"/>
      <c r="J128" s="546"/>
      <c r="K128" s="546"/>
      <c r="L128" s="547"/>
      <c r="M128" s="545"/>
      <c r="N128" s="546"/>
      <c r="O128" s="546"/>
      <c r="P128" s="547"/>
      <c r="Q128" s="545"/>
      <c r="R128" s="546"/>
      <c r="S128" s="546"/>
      <c r="T128" s="547"/>
      <c r="U128" s="545"/>
      <c r="V128" s="546"/>
      <c r="W128" s="546"/>
      <c r="X128" s="547"/>
      <c r="Y128" s="545"/>
      <c r="Z128" s="546"/>
      <c r="AA128" s="546"/>
      <c r="AB128" s="547"/>
      <c r="AC128" s="545"/>
      <c r="AD128" s="546"/>
      <c r="AE128" s="546"/>
      <c r="AF128" s="547"/>
      <c r="AG128" s="545"/>
      <c r="AH128" s="546"/>
      <c r="AI128" s="546"/>
      <c r="AJ128" s="547"/>
      <c r="AK128" s="545"/>
      <c r="AL128" s="546"/>
      <c r="AM128" s="546"/>
      <c r="AN128" s="547"/>
      <c r="AO128" s="545"/>
      <c r="AP128" s="546"/>
      <c r="AQ128" s="546"/>
      <c r="AR128" s="547"/>
      <c r="AS128" s="545"/>
      <c r="AT128" s="546"/>
      <c r="AU128" s="546"/>
      <c r="AV128" s="547"/>
      <c r="AW128" s="545"/>
      <c r="AX128" s="546"/>
      <c r="AY128" s="546"/>
      <c r="AZ128" s="547"/>
      <c r="BG128" s="93"/>
      <c r="BH128" s="93"/>
      <c r="BI128" s="93"/>
      <c r="BJ128" s="204">
        <v>69</v>
      </c>
      <c r="BK128" s="164">
        <v>0</v>
      </c>
      <c r="BL128" s="165">
        <v>75.92</v>
      </c>
      <c r="BM128" s="165">
        <v>107.25</v>
      </c>
      <c r="BN128" s="165">
        <v>152.12</v>
      </c>
      <c r="BO128" s="165">
        <v>154.79</v>
      </c>
      <c r="BP128" s="165">
        <v>161.62</v>
      </c>
      <c r="BQ128" s="165">
        <v>135.91999999999999</v>
      </c>
      <c r="BR128" s="165">
        <v>163.28</v>
      </c>
      <c r="BS128" s="165">
        <v>239.41</v>
      </c>
      <c r="BT128" s="165">
        <v>336.81</v>
      </c>
      <c r="BU128" s="165">
        <v>358.57</v>
      </c>
      <c r="BV128" s="165">
        <v>161.62</v>
      </c>
      <c r="BW128" s="165">
        <v>135.91999999999999</v>
      </c>
      <c r="BX128" s="165">
        <v>163.28</v>
      </c>
      <c r="BY128" s="165">
        <v>239.41</v>
      </c>
      <c r="BZ128" s="165">
        <v>336.81</v>
      </c>
      <c r="CA128" s="165">
        <v>358.57</v>
      </c>
      <c r="CB128" s="204"/>
      <c r="CC128" s="126"/>
      <c r="CD128" s="126"/>
      <c r="CE128" s="143"/>
      <c r="CG128" s="166" t="s">
        <v>413</v>
      </c>
      <c r="CH128" s="167">
        <v>9</v>
      </c>
      <c r="CI128" s="157">
        <v>0</v>
      </c>
      <c r="CJ128" s="158">
        <v>4.7699999999999996</v>
      </c>
      <c r="CK128" s="159">
        <v>7.01</v>
      </c>
      <c r="CL128" s="159">
        <v>10.29</v>
      </c>
      <c r="CM128" s="160">
        <v>10.44</v>
      </c>
      <c r="CN128" s="158">
        <v>11.2</v>
      </c>
      <c r="CO128" s="159">
        <v>9.5</v>
      </c>
      <c r="CP128" s="159">
        <v>11.35</v>
      </c>
      <c r="CQ128" s="159">
        <v>17.850000000000001</v>
      </c>
      <c r="CR128" s="159">
        <v>25.96</v>
      </c>
      <c r="CS128" s="160">
        <v>27.31</v>
      </c>
      <c r="CT128" s="161">
        <v>11.2</v>
      </c>
      <c r="CU128" s="159">
        <v>9.5</v>
      </c>
      <c r="CV128" s="159">
        <v>11.35</v>
      </c>
      <c r="CW128" s="159">
        <v>17.850000000000001</v>
      </c>
      <c r="CX128" s="159">
        <v>25.96</v>
      </c>
      <c r="CY128" s="160">
        <v>27.31</v>
      </c>
      <c r="CZ128" s="168"/>
      <c r="DA128" s="187" t="s">
        <v>414</v>
      </c>
    </row>
    <row r="129" spans="1:105">
      <c r="A129" s="107"/>
      <c r="B129" s="107"/>
      <c r="C129" s="107"/>
      <c r="D129" s="107"/>
      <c r="E129" s="548"/>
      <c r="F129" s="549"/>
      <c r="G129" s="549"/>
      <c r="H129" s="550"/>
      <c r="I129" s="540"/>
      <c r="J129" s="541"/>
      <c r="K129" s="541"/>
      <c r="L129" s="542"/>
      <c r="M129" s="540"/>
      <c r="N129" s="541"/>
      <c r="O129" s="541"/>
      <c r="P129" s="542"/>
      <c r="Q129" s="540"/>
      <c r="R129" s="541"/>
      <c r="S129" s="541"/>
      <c r="T129" s="542"/>
      <c r="U129" s="540"/>
      <c r="V129" s="541"/>
      <c r="W129" s="541"/>
      <c r="X129" s="542"/>
      <c r="Y129" s="540"/>
      <c r="Z129" s="541"/>
      <c r="AA129" s="541"/>
      <c r="AB129" s="542"/>
      <c r="AC129" s="540"/>
      <c r="AD129" s="541"/>
      <c r="AE129" s="541"/>
      <c r="AF129" s="542"/>
      <c r="AG129" s="540"/>
      <c r="AH129" s="541"/>
      <c r="AI129" s="541"/>
      <c r="AJ129" s="542"/>
      <c r="AK129" s="540"/>
      <c r="AL129" s="541"/>
      <c r="AM129" s="541"/>
      <c r="AN129" s="542"/>
      <c r="AO129" s="540"/>
      <c r="AP129" s="541"/>
      <c r="AQ129" s="541"/>
      <c r="AR129" s="542"/>
      <c r="AS129" s="540"/>
      <c r="AT129" s="541"/>
      <c r="AU129" s="541"/>
      <c r="AV129" s="542"/>
      <c r="AW129" s="540"/>
      <c r="AX129" s="541"/>
      <c r="AY129" s="541"/>
      <c r="AZ129" s="542"/>
      <c r="BG129" s="93"/>
      <c r="BH129" s="93"/>
      <c r="BI129" s="93"/>
      <c r="BJ129" s="204">
        <v>70</v>
      </c>
      <c r="BK129" s="164">
        <v>0</v>
      </c>
      <c r="BL129" s="165">
        <v>76.88</v>
      </c>
      <c r="BM129" s="165">
        <v>108.65</v>
      </c>
      <c r="BN129" s="165">
        <v>154.18</v>
      </c>
      <c r="BO129" s="165">
        <v>156.88</v>
      </c>
      <c r="BP129" s="165">
        <v>163.86</v>
      </c>
      <c r="BQ129" s="165">
        <v>137.81</v>
      </c>
      <c r="BR129" s="165">
        <v>165.55</v>
      </c>
      <c r="BS129" s="165">
        <v>242.98</v>
      </c>
      <c r="BT129" s="165">
        <v>342</v>
      </c>
      <c r="BU129" s="165">
        <v>364.03</v>
      </c>
      <c r="BV129" s="165">
        <v>163.86</v>
      </c>
      <c r="BW129" s="165">
        <v>137.81</v>
      </c>
      <c r="BX129" s="165">
        <v>165.55</v>
      </c>
      <c r="BY129" s="165">
        <v>242.98</v>
      </c>
      <c r="BZ129" s="165">
        <v>342</v>
      </c>
      <c r="CA129" s="165">
        <v>364.03</v>
      </c>
      <c r="CB129" s="204"/>
      <c r="CC129" s="126"/>
      <c r="CD129" s="126"/>
      <c r="CE129" s="143"/>
      <c r="CG129" s="188" t="s">
        <v>415</v>
      </c>
      <c r="CH129" s="189">
        <v>10</v>
      </c>
      <c r="CI129" s="157">
        <v>0</v>
      </c>
      <c r="CJ129" s="158">
        <v>5.81</v>
      </c>
      <c r="CK129" s="159">
        <v>8.8000000000000007</v>
      </c>
      <c r="CL129" s="159">
        <v>12.25</v>
      </c>
      <c r="CM129" s="160">
        <v>12.25</v>
      </c>
      <c r="CN129" s="158">
        <v>13.12</v>
      </c>
      <c r="CO129" s="159">
        <v>10.91</v>
      </c>
      <c r="CP129" s="159">
        <v>13.27</v>
      </c>
      <c r="CQ129" s="159">
        <v>20.66</v>
      </c>
      <c r="CR129" s="159">
        <v>29.56</v>
      </c>
      <c r="CS129" s="160">
        <v>31.01</v>
      </c>
      <c r="CT129" s="161">
        <v>13.12</v>
      </c>
      <c r="CU129" s="159">
        <v>10.91</v>
      </c>
      <c r="CV129" s="159">
        <v>13.27</v>
      </c>
      <c r="CW129" s="159">
        <v>20.66</v>
      </c>
      <c r="CX129" s="159">
        <v>29.56</v>
      </c>
      <c r="CY129" s="160">
        <v>31.01</v>
      </c>
      <c r="CZ129" s="190"/>
      <c r="DA129" s="187" t="s">
        <v>414</v>
      </c>
    </row>
    <row r="130" spans="1:105" ht="16" thickBot="1">
      <c r="A130" s="107"/>
      <c r="B130" s="107"/>
      <c r="C130" s="107"/>
      <c r="D130" s="107"/>
      <c r="E130" s="551"/>
      <c r="F130" s="552"/>
      <c r="G130" s="552"/>
      <c r="H130" s="553"/>
      <c r="I130" s="545"/>
      <c r="J130" s="546"/>
      <c r="K130" s="546"/>
      <c r="L130" s="547"/>
      <c r="M130" s="545"/>
      <c r="N130" s="546"/>
      <c r="O130" s="546"/>
      <c r="P130" s="547"/>
      <c r="Q130" s="545"/>
      <c r="R130" s="546"/>
      <c r="S130" s="546"/>
      <c r="T130" s="547"/>
      <c r="U130" s="545"/>
      <c r="V130" s="546"/>
      <c r="W130" s="546"/>
      <c r="X130" s="547"/>
      <c r="Y130" s="545"/>
      <c r="Z130" s="546"/>
      <c r="AA130" s="546"/>
      <c r="AB130" s="547"/>
      <c r="AC130" s="545"/>
      <c r="AD130" s="546"/>
      <c r="AE130" s="546"/>
      <c r="AF130" s="547"/>
      <c r="AG130" s="545"/>
      <c r="AH130" s="546"/>
      <c r="AI130" s="546"/>
      <c r="AJ130" s="547"/>
      <c r="AK130" s="545"/>
      <c r="AL130" s="546"/>
      <c r="AM130" s="546"/>
      <c r="AN130" s="547"/>
      <c r="AO130" s="545"/>
      <c r="AP130" s="546"/>
      <c r="AQ130" s="546"/>
      <c r="AR130" s="547"/>
      <c r="AS130" s="545"/>
      <c r="AT130" s="546"/>
      <c r="AU130" s="546"/>
      <c r="AV130" s="547"/>
      <c r="AW130" s="545"/>
      <c r="AX130" s="546"/>
      <c r="AY130" s="546"/>
      <c r="AZ130" s="547"/>
      <c r="BG130" s="93"/>
      <c r="BH130" s="93"/>
      <c r="BI130" s="93"/>
      <c r="BJ130" s="176">
        <v>71</v>
      </c>
      <c r="BK130" s="164">
        <v>0</v>
      </c>
      <c r="BL130" s="165">
        <v>78.05</v>
      </c>
      <c r="BM130" s="165">
        <v>110.41</v>
      </c>
      <c r="BN130" s="165">
        <v>156.62</v>
      </c>
      <c r="BO130" s="165">
        <v>159.33000000000001</v>
      </c>
      <c r="BP130" s="165">
        <v>166.48</v>
      </c>
      <c r="BQ130" s="165">
        <v>139.99</v>
      </c>
      <c r="BR130" s="165">
        <v>168.21</v>
      </c>
      <c r="BS130" s="165">
        <v>247.12</v>
      </c>
      <c r="BT130" s="165">
        <v>347.91</v>
      </c>
      <c r="BU130" s="165">
        <v>370.24</v>
      </c>
      <c r="BV130" s="165">
        <v>166.48</v>
      </c>
      <c r="BW130" s="165">
        <v>139.99</v>
      </c>
      <c r="BX130" s="165">
        <v>168.21</v>
      </c>
      <c r="BY130" s="165">
        <v>247.12</v>
      </c>
      <c r="BZ130" s="165">
        <v>347.91</v>
      </c>
      <c r="CA130" s="165">
        <v>370.24</v>
      </c>
      <c r="CB130" s="176"/>
      <c r="CC130" s="126"/>
      <c r="CD130" s="126"/>
      <c r="CE130" s="143"/>
      <c r="CG130" s="191" t="s">
        <v>416</v>
      </c>
      <c r="CH130" s="192">
        <v>11</v>
      </c>
      <c r="CI130" s="193">
        <v>0</v>
      </c>
      <c r="CJ130" s="194">
        <v>6.09</v>
      </c>
      <c r="CK130" s="195">
        <v>9.2200000000000006</v>
      </c>
      <c r="CL130" s="195">
        <v>12.84</v>
      </c>
      <c r="CM130" s="196">
        <v>12.84</v>
      </c>
      <c r="CN130" s="194">
        <v>13.76</v>
      </c>
      <c r="CO130" s="195">
        <v>12.61</v>
      </c>
      <c r="CP130" s="195">
        <v>13.91</v>
      </c>
      <c r="CQ130" s="195">
        <v>23.64</v>
      </c>
      <c r="CR130" s="195">
        <v>30.99</v>
      </c>
      <c r="CS130" s="196">
        <v>32.53</v>
      </c>
      <c r="CT130" s="197">
        <v>13.76</v>
      </c>
      <c r="CU130" s="195">
        <v>12.61</v>
      </c>
      <c r="CV130" s="195">
        <v>13.91</v>
      </c>
      <c r="CW130" s="195">
        <v>23.64</v>
      </c>
      <c r="CX130" s="195">
        <v>30.99</v>
      </c>
      <c r="CY130" s="196">
        <v>32.53</v>
      </c>
      <c r="CZ130" s="198"/>
      <c r="DA130" s="187" t="s">
        <v>414</v>
      </c>
    </row>
    <row r="131" spans="1:105" ht="16" thickBot="1">
      <c r="A131" s="107"/>
      <c r="B131" s="107"/>
      <c r="C131" s="107"/>
      <c r="D131" s="107"/>
      <c r="E131" s="548"/>
      <c r="F131" s="549"/>
      <c r="G131" s="549"/>
      <c r="H131" s="550"/>
      <c r="I131" s="540"/>
      <c r="J131" s="541"/>
      <c r="K131" s="541"/>
      <c r="L131" s="542"/>
      <c r="M131" s="540"/>
      <c r="N131" s="541"/>
      <c r="O131" s="541"/>
      <c r="P131" s="542"/>
      <c r="Q131" s="540"/>
      <c r="R131" s="541"/>
      <c r="S131" s="541"/>
      <c r="T131" s="542"/>
      <c r="U131" s="540"/>
      <c r="V131" s="541"/>
      <c r="W131" s="541"/>
      <c r="X131" s="542"/>
      <c r="Y131" s="540"/>
      <c r="Z131" s="541"/>
      <c r="AA131" s="541"/>
      <c r="AB131" s="542"/>
      <c r="AC131" s="540"/>
      <c r="AD131" s="541"/>
      <c r="AE131" s="541"/>
      <c r="AF131" s="542"/>
      <c r="AG131" s="540"/>
      <c r="AH131" s="541"/>
      <c r="AI131" s="541"/>
      <c r="AJ131" s="542"/>
      <c r="AK131" s="540"/>
      <c r="AL131" s="541"/>
      <c r="AM131" s="541"/>
      <c r="AN131" s="542"/>
      <c r="AO131" s="540"/>
      <c r="AP131" s="541"/>
      <c r="AQ131" s="541"/>
      <c r="AR131" s="542"/>
      <c r="AS131" s="540"/>
      <c r="AT131" s="541"/>
      <c r="AU131" s="541"/>
      <c r="AV131" s="542"/>
      <c r="AW131" s="540"/>
      <c r="AX131" s="541"/>
      <c r="AY131" s="541"/>
      <c r="AZ131" s="542"/>
      <c r="BG131" s="93"/>
      <c r="BH131" s="93"/>
      <c r="BI131" s="93"/>
      <c r="BJ131" s="176">
        <v>72</v>
      </c>
      <c r="BK131" s="164">
        <v>0</v>
      </c>
      <c r="BL131" s="165">
        <v>79.22</v>
      </c>
      <c r="BM131" s="165">
        <v>112.17</v>
      </c>
      <c r="BN131" s="165">
        <v>159.06</v>
      </c>
      <c r="BO131" s="165">
        <v>161.77000000000001</v>
      </c>
      <c r="BP131" s="165">
        <v>169.1</v>
      </c>
      <c r="BQ131" s="165">
        <v>142.16999999999999</v>
      </c>
      <c r="BR131" s="165">
        <v>170.87</v>
      </c>
      <c r="BS131" s="165">
        <v>251.25</v>
      </c>
      <c r="BT131" s="165">
        <v>353.82</v>
      </c>
      <c r="BU131" s="165">
        <v>376.45</v>
      </c>
      <c r="BV131" s="165">
        <v>169.1</v>
      </c>
      <c r="BW131" s="165">
        <v>142.16999999999999</v>
      </c>
      <c r="BX131" s="165">
        <v>170.87</v>
      </c>
      <c r="BY131" s="165">
        <v>251.25</v>
      </c>
      <c r="BZ131" s="165">
        <v>353.82</v>
      </c>
      <c r="CA131" s="165">
        <v>376.45</v>
      </c>
      <c r="CB131" s="176"/>
      <c r="CC131" s="126"/>
      <c r="CD131" s="126"/>
      <c r="CE131" s="143"/>
    </row>
    <row r="132" spans="1:105" ht="17" thickBot="1">
      <c r="A132" s="107"/>
      <c r="B132" s="107"/>
      <c r="C132" s="107"/>
      <c r="D132" s="107"/>
      <c r="E132" s="551"/>
      <c r="F132" s="552"/>
      <c r="G132" s="552"/>
      <c r="H132" s="553"/>
      <c r="I132" s="545"/>
      <c r="J132" s="546"/>
      <c r="K132" s="546"/>
      <c r="L132" s="547"/>
      <c r="M132" s="545"/>
      <c r="N132" s="546"/>
      <c r="O132" s="546"/>
      <c r="P132" s="547"/>
      <c r="Q132" s="545"/>
      <c r="R132" s="546"/>
      <c r="S132" s="546"/>
      <c r="T132" s="547"/>
      <c r="U132" s="545"/>
      <c r="V132" s="546"/>
      <c r="W132" s="546"/>
      <c r="X132" s="547"/>
      <c r="Y132" s="545"/>
      <c r="Z132" s="546"/>
      <c r="AA132" s="546"/>
      <c r="AB132" s="547"/>
      <c r="AC132" s="545"/>
      <c r="AD132" s="546"/>
      <c r="AE132" s="546"/>
      <c r="AF132" s="547"/>
      <c r="AG132" s="545"/>
      <c r="AH132" s="546"/>
      <c r="AI132" s="546"/>
      <c r="AJ132" s="547"/>
      <c r="AK132" s="545"/>
      <c r="AL132" s="546"/>
      <c r="AM132" s="546"/>
      <c r="AN132" s="547"/>
      <c r="AO132" s="545"/>
      <c r="AP132" s="546"/>
      <c r="AQ132" s="546"/>
      <c r="AR132" s="547"/>
      <c r="AS132" s="545"/>
      <c r="AT132" s="546"/>
      <c r="AU132" s="546"/>
      <c r="AV132" s="547"/>
      <c r="AW132" s="545"/>
      <c r="AX132" s="546"/>
      <c r="AY132" s="546"/>
      <c r="AZ132" s="547"/>
      <c r="BG132" s="93"/>
      <c r="BH132" s="93"/>
      <c r="BI132" s="93"/>
      <c r="BJ132" s="176">
        <v>73</v>
      </c>
      <c r="BK132" s="164">
        <v>0</v>
      </c>
      <c r="BL132" s="165">
        <v>80.38</v>
      </c>
      <c r="BM132" s="165">
        <v>113.93</v>
      </c>
      <c r="BN132" s="165">
        <v>161.51</v>
      </c>
      <c r="BO132" s="165">
        <v>164.21</v>
      </c>
      <c r="BP132" s="165">
        <v>171.72</v>
      </c>
      <c r="BQ132" s="165">
        <v>144.34</v>
      </c>
      <c r="BR132" s="165">
        <v>173.53</v>
      </c>
      <c r="BS132" s="165">
        <v>255.39</v>
      </c>
      <c r="BT132" s="165">
        <v>359.73</v>
      </c>
      <c r="BU132" s="165">
        <v>382.65</v>
      </c>
      <c r="BV132" s="165">
        <v>171.72</v>
      </c>
      <c r="BW132" s="165">
        <v>144.34</v>
      </c>
      <c r="BX132" s="165">
        <v>173.53</v>
      </c>
      <c r="BY132" s="165">
        <v>255.39</v>
      </c>
      <c r="BZ132" s="165">
        <v>359.73</v>
      </c>
      <c r="CA132" s="165">
        <v>382.65</v>
      </c>
      <c r="CB132" s="176"/>
      <c r="CC132" s="126"/>
      <c r="CD132" s="126"/>
      <c r="CE132" s="143"/>
      <c r="CG132" s="129" t="s">
        <v>431</v>
      </c>
      <c r="CH132" s="130" t="s">
        <v>432</v>
      </c>
      <c r="CI132" s="131">
        <v>0</v>
      </c>
      <c r="CJ132" s="132">
        <v>1</v>
      </c>
      <c r="CK132" s="133">
        <v>2</v>
      </c>
      <c r="CL132" s="133">
        <v>3</v>
      </c>
      <c r="CM132" s="134">
        <v>4</v>
      </c>
      <c r="CN132" s="132">
        <v>5</v>
      </c>
      <c r="CO132" s="133">
        <v>6</v>
      </c>
      <c r="CP132" s="133">
        <v>7</v>
      </c>
      <c r="CQ132" s="133">
        <v>8</v>
      </c>
      <c r="CR132" s="133">
        <v>9</v>
      </c>
      <c r="CS132" s="134">
        <v>10</v>
      </c>
      <c r="CT132" s="135">
        <v>5</v>
      </c>
      <c r="CU132" s="133">
        <v>6</v>
      </c>
      <c r="CV132" s="133">
        <v>7</v>
      </c>
      <c r="CW132" s="133">
        <v>8</v>
      </c>
      <c r="CX132" s="133">
        <v>9</v>
      </c>
      <c r="CY132" s="134">
        <v>10</v>
      </c>
      <c r="CZ132" s="136"/>
    </row>
    <row r="133" spans="1:105">
      <c r="A133" s="107"/>
      <c r="B133" s="107"/>
      <c r="C133" s="107"/>
      <c r="D133" s="107"/>
      <c r="E133" s="548"/>
      <c r="F133" s="549"/>
      <c r="G133" s="549"/>
      <c r="H133" s="550"/>
      <c r="I133" s="540"/>
      <c r="J133" s="541"/>
      <c r="K133" s="541"/>
      <c r="L133" s="542"/>
      <c r="M133" s="540"/>
      <c r="N133" s="541"/>
      <c r="O133" s="541"/>
      <c r="P133" s="542"/>
      <c r="Q133" s="540"/>
      <c r="R133" s="541"/>
      <c r="S133" s="541"/>
      <c r="T133" s="542"/>
      <c r="U133" s="540"/>
      <c r="V133" s="541"/>
      <c r="W133" s="541"/>
      <c r="X133" s="542"/>
      <c r="Y133" s="540"/>
      <c r="Z133" s="541"/>
      <c r="AA133" s="541"/>
      <c r="AB133" s="542"/>
      <c r="AC133" s="540"/>
      <c r="AD133" s="541"/>
      <c r="AE133" s="541"/>
      <c r="AF133" s="542"/>
      <c r="AG133" s="540"/>
      <c r="AH133" s="541"/>
      <c r="AI133" s="541"/>
      <c r="AJ133" s="542"/>
      <c r="AK133" s="540"/>
      <c r="AL133" s="541"/>
      <c r="AM133" s="541"/>
      <c r="AN133" s="542"/>
      <c r="AO133" s="540"/>
      <c r="AP133" s="541"/>
      <c r="AQ133" s="541"/>
      <c r="AR133" s="542"/>
      <c r="AS133" s="540"/>
      <c r="AT133" s="541"/>
      <c r="AU133" s="541"/>
      <c r="AV133" s="542"/>
      <c r="AW133" s="540"/>
      <c r="AX133" s="541"/>
      <c r="AY133" s="541"/>
      <c r="AZ133" s="542"/>
      <c r="BG133" s="93"/>
      <c r="BH133" s="93"/>
      <c r="BI133" s="93"/>
      <c r="BJ133" s="176">
        <v>74</v>
      </c>
      <c r="BK133" s="164">
        <v>0</v>
      </c>
      <c r="BL133" s="165">
        <v>81.55</v>
      </c>
      <c r="BM133" s="165">
        <v>115.69</v>
      </c>
      <c r="BN133" s="165">
        <v>163.95</v>
      </c>
      <c r="BO133" s="165">
        <v>166.66</v>
      </c>
      <c r="BP133" s="165">
        <v>174.35</v>
      </c>
      <c r="BQ133" s="165">
        <v>146.52000000000001</v>
      </c>
      <c r="BR133" s="165">
        <v>176.19</v>
      </c>
      <c r="BS133" s="165">
        <v>259.52</v>
      </c>
      <c r="BT133" s="165">
        <v>365.64</v>
      </c>
      <c r="BU133" s="165">
        <v>388.86</v>
      </c>
      <c r="BV133" s="165">
        <v>174.35</v>
      </c>
      <c r="BW133" s="165">
        <v>146.52000000000001</v>
      </c>
      <c r="BX133" s="165">
        <v>176.19</v>
      </c>
      <c r="BY133" s="165">
        <v>259.52</v>
      </c>
      <c r="BZ133" s="165">
        <v>365.64</v>
      </c>
      <c r="CA133" s="165">
        <v>388.86</v>
      </c>
      <c r="CB133" s="176"/>
      <c r="CC133" s="126"/>
      <c r="CD133" s="126"/>
      <c r="CE133" s="143"/>
      <c r="CG133" s="144" t="s">
        <v>406</v>
      </c>
      <c r="CH133" s="145">
        <v>1</v>
      </c>
      <c r="CI133" s="146">
        <v>0</v>
      </c>
      <c r="CJ133" s="147">
        <v>43.29</v>
      </c>
      <c r="CK133" s="148">
        <v>45.46</v>
      </c>
      <c r="CL133" s="148">
        <v>49.61</v>
      </c>
      <c r="CM133" s="149">
        <v>50.33</v>
      </c>
      <c r="CN133" s="147">
        <v>52.17</v>
      </c>
      <c r="CO133" s="148">
        <v>42.45</v>
      </c>
      <c r="CP133" s="148">
        <v>53.07</v>
      </c>
      <c r="CQ133" s="148">
        <v>53.35</v>
      </c>
      <c r="CR133" s="148">
        <v>55.24</v>
      </c>
      <c r="CS133" s="149">
        <v>69.44</v>
      </c>
      <c r="CT133" s="150">
        <v>63.07</v>
      </c>
      <c r="CU133" s="148">
        <v>54.35</v>
      </c>
      <c r="CV133" s="148">
        <v>63.57</v>
      </c>
      <c r="CW133" s="148">
        <v>71.11</v>
      </c>
      <c r="CX133" s="148">
        <v>74.180000000000007</v>
      </c>
      <c r="CY133" s="149">
        <v>82.01</v>
      </c>
      <c r="CZ133" s="151"/>
    </row>
    <row r="134" spans="1:105">
      <c r="A134" s="107"/>
      <c r="B134" s="107"/>
      <c r="C134" s="107"/>
      <c r="D134" s="107"/>
      <c r="E134" s="551"/>
      <c r="F134" s="552"/>
      <c r="G134" s="552"/>
      <c r="H134" s="553"/>
      <c r="I134" s="545"/>
      <c r="J134" s="546"/>
      <c r="K134" s="546"/>
      <c r="L134" s="547"/>
      <c r="M134" s="545"/>
      <c r="N134" s="546"/>
      <c r="O134" s="546"/>
      <c r="P134" s="547"/>
      <c r="Q134" s="545"/>
      <c r="R134" s="546"/>
      <c r="S134" s="546"/>
      <c r="T134" s="547"/>
      <c r="U134" s="545"/>
      <c r="V134" s="546"/>
      <c r="W134" s="546"/>
      <c r="X134" s="547"/>
      <c r="Y134" s="545"/>
      <c r="Z134" s="546"/>
      <c r="AA134" s="546"/>
      <c r="AB134" s="547"/>
      <c r="AC134" s="545"/>
      <c r="AD134" s="546"/>
      <c r="AE134" s="546"/>
      <c r="AF134" s="547"/>
      <c r="AG134" s="545"/>
      <c r="AH134" s="546"/>
      <c r="AI134" s="546"/>
      <c r="AJ134" s="547"/>
      <c r="AK134" s="545"/>
      <c r="AL134" s="546"/>
      <c r="AM134" s="546"/>
      <c r="AN134" s="547"/>
      <c r="AO134" s="545"/>
      <c r="AP134" s="546"/>
      <c r="AQ134" s="546"/>
      <c r="AR134" s="547"/>
      <c r="AS134" s="545"/>
      <c r="AT134" s="546"/>
      <c r="AU134" s="546"/>
      <c r="AV134" s="547"/>
      <c r="AW134" s="545"/>
      <c r="AX134" s="546"/>
      <c r="AY134" s="546"/>
      <c r="AZ134" s="547"/>
      <c r="BG134" s="93"/>
      <c r="BH134" s="93"/>
      <c r="BI134" s="93"/>
      <c r="BJ134" s="176">
        <v>75</v>
      </c>
      <c r="BK134" s="164">
        <v>0</v>
      </c>
      <c r="BL134" s="165">
        <v>82.72</v>
      </c>
      <c r="BM134" s="165">
        <v>117.45</v>
      </c>
      <c r="BN134" s="165">
        <v>166.39</v>
      </c>
      <c r="BO134" s="165">
        <v>169.1</v>
      </c>
      <c r="BP134" s="165">
        <v>176.97</v>
      </c>
      <c r="BQ134" s="165">
        <v>148.69999999999999</v>
      </c>
      <c r="BR134" s="165">
        <v>178.85</v>
      </c>
      <c r="BS134" s="165">
        <v>263.66000000000003</v>
      </c>
      <c r="BT134" s="165">
        <v>371.54</v>
      </c>
      <c r="BU134" s="165">
        <v>395.07</v>
      </c>
      <c r="BV134" s="165">
        <v>176.97</v>
      </c>
      <c r="BW134" s="165">
        <v>148.69999999999999</v>
      </c>
      <c r="BX134" s="165">
        <v>178.85</v>
      </c>
      <c r="BY134" s="165">
        <v>263.66000000000003</v>
      </c>
      <c r="BZ134" s="165">
        <v>371.54</v>
      </c>
      <c r="CA134" s="165">
        <v>395.07</v>
      </c>
      <c r="CB134" s="176"/>
      <c r="CC134" s="126"/>
      <c r="CD134" s="126"/>
      <c r="CE134" s="143"/>
      <c r="CG134" s="155" t="s">
        <v>407</v>
      </c>
      <c r="CH134" s="156">
        <v>2</v>
      </c>
      <c r="CI134" s="157">
        <v>0</v>
      </c>
      <c r="CJ134" s="158">
        <v>8.26</v>
      </c>
      <c r="CK134" s="159">
        <v>7.93</v>
      </c>
      <c r="CL134" s="159">
        <v>9.44</v>
      </c>
      <c r="CM134" s="160">
        <v>9.5500000000000007</v>
      </c>
      <c r="CN134" s="158">
        <v>8.5399999999999991</v>
      </c>
      <c r="CO134" s="159">
        <v>5.42</v>
      </c>
      <c r="CP134" s="159">
        <v>8.5399999999999991</v>
      </c>
      <c r="CQ134" s="159">
        <v>9.2799999999999994</v>
      </c>
      <c r="CR134" s="159">
        <v>13.13</v>
      </c>
      <c r="CS134" s="160">
        <v>13.74</v>
      </c>
      <c r="CT134" s="161">
        <v>8.0399999999999991</v>
      </c>
      <c r="CU134" s="159">
        <v>5.37</v>
      </c>
      <c r="CV134" s="159">
        <v>8.0399999999999991</v>
      </c>
      <c r="CW134" s="159">
        <v>9.0500000000000007</v>
      </c>
      <c r="CX134" s="159">
        <v>13.24</v>
      </c>
      <c r="CY134" s="160">
        <v>13.46</v>
      </c>
      <c r="CZ134" s="162"/>
    </row>
    <row r="135" spans="1:105">
      <c r="A135" s="107"/>
      <c r="B135" s="107"/>
      <c r="C135" s="107"/>
      <c r="D135" s="107"/>
      <c r="E135" s="548"/>
      <c r="F135" s="549"/>
      <c r="G135" s="549"/>
      <c r="H135" s="550"/>
      <c r="I135" s="540"/>
      <c r="J135" s="541"/>
      <c r="K135" s="541"/>
      <c r="L135" s="542"/>
      <c r="M135" s="540"/>
      <c r="N135" s="541"/>
      <c r="O135" s="541"/>
      <c r="P135" s="542"/>
      <c r="Q135" s="540"/>
      <c r="R135" s="541"/>
      <c r="S135" s="541"/>
      <c r="T135" s="542"/>
      <c r="U135" s="540"/>
      <c r="V135" s="541"/>
      <c r="W135" s="541"/>
      <c r="X135" s="542"/>
      <c r="Y135" s="540"/>
      <c r="Z135" s="541"/>
      <c r="AA135" s="541"/>
      <c r="AB135" s="542"/>
      <c r="AC135" s="540"/>
      <c r="AD135" s="541"/>
      <c r="AE135" s="541"/>
      <c r="AF135" s="542"/>
      <c r="AG135" s="540"/>
      <c r="AH135" s="541"/>
      <c r="AI135" s="541"/>
      <c r="AJ135" s="542"/>
      <c r="AK135" s="540"/>
      <c r="AL135" s="541"/>
      <c r="AM135" s="541"/>
      <c r="AN135" s="542"/>
      <c r="AO135" s="540"/>
      <c r="AP135" s="541"/>
      <c r="AQ135" s="541"/>
      <c r="AR135" s="542"/>
      <c r="AS135" s="540"/>
      <c r="AT135" s="541"/>
      <c r="AU135" s="541"/>
      <c r="AV135" s="542"/>
      <c r="AW135" s="540"/>
      <c r="AX135" s="541"/>
      <c r="AY135" s="541"/>
      <c r="AZ135" s="542"/>
      <c r="BG135" s="93"/>
      <c r="BH135" s="93"/>
      <c r="BI135" s="93"/>
      <c r="BJ135" s="176">
        <v>76</v>
      </c>
      <c r="BK135" s="164">
        <v>0</v>
      </c>
      <c r="BL135" s="165">
        <v>83.88</v>
      </c>
      <c r="BM135" s="165">
        <v>119.21</v>
      </c>
      <c r="BN135" s="165">
        <v>168.84</v>
      </c>
      <c r="BO135" s="165">
        <v>171.54</v>
      </c>
      <c r="BP135" s="165">
        <v>179.59</v>
      </c>
      <c r="BQ135" s="165">
        <v>150.87</v>
      </c>
      <c r="BR135" s="165">
        <v>181.5</v>
      </c>
      <c r="BS135" s="165">
        <v>267.79000000000002</v>
      </c>
      <c r="BT135" s="165">
        <v>377.45</v>
      </c>
      <c r="BU135" s="165">
        <v>401.27</v>
      </c>
      <c r="BV135" s="165">
        <v>179.59</v>
      </c>
      <c r="BW135" s="165">
        <v>150.87</v>
      </c>
      <c r="BX135" s="165">
        <v>181.5</v>
      </c>
      <c r="BY135" s="165">
        <v>267.79000000000002</v>
      </c>
      <c r="BZ135" s="165">
        <v>377.45</v>
      </c>
      <c r="CA135" s="165">
        <v>401.27</v>
      </c>
      <c r="CB135" s="176"/>
      <c r="CC135" s="126"/>
      <c r="CD135" s="126"/>
      <c r="CE135" s="143"/>
      <c r="CG135" s="166" t="s">
        <v>408</v>
      </c>
      <c r="CH135" s="167">
        <v>3</v>
      </c>
      <c r="CI135" s="157">
        <v>0</v>
      </c>
      <c r="CJ135" s="158">
        <v>2.41</v>
      </c>
      <c r="CK135" s="159">
        <v>3.74</v>
      </c>
      <c r="CL135" s="159">
        <v>5.03</v>
      </c>
      <c r="CM135" s="160">
        <v>5.08</v>
      </c>
      <c r="CN135" s="158">
        <v>4.7</v>
      </c>
      <c r="CO135" s="159">
        <v>3.74</v>
      </c>
      <c r="CP135" s="159">
        <v>4.7</v>
      </c>
      <c r="CQ135" s="159">
        <v>5.8</v>
      </c>
      <c r="CR135" s="159">
        <v>8.49</v>
      </c>
      <c r="CS135" s="160">
        <v>8.8800000000000008</v>
      </c>
      <c r="CT135" s="161">
        <v>4.7</v>
      </c>
      <c r="CU135" s="159">
        <v>3.96</v>
      </c>
      <c r="CV135" s="159">
        <v>4.7</v>
      </c>
      <c r="CW135" s="159">
        <v>5.2</v>
      </c>
      <c r="CX135" s="159">
        <v>7.66</v>
      </c>
      <c r="CY135" s="160">
        <v>8.5399999999999991</v>
      </c>
      <c r="CZ135" s="168"/>
    </row>
    <row r="136" spans="1:105">
      <c r="A136" s="107"/>
      <c r="B136" s="107"/>
      <c r="C136" s="107"/>
      <c r="D136" s="107"/>
      <c r="E136" s="551"/>
      <c r="F136" s="552"/>
      <c r="G136" s="552"/>
      <c r="H136" s="553"/>
      <c r="I136" s="545"/>
      <c r="J136" s="546"/>
      <c r="K136" s="546"/>
      <c r="L136" s="547"/>
      <c r="M136" s="545"/>
      <c r="N136" s="546"/>
      <c r="O136" s="546"/>
      <c r="P136" s="547"/>
      <c r="Q136" s="545"/>
      <c r="R136" s="546"/>
      <c r="S136" s="546"/>
      <c r="T136" s="547"/>
      <c r="U136" s="545"/>
      <c r="V136" s="546"/>
      <c r="W136" s="546"/>
      <c r="X136" s="547"/>
      <c r="Y136" s="545"/>
      <c r="Z136" s="546"/>
      <c r="AA136" s="546"/>
      <c r="AB136" s="547"/>
      <c r="AC136" s="545"/>
      <c r="AD136" s="546"/>
      <c r="AE136" s="546"/>
      <c r="AF136" s="547"/>
      <c r="AG136" s="545"/>
      <c r="AH136" s="546"/>
      <c r="AI136" s="546"/>
      <c r="AJ136" s="547"/>
      <c r="AK136" s="545"/>
      <c r="AL136" s="546"/>
      <c r="AM136" s="546"/>
      <c r="AN136" s="547"/>
      <c r="AO136" s="545"/>
      <c r="AP136" s="546"/>
      <c r="AQ136" s="546"/>
      <c r="AR136" s="547"/>
      <c r="AS136" s="545"/>
      <c r="AT136" s="546"/>
      <c r="AU136" s="546"/>
      <c r="AV136" s="547"/>
      <c r="AW136" s="545"/>
      <c r="AX136" s="546"/>
      <c r="AY136" s="546"/>
      <c r="AZ136" s="547"/>
      <c r="BG136" s="93"/>
      <c r="BH136" s="93"/>
      <c r="BI136" s="93"/>
      <c r="BJ136" s="176">
        <v>77</v>
      </c>
      <c r="BK136" s="164">
        <v>0</v>
      </c>
      <c r="BL136" s="165">
        <v>85.05</v>
      </c>
      <c r="BM136" s="165">
        <v>120.97</v>
      </c>
      <c r="BN136" s="165">
        <v>171.28</v>
      </c>
      <c r="BO136" s="165">
        <v>173.99</v>
      </c>
      <c r="BP136" s="165">
        <v>182.22</v>
      </c>
      <c r="BQ136" s="165">
        <v>153.05000000000001</v>
      </c>
      <c r="BR136" s="165">
        <v>184.16</v>
      </c>
      <c r="BS136" s="165">
        <v>271.93</v>
      </c>
      <c r="BT136" s="165">
        <v>383.36</v>
      </c>
      <c r="BU136" s="165">
        <v>407.48</v>
      </c>
      <c r="BV136" s="165">
        <v>182.22</v>
      </c>
      <c r="BW136" s="165">
        <v>153.05000000000001</v>
      </c>
      <c r="BX136" s="165">
        <v>184.16</v>
      </c>
      <c r="BY136" s="165">
        <v>271.93</v>
      </c>
      <c r="BZ136" s="165">
        <v>383.36</v>
      </c>
      <c r="CA136" s="165">
        <v>407.48</v>
      </c>
      <c r="CB136" s="176"/>
      <c r="CC136" s="126"/>
      <c r="CD136" s="126"/>
      <c r="CE136" s="143"/>
      <c r="CG136" s="170">
        <v>2.5</v>
      </c>
      <c r="CH136" s="171">
        <v>4</v>
      </c>
      <c r="CI136" s="157">
        <v>0</v>
      </c>
      <c r="CJ136" s="158">
        <v>2.34</v>
      </c>
      <c r="CK136" s="159">
        <v>3.68</v>
      </c>
      <c r="CL136" s="159">
        <v>4.97</v>
      </c>
      <c r="CM136" s="160">
        <v>5.03</v>
      </c>
      <c r="CN136" s="158">
        <v>15.030000000000001</v>
      </c>
      <c r="CO136" s="159">
        <v>16.249999999999986</v>
      </c>
      <c r="CP136" s="159">
        <v>14.700000000000003</v>
      </c>
      <c r="CQ136" s="159">
        <v>21.53</v>
      </c>
      <c r="CR136" s="159">
        <v>25.049999999999997</v>
      </c>
      <c r="CS136" s="160">
        <v>20.149999999999991</v>
      </c>
      <c r="CT136" s="161">
        <v>4.63</v>
      </c>
      <c r="CU136" s="159">
        <v>3.96</v>
      </c>
      <c r="CV136" s="159">
        <v>4.7</v>
      </c>
      <c r="CW136" s="159">
        <v>5.2</v>
      </c>
      <c r="CX136" s="159">
        <v>7.66</v>
      </c>
      <c r="CY136" s="160">
        <v>8.5399999999999991</v>
      </c>
      <c r="CZ136" s="172"/>
    </row>
    <row r="137" spans="1:105">
      <c r="A137" s="107"/>
      <c r="B137" s="107"/>
      <c r="C137" s="107"/>
      <c r="D137" s="107"/>
      <c r="E137" s="548"/>
      <c r="F137" s="549"/>
      <c r="G137" s="549"/>
      <c r="H137" s="550"/>
      <c r="I137" s="540"/>
      <c r="J137" s="541"/>
      <c r="K137" s="541"/>
      <c r="L137" s="542"/>
      <c r="M137" s="540"/>
      <c r="N137" s="541"/>
      <c r="O137" s="541"/>
      <c r="P137" s="542"/>
      <c r="Q137" s="540"/>
      <c r="R137" s="541"/>
      <c r="S137" s="541"/>
      <c r="T137" s="542"/>
      <c r="U137" s="540"/>
      <c r="V137" s="541"/>
      <c r="W137" s="541"/>
      <c r="X137" s="542"/>
      <c r="Y137" s="540"/>
      <c r="Z137" s="541"/>
      <c r="AA137" s="541"/>
      <c r="AB137" s="542"/>
      <c r="AC137" s="540"/>
      <c r="AD137" s="541"/>
      <c r="AE137" s="541"/>
      <c r="AF137" s="542"/>
      <c r="AG137" s="540"/>
      <c r="AH137" s="541"/>
      <c r="AI137" s="541"/>
      <c r="AJ137" s="542"/>
      <c r="AK137" s="540"/>
      <c r="AL137" s="541"/>
      <c r="AM137" s="541"/>
      <c r="AN137" s="542"/>
      <c r="AO137" s="540"/>
      <c r="AP137" s="541"/>
      <c r="AQ137" s="541"/>
      <c r="AR137" s="542"/>
      <c r="AS137" s="540"/>
      <c r="AT137" s="541"/>
      <c r="AU137" s="541"/>
      <c r="AV137" s="542"/>
      <c r="AW137" s="540"/>
      <c r="AX137" s="541"/>
      <c r="AY137" s="541"/>
      <c r="AZ137" s="542"/>
      <c r="BG137" s="93"/>
      <c r="BH137" s="93"/>
      <c r="BI137" s="93"/>
      <c r="BJ137" s="176">
        <v>78</v>
      </c>
      <c r="BK137" s="164">
        <v>0</v>
      </c>
      <c r="BL137" s="165">
        <v>86.22</v>
      </c>
      <c r="BM137" s="165">
        <v>122.73</v>
      </c>
      <c r="BN137" s="165">
        <v>173.72</v>
      </c>
      <c r="BO137" s="165">
        <v>176.43</v>
      </c>
      <c r="BP137" s="165">
        <v>184.84</v>
      </c>
      <c r="BQ137" s="165">
        <v>155.22999999999999</v>
      </c>
      <c r="BR137" s="165">
        <v>186.82</v>
      </c>
      <c r="BS137" s="165">
        <v>276.06</v>
      </c>
      <c r="BT137" s="165">
        <v>389.27</v>
      </c>
      <c r="BU137" s="165">
        <v>413.69</v>
      </c>
      <c r="BV137" s="165">
        <v>184.84</v>
      </c>
      <c r="BW137" s="165">
        <v>155.22999999999999</v>
      </c>
      <c r="BX137" s="165">
        <v>186.82</v>
      </c>
      <c r="BY137" s="165">
        <v>276.06</v>
      </c>
      <c r="BZ137" s="165">
        <v>389.27</v>
      </c>
      <c r="CA137" s="165">
        <v>413.69</v>
      </c>
      <c r="CB137" s="176"/>
      <c r="CC137" s="126"/>
      <c r="CD137" s="126"/>
      <c r="CE137" s="143"/>
      <c r="CG137" s="173" t="s">
        <v>409</v>
      </c>
      <c r="CH137" s="174">
        <v>5</v>
      </c>
      <c r="CI137" s="157">
        <v>0</v>
      </c>
      <c r="CJ137" s="158">
        <v>2.0699999999999998</v>
      </c>
      <c r="CK137" s="159">
        <v>3.07</v>
      </c>
      <c r="CL137" s="159">
        <v>4.47</v>
      </c>
      <c r="CM137" s="160">
        <v>4.53</v>
      </c>
      <c r="CN137" s="158">
        <v>4.13</v>
      </c>
      <c r="CO137" s="159">
        <v>3.63</v>
      </c>
      <c r="CP137" s="159">
        <v>4.3</v>
      </c>
      <c r="CQ137" s="159">
        <v>5.37</v>
      </c>
      <c r="CR137" s="159">
        <v>7.54</v>
      </c>
      <c r="CS137" s="160">
        <v>8.43</v>
      </c>
      <c r="CT137" s="161">
        <v>4.13</v>
      </c>
      <c r="CU137" s="159">
        <v>3.63</v>
      </c>
      <c r="CV137" s="159">
        <v>4.3</v>
      </c>
      <c r="CW137" s="159">
        <v>5.37</v>
      </c>
      <c r="CX137" s="159">
        <v>7.54</v>
      </c>
      <c r="CY137" s="160">
        <v>8.43</v>
      </c>
      <c r="CZ137" s="175"/>
    </row>
    <row r="138" spans="1:105">
      <c r="A138" s="107"/>
      <c r="B138" s="107"/>
      <c r="C138" s="107"/>
      <c r="D138" s="107"/>
      <c r="E138" s="551"/>
      <c r="F138" s="552"/>
      <c r="G138" s="552"/>
      <c r="H138" s="553"/>
      <c r="I138" s="545"/>
      <c r="J138" s="546"/>
      <c r="K138" s="546"/>
      <c r="L138" s="547"/>
      <c r="M138" s="545"/>
      <c r="N138" s="546"/>
      <c r="O138" s="546"/>
      <c r="P138" s="547"/>
      <c r="Q138" s="545"/>
      <c r="R138" s="546"/>
      <c r="S138" s="546"/>
      <c r="T138" s="547"/>
      <c r="U138" s="545"/>
      <c r="V138" s="546"/>
      <c r="W138" s="546"/>
      <c r="X138" s="547"/>
      <c r="Y138" s="545"/>
      <c r="Z138" s="546"/>
      <c r="AA138" s="546"/>
      <c r="AB138" s="547"/>
      <c r="AC138" s="545"/>
      <c r="AD138" s="546"/>
      <c r="AE138" s="546"/>
      <c r="AF138" s="547"/>
      <c r="AG138" s="545"/>
      <c r="AH138" s="546"/>
      <c r="AI138" s="546"/>
      <c r="AJ138" s="547"/>
      <c r="AK138" s="545"/>
      <c r="AL138" s="546"/>
      <c r="AM138" s="546"/>
      <c r="AN138" s="547"/>
      <c r="AO138" s="545"/>
      <c r="AP138" s="546"/>
      <c r="AQ138" s="546"/>
      <c r="AR138" s="547"/>
      <c r="AS138" s="545"/>
      <c r="AT138" s="546"/>
      <c r="AU138" s="546"/>
      <c r="AV138" s="547"/>
      <c r="AW138" s="545"/>
      <c r="AX138" s="546"/>
      <c r="AY138" s="546"/>
      <c r="AZ138" s="547"/>
      <c r="BG138" s="93"/>
      <c r="BH138" s="93"/>
      <c r="BI138" s="93"/>
      <c r="BJ138" s="176">
        <v>79</v>
      </c>
      <c r="BK138" s="164">
        <v>0</v>
      </c>
      <c r="BL138" s="165">
        <v>87.38</v>
      </c>
      <c r="BM138" s="165">
        <v>124.49</v>
      </c>
      <c r="BN138" s="165">
        <v>176.16</v>
      </c>
      <c r="BO138" s="165">
        <v>178.87</v>
      </c>
      <c r="BP138" s="165">
        <v>187.46</v>
      </c>
      <c r="BQ138" s="165">
        <v>157.4</v>
      </c>
      <c r="BR138" s="165">
        <v>189.48</v>
      </c>
      <c r="BS138" s="165">
        <v>280.2</v>
      </c>
      <c r="BT138" s="165">
        <v>395.18</v>
      </c>
      <c r="BU138" s="165">
        <v>419.89</v>
      </c>
      <c r="BV138" s="165">
        <v>187.46</v>
      </c>
      <c r="BW138" s="165">
        <v>157.4</v>
      </c>
      <c r="BX138" s="165">
        <v>189.48</v>
      </c>
      <c r="BY138" s="165">
        <v>280.2</v>
      </c>
      <c r="BZ138" s="165">
        <v>395.18</v>
      </c>
      <c r="CA138" s="165">
        <v>419.89</v>
      </c>
      <c r="CB138" s="176"/>
      <c r="CC138" s="126"/>
      <c r="CD138" s="126"/>
      <c r="CE138" s="143"/>
      <c r="CG138" s="177" t="s">
        <v>410</v>
      </c>
      <c r="CH138" s="178">
        <v>6</v>
      </c>
      <c r="CI138" s="157">
        <v>0</v>
      </c>
      <c r="CJ138" s="158">
        <v>2.0099999999999998</v>
      </c>
      <c r="CK138" s="159">
        <v>3.24</v>
      </c>
      <c r="CL138" s="159">
        <v>4.25</v>
      </c>
      <c r="CM138" s="160">
        <v>4.3600000000000003</v>
      </c>
      <c r="CN138" s="158">
        <v>4.08</v>
      </c>
      <c r="CO138" s="159">
        <v>3.51</v>
      </c>
      <c r="CP138" s="159">
        <v>3.96</v>
      </c>
      <c r="CQ138" s="159">
        <v>5.3</v>
      </c>
      <c r="CR138" s="159">
        <v>7.26</v>
      </c>
      <c r="CS138" s="160">
        <v>8.16</v>
      </c>
      <c r="CT138" s="161">
        <v>4.08</v>
      </c>
      <c r="CU138" s="159">
        <v>3.51</v>
      </c>
      <c r="CV138" s="159">
        <v>3.96</v>
      </c>
      <c r="CW138" s="159">
        <v>5.3</v>
      </c>
      <c r="CX138" s="159">
        <v>7.26</v>
      </c>
      <c r="CY138" s="160">
        <v>8.16</v>
      </c>
      <c r="CZ138" s="179"/>
    </row>
    <row r="139" spans="1:105">
      <c r="A139" s="107"/>
      <c r="B139" s="107"/>
      <c r="C139" s="107"/>
      <c r="D139" s="107"/>
      <c r="E139" s="548"/>
      <c r="F139" s="549"/>
      <c r="G139" s="549"/>
      <c r="H139" s="550"/>
      <c r="I139" s="540"/>
      <c r="J139" s="541"/>
      <c r="K139" s="541"/>
      <c r="L139" s="542"/>
      <c r="M139" s="540"/>
      <c r="N139" s="541"/>
      <c r="O139" s="541"/>
      <c r="P139" s="542"/>
      <c r="Q139" s="540"/>
      <c r="R139" s="541"/>
      <c r="S139" s="541"/>
      <c r="T139" s="542"/>
      <c r="U139" s="540"/>
      <c r="V139" s="541"/>
      <c r="W139" s="541"/>
      <c r="X139" s="542"/>
      <c r="Y139" s="540"/>
      <c r="Z139" s="541"/>
      <c r="AA139" s="541"/>
      <c r="AB139" s="542"/>
      <c r="AC139" s="540"/>
      <c r="AD139" s="541"/>
      <c r="AE139" s="541"/>
      <c r="AF139" s="542"/>
      <c r="AG139" s="540"/>
      <c r="AH139" s="541"/>
      <c r="AI139" s="541"/>
      <c r="AJ139" s="542"/>
      <c r="AK139" s="540"/>
      <c r="AL139" s="541"/>
      <c r="AM139" s="541"/>
      <c r="AN139" s="542"/>
      <c r="AO139" s="540"/>
      <c r="AP139" s="541"/>
      <c r="AQ139" s="541"/>
      <c r="AR139" s="542"/>
      <c r="AS139" s="540"/>
      <c r="AT139" s="541"/>
      <c r="AU139" s="541"/>
      <c r="AV139" s="542"/>
      <c r="AW139" s="540"/>
      <c r="AX139" s="541"/>
      <c r="AY139" s="541"/>
      <c r="AZ139" s="542"/>
      <c r="BG139" s="93"/>
      <c r="BH139" s="93"/>
      <c r="BI139" s="93"/>
      <c r="BJ139" s="176">
        <v>80</v>
      </c>
      <c r="BK139" s="164">
        <v>0</v>
      </c>
      <c r="BL139" s="165">
        <v>88.55</v>
      </c>
      <c r="BM139" s="165">
        <v>126.24</v>
      </c>
      <c r="BN139" s="165">
        <v>178.61</v>
      </c>
      <c r="BO139" s="165">
        <v>181.32</v>
      </c>
      <c r="BP139" s="165">
        <v>190.09</v>
      </c>
      <c r="BQ139" s="165">
        <v>159.58000000000001</v>
      </c>
      <c r="BR139" s="165">
        <v>192.14</v>
      </c>
      <c r="BS139" s="165">
        <v>284.33</v>
      </c>
      <c r="BT139" s="165">
        <v>401.09</v>
      </c>
      <c r="BU139" s="165">
        <v>426.1</v>
      </c>
      <c r="BV139" s="165">
        <v>190.09</v>
      </c>
      <c r="BW139" s="165">
        <v>159.58000000000001</v>
      </c>
      <c r="BX139" s="165">
        <v>192.14</v>
      </c>
      <c r="BY139" s="165">
        <v>284.33</v>
      </c>
      <c r="BZ139" s="165">
        <v>401.09</v>
      </c>
      <c r="CA139" s="165">
        <v>426.1</v>
      </c>
      <c r="CB139" s="176"/>
      <c r="CC139" s="126"/>
      <c r="CD139" s="126"/>
      <c r="CE139" s="143"/>
      <c r="CG139" s="181" t="s">
        <v>411</v>
      </c>
      <c r="CH139" s="182">
        <v>7</v>
      </c>
      <c r="CI139" s="157">
        <v>0</v>
      </c>
      <c r="CJ139" s="158">
        <v>1.29</v>
      </c>
      <c r="CK139" s="159">
        <v>2.12</v>
      </c>
      <c r="CL139" s="159">
        <v>3.29</v>
      </c>
      <c r="CM139" s="160">
        <v>3.35</v>
      </c>
      <c r="CN139" s="158">
        <v>3.29</v>
      </c>
      <c r="CO139" s="159">
        <v>2.68</v>
      </c>
      <c r="CP139" s="159">
        <v>3.35</v>
      </c>
      <c r="CQ139" s="159">
        <v>5.08</v>
      </c>
      <c r="CR139" s="159">
        <v>7.04</v>
      </c>
      <c r="CS139" s="160">
        <v>7.43</v>
      </c>
      <c r="CT139" s="161">
        <v>3.29</v>
      </c>
      <c r="CU139" s="159">
        <v>2.68</v>
      </c>
      <c r="CV139" s="159">
        <v>3.35</v>
      </c>
      <c r="CW139" s="159">
        <v>5.08</v>
      </c>
      <c r="CX139" s="159">
        <v>7.04</v>
      </c>
      <c r="CY139" s="160">
        <v>7.43</v>
      </c>
      <c r="CZ139" s="183"/>
    </row>
    <row r="140" spans="1:105">
      <c r="A140" s="107"/>
      <c r="B140" s="107"/>
      <c r="C140" s="107"/>
      <c r="D140" s="107"/>
      <c r="E140" s="551"/>
      <c r="F140" s="552"/>
      <c r="G140" s="552"/>
      <c r="H140" s="553"/>
      <c r="I140" s="545"/>
      <c r="J140" s="546"/>
      <c r="K140" s="546"/>
      <c r="L140" s="547"/>
      <c r="M140" s="545"/>
      <c r="N140" s="546"/>
      <c r="O140" s="546"/>
      <c r="P140" s="547"/>
      <c r="Q140" s="545"/>
      <c r="R140" s="546"/>
      <c r="S140" s="546"/>
      <c r="T140" s="547"/>
      <c r="U140" s="545"/>
      <c r="V140" s="546"/>
      <c r="W140" s="546"/>
      <c r="X140" s="547"/>
      <c r="Y140" s="545"/>
      <c r="Z140" s="546"/>
      <c r="AA140" s="546"/>
      <c r="AB140" s="547"/>
      <c r="AC140" s="545"/>
      <c r="AD140" s="546"/>
      <c r="AE140" s="546"/>
      <c r="AF140" s="547"/>
      <c r="AG140" s="545"/>
      <c r="AH140" s="546"/>
      <c r="AI140" s="546"/>
      <c r="AJ140" s="547"/>
      <c r="AK140" s="545"/>
      <c r="AL140" s="546"/>
      <c r="AM140" s="546"/>
      <c r="AN140" s="547"/>
      <c r="AO140" s="545"/>
      <c r="AP140" s="546"/>
      <c r="AQ140" s="546"/>
      <c r="AR140" s="547"/>
      <c r="AS140" s="545"/>
      <c r="AT140" s="546"/>
      <c r="AU140" s="546"/>
      <c r="AV140" s="547"/>
      <c r="AW140" s="545"/>
      <c r="AX140" s="546"/>
      <c r="AY140" s="546"/>
      <c r="AZ140" s="547"/>
      <c r="BG140" s="93"/>
      <c r="BH140" s="93"/>
      <c r="BI140" s="93"/>
      <c r="BJ140" s="176">
        <v>81</v>
      </c>
      <c r="BK140" s="164">
        <v>0</v>
      </c>
      <c r="BL140" s="165">
        <v>89.71</v>
      </c>
      <c r="BM140" s="165">
        <v>128</v>
      </c>
      <c r="BN140" s="165">
        <v>181.05</v>
      </c>
      <c r="BO140" s="165">
        <v>183.76</v>
      </c>
      <c r="BP140" s="165">
        <v>192.71</v>
      </c>
      <c r="BQ140" s="165">
        <v>161.76</v>
      </c>
      <c r="BR140" s="165">
        <v>194.8</v>
      </c>
      <c r="BS140" s="165">
        <v>288.47000000000003</v>
      </c>
      <c r="BT140" s="165">
        <v>407</v>
      </c>
      <c r="BU140" s="165">
        <v>432.3</v>
      </c>
      <c r="BV140" s="165">
        <v>192.71</v>
      </c>
      <c r="BW140" s="165">
        <v>161.76</v>
      </c>
      <c r="BX140" s="165">
        <v>194.8</v>
      </c>
      <c r="BY140" s="165">
        <v>288.47000000000003</v>
      </c>
      <c r="BZ140" s="165">
        <v>407</v>
      </c>
      <c r="CA140" s="165">
        <v>432.3</v>
      </c>
      <c r="CB140" s="176"/>
      <c r="CC140" s="126"/>
      <c r="CD140" s="126"/>
      <c r="CE140" s="143"/>
      <c r="CG140" s="184" t="s">
        <v>412</v>
      </c>
      <c r="CH140" s="185">
        <v>8</v>
      </c>
      <c r="CI140" s="157">
        <v>0</v>
      </c>
      <c r="CJ140" s="158">
        <v>1.45</v>
      </c>
      <c r="CK140" s="159">
        <v>2.0699999999999998</v>
      </c>
      <c r="CL140" s="159">
        <v>3.24</v>
      </c>
      <c r="CM140" s="160">
        <v>3.29</v>
      </c>
      <c r="CN140" s="158">
        <v>3.29</v>
      </c>
      <c r="CO140" s="159">
        <v>2.68</v>
      </c>
      <c r="CP140" s="159">
        <v>3.29</v>
      </c>
      <c r="CQ140" s="159">
        <v>4.8600000000000003</v>
      </c>
      <c r="CR140" s="159">
        <v>7.09</v>
      </c>
      <c r="CS140" s="160">
        <v>7.59</v>
      </c>
      <c r="CT140" s="161">
        <v>3.29</v>
      </c>
      <c r="CU140" s="159">
        <v>2.68</v>
      </c>
      <c r="CV140" s="159">
        <v>3.29</v>
      </c>
      <c r="CW140" s="159">
        <v>4.8600000000000003</v>
      </c>
      <c r="CX140" s="159">
        <v>7.09</v>
      </c>
      <c r="CY140" s="160">
        <v>7.59</v>
      </c>
      <c r="CZ140" s="186"/>
    </row>
    <row r="141" spans="1:105">
      <c r="A141" s="107"/>
      <c r="B141" s="107"/>
      <c r="C141" s="107"/>
      <c r="D141" s="107"/>
      <c r="E141" s="548"/>
      <c r="F141" s="549"/>
      <c r="G141" s="549"/>
      <c r="H141" s="550"/>
      <c r="I141" s="540"/>
      <c r="J141" s="541"/>
      <c r="K141" s="541"/>
      <c r="L141" s="542"/>
      <c r="M141" s="540"/>
      <c r="N141" s="541"/>
      <c r="O141" s="541"/>
      <c r="P141" s="542"/>
      <c r="Q141" s="540"/>
      <c r="R141" s="541"/>
      <c r="S141" s="541"/>
      <c r="T141" s="542"/>
      <c r="U141" s="540"/>
      <c r="V141" s="541"/>
      <c r="W141" s="541"/>
      <c r="X141" s="542"/>
      <c r="Y141" s="540"/>
      <c r="Z141" s="541"/>
      <c r="AA141" s="541"/>
      <c r="AB141" s="542"/>
      <c r="AC141" s="540"/>
      <c r="AD141" s="541"/>
      <c r="AE141" s="541"/>
      <c r="AF141" s="542"/>
      <c r="AG141" s="540"/>
      <c r="AH141" s="541"/>
      <c r="AI141" s="541"/>
      <c r="AJ141" s="542"/>
      <c r="AK141" s="540"/>
      <c r="AL141" s="541"/>
      <c r="AM141" s="541"/>
      <c r="AN141" s="542"/>
      <c r="AO141" s="540"/>
      <c r="AP141" s="541"/>
      <c r="AQ141" s="541"/>
      <c r="AR141" s="542"/>
      <c r="AS141" s="540"/>
      <c r="AT141" s="541"/>
      <c r="AU141" s="541"/>
      <c r="AV141" s="542"/>
      <c r="AW141" s="540"/>
      <c r="AX141" s="541"/>
      <c r="AY141" s="541"/>
      <c r="AZ141" s="542"/>
      <c r="BG141" s="93"/>
      <c r="BH141" s="93"/>
      <c r="BI141" s="93"/>
      <c r="BJ141" s="176">
        <v>82</v>
      </c>
      <c r="BK141" s="164">
        <v>0</v>
      </c>
      <c r="BL141" s="165">
        <v>90.88</v>
      </c>
      <c r="BM141" s="165">
        <v>129.76</v>
      </c>
      <c r="BN141" s="165">
        <v>183.49</v>
      </c>
      <c r="BO141" s="165">
        <v>186.2</v>
      </c>
      <c r="BP141" s="165">
        <v>195.33</v>
      </c>
      <c r="BQ141" s="165">
        <v>163.93</v>
      </c>
      <c r="BR141" s="165">
        <v>197.46</v>
      </c>
      <c r="BS141" s="165">
        <v>292.60000000000002</v>
      </c>
      <c r="BT141" s="165">
        <v>412.91</v>
      </c>
      <c r="BU141" s="165">
        <v>438.51</v>
      </c>
      <c r="BV141" s="165">
        <v>195.33</v>
      </c>
      <c r="BW141" s="165">
        <v>163.93</v>
      </c>
      <c r="BX141" s="165">
        <v>197.46</v>
      </c>
      <c r="BY141" s="165">
        <v>292.60000000000002</v>
      </c>
      <c r="BZ141" s="165">
        <v>412.91</v>
      </c>
      <c r="CA141" s="165">
        <v>438.51</v>
      </c>
      <c r="CB141" s="176"/>
      <c r="CC141" s="126"/>
      <c r="CD141" s="126"/>
      <c r="CE141" s="143"/>
      <c r="CG141" s="166" t="s">
        <v>413</v>
      </c>
      <c r="CH141" s="167">
        <v>9</v>
      </c>
      <c r="CI141" s="157">
        <v>0</v>
      </c>
      <c r="CJ141" s="158">
        <v>3.58</v>
      </c>
      <c r="CK141" s="159">
        <v>5.26</v>
      </c>
      <c r="CL141" s="159">
        <v>7.71</v>
      </c>
      <c r="CM141" s="160">
        <v>7.82</v>
      </c>
      <c r="CN141" s="158">
        <v>8.3699999999999992</v>
      </c>
      <c r="CO141" s="159">
        <v>7.03</v>
      </c>
      <c r="CP141" s="159">
        <v>8.5</v>
      </c>
      <c r="CQ141" s="159">
        <v>13.29</v>
      </c>
      <c r="CR141" s="159">
        <v>19.45</v>
      </c>
      <c r="CS141" s="160">
        <v>20.45</v>
      </c>
      <c r="CT141" s="161">
        <v>8.3699999999999992</v>
      </c>
      <c r="CU141" s="159">
        <v>7.03</v>
      </c>
      <c r="CV141" s="159">
        <v>8.5</v>
      </c>
      <c r="CW141" s="159">
        <v>13.29</v>
      </c>
      <c r="CX141" s="159">
        <v>19.45</v>
      </c>
      <c r="CY141" s="160">
        <v>20.45</v>
      </c>
      <c r="CZ141" s="168"/>
      <c r="DA141" s="187" t="s">
        <v>414</v>
      </c>
    </row>
    <row r="142" spans="1:105">
      <c r="A142" s="107"/>
      <c r="B142" s="107"/>
      <c r="C142" s="107"/>
      <c r="D142" s="107"/>
      <c r="E142" s="551"/>
      <c r="F142" s="552"/>
      <c r="G142" s="552"/>
      <c r="H142" s="553"/>
      <c r="I142" s="545"/>
      <c r="J142" s="546"/>
      <c r="K142" s="546"/>
      <c r="L142" s="547"/>
      <c r="M142" s="545"/>
      <c r="N142" s="546"/>
      <c r="O142" s="546"/>
      <c r="P142" s="547"/>
      <c r="Q142" s="545"/>
      <c r="R142" s="546"/>
      <c r="S142" s="546"/>
      <c r="T142" s="547"/>
      <c r="U142" s="545"/>
      <c r="V142" s="546"/>
      <c r="W142" s="546"/>
      <c r="X142" s="547"/>
      <c r="Y142" s="545"/>
      <c r="Z142" s="546"/>
      <c r="AA142" s="546"/>
      <c r="AB142" s="547"/>
      <c r="AC142" s="545"/>
      <c r="AD142" s="546"/>
      <c r="AE142" s="546"/>
      <c r="AF142" s="547"/>
      <c r="AG142" s="545"/>
      <c r="AH142" s="546"/>
      <c r="AI142" s="546"/>
      <c r="AJ142" s="547"/>
      <c r="AK142" s="545"/>
      <c r="AL142" s="546"/>
      <c r="AM142" s="546"/>
      <c r="AN142" s="547"/>
      <c r="AO142" s="545"/>
      <c r="AP142" s="546"/>
      <c r="AQ142" s="546"/>
      <c r="AR142" s="547"/>
      <c r="AS142" s="545"/>
      <c r="AT142" s="546"/>
      <c r="AU142" s="546"/>
      <c r="AV142" s="547"/>
      <c r="AW142" s="545"/>
      <c r="AX142" s="546"/>
      <c r="AY142" s="546"/>
      <c r="AZ142" s="547"/>
      <c r="BG142" s="93"/>
      <c r="BH142" s="93"/>
      <c r="BI142" s="93"/>
      <c r="BJ142" s="176">
        <v>83</v>
      </c>
      <c r="BK142" s="164">
        <v>0</v>
      </c>
      <c r="BL142" s="165">
        <v>92.05</v>
      </c>
      <c r="BM142" s="165">
        <v>131.52000000000001</v>
      </c>
      <c r="BN142" s="165">
        <v>185.94</v>
      </c>
      <c r="BO142" s="165">
        <v>188.64</v>
      </c>
      <c r="BP142" s="165">
        <v>197.96</v>
      </c>
      <c r="BQ142" s="165">
        <v>166.11</v>
      </c>
      <c r="BR142" s="165">
        <v>200.12</v>
      </c>
      <c r="BS142" s="165">
        <v>296.74</v>
      </c>
      <c r="BT142" s="165">
        <v>418.81</v>
      </c>
      <c r="BU142" s="165">
        <v>444.72</v>
      </c>
      <c r="BV142" s="165">
        <v>197.96</v>
      </c>
      <c r="BW142" s="165">
        <v>166.11</v>
      </c>
      <c r="BX142" s="165">
        <v>200.12</v>
      </c>
      <c r="BY142" s="165">
        <v>296.74</v>
      </c>
      <c r="BZ142" s="165">
        <v>418.81</v>
      </c>
      <c r="CA142" s="165">
        <v>444.72</v>
      </c>
      <c r="CB142" s="176"/>
      <c r="CC142" s="126"/>
      <c r="CD142" s="126"/>
      <c r="CE142" s="143"/>
      <c r="CG142" s="188" t="s">
        <v>415</v>
      </c>
      <c r="CH142" s="189">
        <v>10</v>
      </c>
      <c r="CI142" s="157">
        <v>0</v>
      </c>
      <c r="CJ142" s="158">
        <v>4.37</v>
      </c>
      <c r="CK142" s="159">
        <v>6.58</v>
      </c>
      <c r="CL142" s="159">
        <v>9.16</v>
      </c>
      <c r="CM142" s="160">
        <v>9.16</v>
      </c>
      <c r="CN142" s="158">
        <v>9.84</v>
      </c>
      <c r="CO142" s="159">
        <v>7.92</v>
      </c>
      <c r="CP142" s="159">
        <v>9.9499999999999993</v>
      </c>
      <c r="CQ142" s="159">
        <v>15.19</v>
      </c>
      <c r="CR142" s="159">
        <v>22.13</v>
      </c>
      <c r="CS142" s="160">
        <v>23.24</v>
      </c>
      <c r="CT142" s="161">
        <v>9.84</v>
      </c>
      <c r="CU142" s="159">
        <v>7.92</v>
      </c>
      <c r="CV142" s="159">
        <v>9.9499999999999993</v>
      </c>
      <c r="CW142" s="159">
        <v>15.19</v>
      </c>
      <c r="CX142" s="159">
        <v>22.13</v>
      </c>
      <c r="CY142" s="160">
        <v>23.24</v>
      </c>
      <c r="CZ142" s="190"/>
      <c r="DA142" s="187" t="s">
        <v>414</v>
      </c>
    </row>
    <row r="143" spans="1:105" ht="16" thickBot="1">
      <c r="A143" s="107"/>
      <c r="B143" s="107"/>
      <c r="C143" s="107"/>
      <c r="D143" s="107"/>
      <c r="E143" s="548"/>
      <c r="F143" s="549"/>
      <c r="G143" s="549"/>
      <c r="H143" s="550"/>
      <c r="I143" s="540"/>
      <c r="J143" s="541"/>
      <c r="K143" s="541"/>
      <c r="L143" s="542"/>
      <c r="M143" s="540"/>
      <c r="N143" s="541"/>
      <c r="O143" s="541"/>
      <c r="P143" s="542"/>
      <c r="Q143" s="540"/>
      <c r="R143" s="541"/>
      <c r="S143" s="541"/>
      <c r="T143" s="542"/>
      <c r="U143" s="540"/>
      <c r="V143" s="541"/>
      <c r="W143" s="541"/>
      <c r="X143" s="542"/>
      <c r="Y143" s="540"/>
      <c r="Z143" s="541"/>
      <c r="AA143" s="541"/>
      <c r="AB143" s="542"/>
      <c r="AC143" s="540"/>
      <c r="AD143" s="541"/>
      <c r="AE143" s="541"/>
      <c r="AF143" s="542"/>
      <c r="AG143" s="540"/>
      <c r="AH143" s="541"/>
      <c r="AI143" s="541"/>
      <c r="AJ143" s="542"/>
      <c r="AK143" s="540"/>
      <c r="AL143" s="541"/>
      <c r="AM143" s="541"/>
      <c r="AN143" s="542"/>
      <c r="AO143" s="540"/>
      <c r="AP143" s="541"/>
      <c r="AQ143" s="541"/>
      <c r="AR143" s="542"/>
      <c r="AS143" s="540"/>
      <c r="AT143" s="541"/>
      <c r="AU143" s="541"/>
      <c r="AV143" s="542"/>
      <c r="AW143" s="540"/>
      <c r="AX143" s="541"/>
      <c r="AY143" s="541"/>
      <c r="AZ143" s="542"/>
      <c r="BG143" s="93"/>
      <c r="BH143" s="93"/>
      <c r="BI143" s="93"/>
      <c r="BJ143" s="176">
        <v>84</v>
      </c>
      <c r="BK143" s="164">
        <v>0</v>
      </c>
      <c r="BL143" s="165">
        <v>93.21</v>
      </c>
      <c r="BM143" s="165">
        <v>133.28</v>
      </c>
      <c r="BN143" s="165">
        <v>188.38</v>
      </c>
      <c r="BO143" s="165">
        <v>191.09</v>
      </c>
      <c r="BP143" s="165">
        <v>200.58</v>
      </c>
      <c r="BQ143" s="165">
        <v>168.29</v>
      </c>
      <c r="BR143" s="165">
        <v>202.78</v>
      </c>
      <c r="BS143" s="165">
        <v>300.87</v>
      </c>
      <c r="BT143" s="165">
        <v>424.72</v>
      </c>
      <c r="BU143" s="165">
        <v>450.92</v>
      </c>
      <c r="BV143" s="165">
        <v>200.58</v>
      </c>
      <c r="BW143" s="165">
        <v>168.29</v>
      </c>
      <c r="BX143" s="165">
        <v>202.78</v>
      </c>
      <c r="BY143" s="165">
        <v>300.87</v>
      </c>
      <c r="BZ143" s="165">
        <v>424.72</v>
      </c>
      <c r="CA143" s="165">
        <v>450.92</v>
      </c>
      <c r="CB143" s="176"/>
      <c r="CC143" s="126"/>
      <c r="CD143" s="126"/>
      <c r="CE143" s="143"/>
      <c r="CG143" s="191" t="s">
        <v>416</v>
      </c>
      <c r="CH143" s="192">
        <v>11</v>
      </c>
      <c r="CI143" s="193">
        <v>0</v>
      </c>
      <c r="CJ143" s="194">
        <v>4.58</v>
      </c>
      <c r="CK143" s="195">
        <v>6.92</v>
      </c>
      <c r="CL143" s="195">
        <v>9.61</v>
      </c>
      <c r="CM143" s="196">
        <v>9.61</v>
      </c>
      <c r="CN143" s="194">
        <v>10.31</v>
      </c>
      <c r="CO143" s="195">
        <v>8.33</v>
      </c>
      <c r="CP143" s="195">
        <v>10.44</v>
      </c>
      <c r="CQ143" s="195">
        <v>15.93</v>
      </c>
      <c r="CR143" s="195">
        <v>23.2</v>
      </c>
      <c r="CS143" s="196">
        <v>24.37</v>
      </c>
      <c r="CT143" s="197">
        <v>10.31</v>
      </c>
      <c r="CU143" s="195">
        <v>8.33</v>
      </c>
      <c r="CV143" s="195">
        <v>10.44</v>
      </c>
      <c r="CW143" s="195">
        <v>15.93</v>
      </c>
      <c r="CX143" s="195">
        <v>23.2</v>
      </c>
      <c r="CY143" s="196">
        <v>24.37</v>
      </c>
      <c r="CZ143" s="198"/>
      <c r="DA143" s="187" t="s">
        <v>414</v>
      </c>
    </row>
    <row r="144" spans="1:105">
      <c r="A144" s="107"/>
      <c r="B144" s="107"/>
      <c r="C144" s="107"/>
      <c r="D144" s="107"/>
      <c r="E144" s="551"/>
      <c r="F144" s="552"/>
      <c r="G144" s="552"/>
      <c r="H144" s="553"/>
      <c r="I144" s="545"/>
      <c r="J144" s="546"/>
      <c r="K144" s="546"/>
      <c r="L144" s="547"/>
      <c r="M144" s="545"/>
      <c r="N144" s="546"/>
      <c r="O144" s="546"/>
      <c r="P144" s="547"/>
      <c r="Q144" s="545"/>
      <c r="R144" s="546"/>
      <c r="S144" s="546"/>
      <c r="T144" s="547"/>
      <c r="U144" s="545"/>
      <c r="V144" s="546"/>
      <c r="W144" s="546"/>
      <c r="X144" s="547"/>
      <c r="Y144" s="545"/>
      <c r="Z144" s="546"/>
      <c r="AA144" s="546"/>
      <c r="AB144" s="547"/>
      <c r="AC144" s="545"/>
      <c r="AD144" s="546"/>
      <c r="AE144" s="546"/>
      <c r="AF144" s="547"/>
      <c r="AG144" s="545"/>
      <c r="AH144" s="546"/>
      <c r="AI144" s="546"/>
      <c r="AJ144" s="547"/>
      <c r="AK144" s="545"/>
      <c r="AL144" s="546"/>
      <c r="AM144" s="546"/>
      <c r="AN144" s="547"/>
      <c r="AO144" s="545"/>
      <c r="AP144" s="546"/>
      <c r="AQ144" s="546"/>
      <c r="AR144" s="547"/>
      <c r="AS144" s="545"/>
      <c r="AT144" s="546"/>
      <c r="AU144" s="546"/>
      <c r="AV144" s="547"/>
      <c r="AW144" s="545"/>
      <c r="AX144" s="546"/>
      <c r="AY144" s="546"/>
      <c r="AZ144" s="547"/>
      <c r="BG144" s="93"/>
      <c r="BH144" s="93"/>
      <c r="BI144" s="93"/>
      <c r="BJ144" s="176">
        <v>85</v>
      </c>
      <c r="BK144" s="164">
        <v>0</v>
      </c>
      <c r="BL144" s="165">
        <v>94.38</v>
      </c>
      <c r="BM144" s="165">
        <v>135.04</v>
      </c>
      <c r="BN144" s="165">
        <v>190.82</v>
      </c>
      <c r="BO144" s="165">
        <v>193.53</v>
      </c>
      <c r="BP144" s="165">
        <v>203.2</v>
      </c>
      <c r="BQ144" s="165">
        <v>170.46</v>
      </c>
      <c r="BR144" s="165">
        <v>205.44</v>
      </c>
      <c r="BS144" s="165">
        <v>305.01</v>
      </c>
      <c r="BT144" s="165">
        <v>430.63</v>
      </c>
      <c r="BU144" s="165">
        <v>457.13</v>
      </c>
      <c r="BV144" s="165">
        <v>203.2</v>
      </c>
      <c r="BW144" s="165">
        <v>170.46</v>
      </c>
      <c r="BX144" s="165">
        <v>205.44</v>
      </c>
      <c r="BY144" s="165">
        <v>305.01</v>
      </c>
      <c r="BZ144" s="165">
        <v>430.63</v>
      </c>
      <c r="CA144" s="165">
        <v>457.13</v>
      </c>
      <c r="CB144" s="176"/>
      <c r="CC144" s="126"/>
      <c r="CD144" s="126"/>
      <c r="CE144" s="143"/>
    </row>
    <row r="145" spans="1:83">
      <c r="A145" s="107"/>
      <c r="B145" s="107"/>
      <c r="C145" s="107"/>
      <c r="D145" s="107"/>
      <c r="E145" s="548"/>
      <c r="F145" s="549"/>
      <c r="G145" s="549"/>
      <c r="H145" s="550"/>
      <c r="I145" s="540"/>
      <c r="J145" s="541"/>
      <c r="K145" s="541"/>
      <c r="L145" s="542"/>
      <c r="M145" s="540"/>
      <c r="N145" s="541"/>
      <c r="O145" s="541"/>
      <c r="P145" s="542"/>
      <c r="Q145" s="540"/>
      <c r="R145" s="541"/>
      <c r="S145" s="541"/>
      <c r="T145" s="542"/>
      <c r="U145" s="540"/>
      <c r="V145" s="541"/>
      <c r="W145" s="541"/>
      <c r="X145" s="542"/>
      <c r="Y145" s="540"/>
      <c r="Z145" s="541"/>
      <c r="AA145" s="541"/>
      <c r="AB145" s="542"/>
      <c r="AC145" s="540"/>
      <c r="AD145" s="541"/>
      <c r="AE145" s="541"/>
      <c r="AF145" s="542"/>
      <c r="AG145" s="540"/>
      <c r="AH145" s="541"/>
      <c r="AI145" s="541"/>
      <c r="AJ145" s="542"/>
      <c r="AK145" s="540"/>
      <c r="AL145" s="541"/>
      <c r="AM145" s="541"/>
      <c r="AN145" s="542"/>
      <c r="AO145" s="540"/>
      <c r="AP145" s="541"/>
      <c r="AQ145" s="541"/>
      <c r="AR145" s="542"/>
      <c r="AS145" s="540"/>
      <c r="AT145" s="541"/>
      <c r="AU145" s="541"/>
      <c r="AV145" s="542"/>
      <c r="AW145" s="540"/>
      <c r="AX145" s="541"/>
      <c r="AY145" s="541"/>
      <c r="AZ145" s="542"/>
      <c r="BG145" s="93"/>
      <c r="BH145" s="93"/>
      <c r="BI145" s="93"/>
      <c r="BJ145" s="176">
        <v>86</v>
      </c>
      <c r="BK145" s="164">
        <v>0</v>
      </c>
      <c r="BL145" s="165">
        <v>95.55</v>
      </c>
      <c r="BM145" s="165">
        <v>136.80000000000001</v>
      </c>
      <c r="BN145" s="165">
        <v>193.27</v>
      </c>
      <c r="BO145" s="165">
        <v>195.97</v>
      </c>
      <c r="BP145" s="165">
        <v>205.83</v>
      </c>
      <c r="BQ145" s="165">
        <v>172.64</v>
      </c>
      <c r="BR145" s="165">
        <v>208.1</v>
      </c>
      <c r="BS145" s="165">
        <v>309.14</v>
      </c>
      <c r="BT145" s="165">
        <v>436.54</v>
      </c>
      <c r="BU145" s="165">
        <v>463.34</v>
      </c>
      <c r="BV145" s="165">
        <v>205.83</v>
      </c>
      <c r="BW145" s="165">
        <v>172.64</v>
      </c>
      <c r="BX145" s="165">
        <v>208.1</v>
      </c>
      <c r="BY145" s="165">
        <v>309.14</v>
      </c>
      <c r="BZ145" s="165">
        <v>436.54</v>
      </c>
      <c r="CA145" s="165">
        <v>463.34</v>
      </c>
      <c r="CB145" s="176"/>
      <c r="CC145" s="126"/>
      <c r="CD145" s="126"/>
      <c r="CE145" s="143"/>
    </row>
    <row r="146" spans="1:83">
      <c r="A146" s="107"/>
      <c r="B146" s="107"/>
      <c r="C146" s="107"/>
      <c r="D146" s="107"/>
      <c r="E146" s="551"/>
      <c r="F146" s="552"/>
      <c r="G146" s="552"/>
      <c r="H146" s="553"/>
      <c r="I146" s="545"/>
      <c r="J146" s="546"/>
      <c r="K146" s="546"/>
      <c r="L146" s="547"/>
      <c r="M146" s="545"/>
      <c r="N146" s="546"/>
      <c r="O146" s="546"/>
      <c r="P146" s="547"/>
      <c r="Q146" s="545"/>
      <c r="R146" s="546"/>
      <c r="S146" s="546"/>
      <c r="T146" s="547"/>
      <c r="U146" s="545"/>
      <c r="V146" s="546"/>
      <c r="W146" s="546"/>
      <c r="X146" s="547"/>
      <c r="Y146" s="545"/>
      <c r="Z146" s="546"/>
      <c r="AA146" s="546"/>
      <c r="AB146" s="547"/>
      <c r="AC146" s="545"/>
      <c r="AD146" s="546"/>
      <c r="AE146" s="546"/>
      <c r="AF146" s="547"/>
      <c r="AG146" s="545"/>
      <c r="AH146" s="546"/>
      <c r="AI146" s="546"/>
      <c r="AJ146" s="547"/>
      <c r="AK146" s="545"/>
      <c r="AL146" s="546"/>
      <c r="AM146" s="546"/>
      <c r="AN146" s="547"/>
      <c r="AO146" s="545"/>
      <c r="AP146" s="546"/>
      <c r="AQ146" s="546"/>
      <c r="AR146" s="547"/>
      <c r="AS146" s="545"/>
      <c r="AT146" s="546"/>
      <c r="AU146" s="546"/>
      <c r="AV146" s="547"/>
      <c r="AW146" s="545"/>
      <c r="AX146" s="546"/>
      <c r="AY146" s="546"/>
      <c r="AZ146" s="547"/>
      <c r="BG146" s="93"/>
      <c r="BH146" s="93"/>
      <c r="BI146" s="93"/>
      <c r="BJ146" s="176">
        <v>87</v>
      </c>
      <c r="BK146" s="164">
        <v>0</v>
      </c>
      <c r="BL146" s="165">
        <v>96.71</v>
      </c>
      <c r="BM146" s="165">
        <v>138.56</v>
      </c>
      <c r="BN146" s="165">
        <v>195.71</v>
      </c>
      <c r="BO146" s="165">
        <v>198.42</v>
      </c>
      <c r="BP146" s="165">
        <v>208.45</v>
      </c>
      <c r="BQ146" s="165">
        <v>174.82</v>
      </c>
      <c r="BR146" s="165">
        <v>210.76</v>
      </c>
      <c r="BS146" s="165">
        <v>313.27999999999997</v>
      </c>
      <c r="BT146" s="165">
        <v>442.45</v>
      </c>
      <c r="BU146" s="165">
        <v>469.54</v>
      </c>
      <c r="BV146" s="165">
        <v>208.45</v>
      </c>
      <c r="BW146" s="165">
        <v>174.82</v>
      </c>
      <c r="BX146" s="165">
        <v>210.76</v>
      </c>
      <c r="BY146" s="165">
        <v>313.27999999999997</v>
      </c>
      <c r="BZ146" s="165">
        <v>442.45</v>
      </c>
      <c r="CA146" s="165">
        <v>469.54</v>
      </c>
      <c r="CB146" s="176"/>
      <c r="CC146" s="126"/>
      <c r="CD146" s="126"/>
      <c r="CE146" s="143"/>
    </row>
    <row r="147" spans="1:83">
      <c r="A147" s="107"/>
      <c r="B147" s="107"/>
      <c r="C147" s="107"/>
      <c r="D147" s="107"/>
      <c r="E147" s="548"/>
      <c r="F147" s="549"/>
      <c r="G147" s="549"/>
      <c r="H147" s="550"/>
      <c r="I147" s="540"/>
      <c r="J147" s="541"/>
      <c r="K147" s="541"/>
      <c r="L147" s="542"/>
      <c r="M147" s="540"/>
      <c r="N147" s="541"/>
      <c r="O147" s="541"/>
      <c r="P147" s="542"/>
      <c r="Q147" s="540"/>
      <c r="R147" s="541"/>
      <c r="S147" s="541"/>
      <c r="T147" s="542"/>
      <c r="U147" s="540"/>
      <c r="V147" s="541"/>
      <c r="W147" s="541"/>
      <c r="X147" s="542"/>
      <c r="Y147" s="540"/>
      <c r="Z147" s="541"/>
      <c r="AA147" s="541"/>
      <c r="AB147" s="542"/>
      <c r="AC147" s="540"/>
      <c r="AD147" s="541"/>
      <c r="AE147" s="541"/>
      <c r="AF147" s="542"/>
      <c r="AG147" s="540"/>
      <c r="AH147" s="541"/>
      <c r="AI147" s="541"/>
      <c r="AJ147" s="542"/>
      <c r="AK147" s="540"/>
      <c r="AL147" s="541"/>
      <c r="AM147" s="541"/>
      <c r="AN147" s="542"/>
      <c r="AO147" s="540"/>
      <c r="AP147" s="541"/>
      <c r="AQ147" s="541"/>
      <c r="AR147" s="542"/>
      <c r="AS147" s="540"/>
      <c r="AT147" s="541"/>
      <c r="AU147" s="541"/>
      <c r="AV147" s="542"/>
      <c r="AW147" s="540"/>
      <c r="AX147" s="541"/>
      <c r="AY147" s="541"/>
      <c r="AZ147" s="542"/>
      <c r="BG147" s="93"/>
      <c r="BH147" s="93"/>
      <c r="BI147" s="93"/>
      <c r="BJ147" s="176">
        <v>88</v>
      </c>
      <c r="BK147" s="164">
        <v>0</v>
      </c>
      <c r="BL147" s="165">
        <v>97.88</v>
      </c>
      <c r="BM147" s="165">
        <v>140.32</v>
      </c>
      <c r="BN147" s="165">
        <v>198.15</v>
      </c>
      <c r="BO147" s="165">
        <v>200.86</v>
      </c>
      <c r="BP147" s="165">
        <v>211.07</v>
      </c>
      <c r="BQ147" s="165">
        <v>177</v>
      </c>
      <c r="BR147" s="165">
        <v>213.42</v>
      </c>
      <c r="BS147" s="165">
        <v>317.41000000000003</v>
      </c>
      <c r="BT147" s="165">
        <v>448.36</v>
      </c>
      <c r="BU147" s="165">
        <v>475.75</v>
      </c>
      <c r="BV147" s="165">
        <v>211.07</v>
      </c>
      <c r="BW147" s="165">
        <v>177</v>
      </c>
      <c r="BX147" s="165">
        <v>213.42</v>
      </c>
      <c r="BY147" s="165">
        <v>317.41000000000003</v>
      </c>
      <c r="BZ147" s="165">
        <v>448.36</v>
      </c>
      <c r="CA147" s="165">
        <v>475.75</v>
      </c>
      <c r="CB147" s="176"/>
      <c r="CC147" s="126"/>
      <c r="CD147" s="126"/>
      <c r="CE147" s="143"/>
    </row>
    <row r="148" spans="1:83">
      <c r="A148" s="107"/>
      <c r="B148" s="107"/>
      <c r="C148" s="107"/>
      <c r="D148" s="107"/>
      <c r="E148" s="551"/>
      <c r="F148" s="552"/>
      <c r="G148" s="552"/>
      <c r="H148" s="553"/>
      <c r="I148" s="545"/>
      <c r="J148" s="546"/>
      <c r="K148" s="546"/>
      <c r="L148" s="547"/>
      <c r="M148" s="545"/>
      <c r="N148" s="546"/>
      <c r="O148" s="546"/>
      <c r="P148" s="547"/>
      <c r="Q148" s="545"/>
      <c r="R148" s="546"/>
      <c r="S148" s="546"/>
      <c r="T148" s="547"/>
      <c r="U148" s="545"/>
      <c r="V148" s="546"/>
      <c r="W148" s="546"/>
      <c r="X148" s="547"/>
      <c r="Y148" s="545"/>
      <c r="Z148" s="546"/>
      <c r="AA148" s="546"/>
      <c r="AB148" s="547"/>
      <c r="AC148" s="545"/>
      <c r="AD148" s="546"/>
      <c r="AE148" s="546"/>
      <c r="AF148" s="547"/>
      <c r="AG148" s="545"/>
      <c r="AH148" s="546"/>
      <c r="AI148" s="546"/>
      <c r="AJ148" s="547"/>
      <c r="AK148" s="545"/>
      <c r="AL148" s="546"/>
      <c r="AM148" s="546"/>
      <c r="AN148" s="547"/>
      <c r="AO148" s="545"/>
      <c r="AP148" s="546"/>
      <c r="AQ148" s="546"/>
      <c r="AR148" s="547"/>
      <c r="AS148" s="545"/>
      <c r="AT148" s="546"/>
      <c r="AU148" s="546"/>
      <c r="AV148" s="547"/>
      <c r="AW148" s="545"/>
      <c r="AX148" s="546"/>
      <c r="AY148" s="546"/>
      <c r="AZ148" s="547"/>
      <c r="BG148" s="93"/>
      <c r="BH148" s="93"/>
      <c r="BI148" s="93"/>
      <c r="BJ148" s="176">
        <v>89</v>
      </c>
      <c r="BK148" s="164">
        <v>0</v>
      </c>
      <c r="BL148" s="165">
        <v>99.05</v>
      </c>
      <c r="BM148" s="165">
        <v>142.08000000000001</v>
      </c>
      <c r="BN148" s="165">
        <v>200.6</v>
      </c>
      <c r="BO148" s="165">
        <v>203.3</v>
      </c>
      <c r="BP148" s="165">
        <v>213.7</v>
      </c>
      <c r="BQ148" s="165">
        <v>179.17</v>
      </c>
      <c r="BR148" s="165">
        <v>216.07</v>
      </c>
      <c r="BS148" s="165">
        <v>321.55</v>
      </c>
      <c r="BT148" s="165">
        <v>454.27</v>
      </c>
      <c r="BU148" s="165">
        <v>481.96</v>
      </c>
      <c r="BV148" s="165">
        <v>213.7</v>
      </c>
      <c r="BW148" s="165">
        <v>179.17</v>
      </c>
      <c r="BX148" s="165">
        <v>216.07</v>
      </c>
      <c r="BY148" s="165">
        <v>321.55</v>
      </c>
      <c r="BZ148" s="165">
        <v>454.27</v>
      </c>
      <c r="CA148" s="165">
        <v>481.96</v>
      </c>
      <c r="CB148" s="176"/>
      <c r="CC148" s="126"/>
      <c r="CD148" s="126"/>
      <c r="CE148" s="143"/>
    </row>
    <row r="149" spans="1:83">
      <c r="A149" s="107"/>
      <c r="B149" s="107"/>
      <c r="C149" s="107"/>
      <c r="D149" s="107"/>
      <c r="E149" s="548"/>
      <c r="F149" s="549"/>
      <c r="G149" s="549"/>
      <c r="H149" s="550"/>
      <c r="I149" s="540"/>
      <c r="J149" s="541"/>
      <c r="K149" s="541"/>
      <c r="L149" s="542"/>
      <c r="M149" s="540"/>
      <c r="N149" s="541"/>
      <c r="O149" s="541"/>
      <c r="P149" s="542"/>
      <c r="Q149" s="540"/>
      <c r="R149" s="541"/>
      <c r="S149" s="541"/>
      <c r="T149" s="542"/>
      <c r="U149" s="540"/>
      <c r="V149" s="541"/>
      <c r="W149" s="541"/>
      <c r="X149" s="542"/>
      <c r="Y149" s="540"/>
      <c r="Z149" s="541"/>
      <c r="AA149" s="541"/>
      <c r="AB149" s="542"/>
      <c r="AC149" s="540"/>
      <c r="AD149" s="541"/>
      <c r="AE149" s="541"/>
      <c r="AF149" s="542"/>
      <c r="AG149" s="540"/>
      <c r="AH149" s="541"/>
      <c r="AI149" s="541"/>
      <c r="AJ149" s="542"/>
      <c r="AK149" s="540"/>
      <c r="AL149" s="541"/>
      <c r="AM149" s="541"/>
      <c r="AN149" s="542"/>
      <c r="AO149" s="540"/>
      <c r="AP149" s="541"/>
      <c r="AQ149" s="541"/>
      <c r="AR149" s="542"/>
      <c r="AS149" s="540"/>
      <c r="AT149" s="541"/>
      <c r="AU149" s="541"/>
      <c r="AV149" s="542"/>
      <c r="AW149" s="540"/>
      <c r="AX149" s="541"/>
      <c r="AY149" s="541"/>
      <c r="AZ149" s="542"/>
      <c r="BG149" s="93"/>
      <c r="BH149" s="93"/>
      <c r="BI149" s="93"/>
      <c r="BJ149" s="176">
        <v>90</v>
      </c>
      <c r="BK149" s="164">
        <v>0</v>
      </c>
      <c r="BL149" s="165">
        <v>100.21</v>
      </c>
      <c r="BM149" s="165">
        <v>143.84</v>
      </c>
      <c r="BN149" s="165">
        <v>203.04</v>
      </c>
      <c r="BO149" s="165">
        <v>205.75</v>
      </c>
      <c r="BP149" s="165">
        <v>216.32</v>
      </c>
      <c r="BQ149" s="165">
        <v>181.35</v>
      </c>
      <c r="BR149" s="165">
        <v>218.73</v>
      </c>
      <c r="BS149" s="165">
        <v>325.68</v>
      </c>
      <c r="BT149" s="165">
        <v>460.18</v>
      </c>
      <c r="BU149" s="165">
        <v>488.16</v>
      </c>
      <c r="BV149" s="165">
        <v>216.32</v>
      </c>
      <c r="BW149" s="165">
        <v>181.35</v>
      </c>
      <c r="BX149" s="165">
        <v>218.73</v>
      </c>
      <c r="BY149" s="165">
        <v>325.68</v>
      </c>
      <c r="BZ149" s="165">
        <v>460.18</v>
      </c>
      <c r="CA149" s="165">
        <v>488.16</v>
      </c>
      <c r="CB149" s="176"/>
      <c r="CC149" s="126"/>
      <c r="CD149" s="126"/>
      <c r="CE149" s="143"/>
    </row>
    <row r="150" spans="1:83">
      <c r="A150" s="107"/>
      <c r="B150" s="107"/>
      <c r="C150" s="107"/>
      <c r="D150" s="107"/>
      <c r="E150" s="551"/>
      <c r="F150" s="552"/>
      <c r="G150" s="552"/>
      <c r="H150" s="553"/>
      <c r="I150" s="545"/>
      <c r="J150" s="546"/>
      <c r="K150" s="546"/>
      <c r="L150" s="547"/>
      <c r="M150" s="545"/>
      <c r="N150" s="546"/>
      <c r="O150" s="546"/>
      <c r="P150" s="547"/>
      <c r="Q150" s="545"/>
      <c r="R150" s="546"/>
      <c r="S150" s="546"/>
      <c r="T150" s="547"/>
      <c r="U150" s="545"/>
      <c r="V150" s="546"/>
      <c r="W150" s="546"/>
      <c r="X150" s="547"/>
      <c r="Y150" s="545"/>
      <c r="Z150" s="546"/>
      <c r="AA150" s="546"/>
      <c r="AB150" s="547"/>
      <c r="AC150" s="545"/>
      <c r="AD150" s="546"/>
      <c r="AE150" s="546"/>
      <c r="AF150" s="547"/>
      <c r="AG150" s="545"/>
      <c r="AH150" s="546"/>
      <c r="AI150" s="546"/>
      <c r="AJ150" s="547"/>
      <c r="AK150" s="545"/>
      <c r="AL150" s="546"/>
      <c r="AM150" s="546"/>
      <c r="AN150" s="547"/>
      <c r="AO150" s="545"/>
      <c r="AP150" s="546"/>
      <c r="AQ150" s="546"/>
      <c r="AR150" s="547"/>
      <c r="AS150" s="545"/>
      <c r="AT150" s="546"/>
      <c r="AU150" s="546"/>
      <c r="AV150" s="547"/>
      <c r="AW150" s="545"/>
      <c r="AX150" s="546"/>
      <c r="AY150" s="546"/>
      <c r="AZ150" s="547"/>
      <c r="BG150" s="93"/>
      <c r="BH150" s="93"/>
      <c r="BI150" s="93"/>
      <c r="BJ150" s="176">
        <v>91</v>
      </c>
      <c r="BK150" s="164">
        <v>0</v>
      </c>
      <c r="BL150" s="165">
        <v>101.38</v>
      </c>
      <c r="BM150" s="165">
        <v>145.6</v>
      </c>
      <c r="BN150" s="165">
        <v>205.48</v>
      </c>
      <c r="BO150" s="165">
        <v>208.19</v>
      </c>
      <c r="BP150" s="165">
        <v>218.94</v>
      </c>
      <c r="BQ150" s="165">
        <v>183.53</v>
      </c>
      <c r="BR150" s="165">
        <v>221.39</v>
      </c>
      <c r="BS150" s="165">
        <v>329.82</v>
      </c>
      <c r="BT150" s="165">
        <v>466.08</v>
      </c>
      <c r="BU150" s="165">
        <v>494.37</v>
      </c>
      <c r="BV150" s="165">
        <v>218.94</v>
      </c>
      <c r="BW150" s="165">
        <v>183.53</v>
      </c>
      <c r="BX150" s="165">
        <v>221.39</v>
      </c>
      <c r="BY150" s="165">
        <v>329.82</v>
      </c>
      <c r="BZ150" s="165">
        <v>466.08</v>
      </c>
      <c r="CA150" s="165">
        <v>494.37</v>
      </c>
      <c r="CB150" s="176"/>
      <c r="CC150" s="126"/>
      <c r="CD150" s="126"/>
      <c r="CE150" s="143"/>
    </row>
    <row r="151" spans="1:83">
      <c r="A151" s="107"/>
      <c r="B151" s="107"/>
      <c r="C151" s="107"/>
      <c r="D151" s="107"/>
      <c r="E151" s="548"/>
      <c r="F151" s="549"/>
      <c r="G151" s="549"/>
      <c r="H151" s="550"/>
      <c r="I151" s="540"/>
      <c r="J151" s="541"/>
      <c r="K151" s="541"/>
      <c r="L151" s="542"/>
      <c r="M151" s="540"/>
      <c r="N151" s="541"/>
      <c r="O151" s="541"/>
      <c r="P151" s="542"/>
      <c r="Q151" s="540"/>
      <c r="R151" s="541"/>
      <c r="S151" s="541"/>
      <c r="T151" s="542"/>
      <c r="U151" s="540"/>
      <c r="V151" s="541"/>
      <c r="W151" s="541"/>
      <c r="X151" s="542"/>
      <c r="Y151" s="540"/>
      <c r="Z151" s="541"/>
      <c r="AA151" s="541"/>
      <c r="AB151" s="542"/>
      <c r="AC151" s="540"/>
      <c r="AD151" s="541"/>
      <c r="AE151" s="541"/>
      <c r="AF151" s="542"/>
      <c r="AG151" s="540"/>
      <c r="AH151" s="541"/>
      <c r="AI151" s="541"/>
      <c r="AJ151" s="542"/>
      <c r="AK151" s="540"/>
      <c r="AL151" s="541"/>
      <c r="AM151" s="541"/>
      <c r="AN151" s="542"/>
      <c r="AO151" s="540"/>
      <c r="AP151" s="541"/>
      <c r="AQ151" s="541"/>
      <c r="AR151" s="542"/>
      <c r="AS151" s="540"/>
      <c r="AT151" s="541"/>
      <c r="AU151" s="541"/>
      <c r="AV151" s="542"/>
      <c r="AW151" s="540"/>
      <c r="AX151" s="541"/>
      <c r="AY151" s="541"/>
      <c r="AZ151" s="542"/>
      <c r="BG151" s="93"/>
      <c r="BH151" s="93"/>
      <c r="BI151" s="93"/>
      <c r="BJ151" s="176">
        <v>92</v>
      </c>
      <c r="BK151" s="164">
        <v>0</v>
      </c>
      <c r="BL151" s="165">
        <v>102.54</v>
      </c>
      <c r="BM151" s="165">
        <v>147.36000000000001</v>
      </c>
      <c r="BN151" s="165">
        <v>207.93</v>
      </c>
      <c r="BO151" s="165">
        <v>210.63</v>
      </c>
      <c r="BP151" s="165">
        <v>221.57</v>
      </c>
      <c r="BQ151" s="165">
        <v>185.7</v>
      </c>
      <c r="BR151" s="165">
        <v>224.05</v>
      </c>
      <c r="BS151" s="165">
        <v>333.96</v>
      </c>
      <c r="BT151" s="165">
        <v>471.99</v>
      </c>
      <c r="BU151" s="165">
        <v>500.58</v>
      </c>
      <c r="BV151" s="165">
        <v>221.57</v>
      </c>
      <c r="BW151" s="165">
        <v>185.7</v>
      </c>
      <c r="BX151" s="165">
        <v>224.05</v>
      </c>
      <c r="BY151" s="165">
        <v>333.96</v>
      </c>
      <c r="BZ151" s="165">
        <v>471.99</v>
      </c>
      <c r="CA151" s="165">
        <v>500.58</v>
      </c>
      <c r="CB151" s="176"/>
      <c r="CC151" s="126"/>
      <c r="CD151" s="126"/>
      <c r="CE151" s="143"/>
    </row>
    <row r="152" spans="1:83">
      <c r="A152" s="107"/>
      <c r="B152" s="107"/>
      <c r="C152" s="107"/>
      <c r="D152" s="107"/>
      <c r="E152" s="551"/>
      <c r="F152" s="552"/>
      <c r="G152" s="552"/>
      <c r="H152" s="553"/>
      <c r="I152" s="545"/>
      <c r="J152" s="546"/>
      <c r="K152" s="546"/>
      <c r="L152" s="547"/>
      <c r="M152" s="545"/>
      <c r="N152" s="546"/>
      <c r="O152" s="546"/>
      <c r="P152" s="547"/>
      <c r="Q152" s="545"/>
      <c r="R152" s="546"/>
      <c r="S152" s="546"/>
      <c r="T152" s="547"/>
      <c r="U152" s="545"/>
      <c r="V152" s="546"/>
      <c r="W152" s="546"/>
      <c r="X152" s="547"/>
      <c r="Y152" s="545"/>
      <c r="Z152" s="546"/>
      <c r="AA152" s="546"/>
      <c r="AB152" s="547"/>
      <c r="AC152" s="545"/>
      <c r="AD152" s="546"/>
      <c r="AE152" s="546"/>
      <c r="AF152" s="547"/>
      <c r="AG152" s="545"/>
      <c r="AH152" s="546"/>
      <c r="AI152" s="546"/>
      <c r="AJ152" s="547"/>
      <c r="AK152" s="545"/>
      <c r="AL152" s="546"/>
      <c r="AM152" s="546"/>
      <c r="AN152" s="547"/>
      <c r="AO152" s="545"/>
      <c r="AP152" s="546"/>
      <c r="AQ152" s="546"/>
      <c r="AR152" s="547"/>
      <c r="AS152" s="545"/>
      <c r="AT152" s="546"/>
      <c r="AU152" s="546"/>
      <c r="AV152" s="547"/>
      <c r="AW152" s="545"/>
      <c r="AX152" s="546"/>
      <c r="AY152" s="546"/>
      <c r="AZ152" s="547"/>
      <c r="BG152" s="93"/>
      <c r="BH152" s="93"/>
      <c r="BI152" s="93"/>
      <c r="BJ152" s="176">
        <v>93</v>
      </c>
      <c r="BK152" s="164">
        <v>0</v>
      </c>
      <c r="BL152" s="165">
        <v>103.71</v>
      </c>
      <c r="BM152" s="165">
        <v>149.11000000000001</v>
      </c>
      <c r="BN152" s="165">
        <v>210.37</v>
      </c>
      <c r="BO152" s="165">
        <v>213.08</v>
      </c>
      <c r="BP152" s="165">
        <v>224.19</v>
      </c>
      <c r="BQ152" s="165">
        <v>187.88</v>
      </c>
      <c r="BR152" s="165">
        <v>226.71</v>
      </c>
      <c r="BS152" s="165">
        <v>338.09</v>
      </c>
      <c r="BT152" s="165">
        <v>477.9</v>
      </c>
      <c r="BU152" s="165">
        <v>506.78</v>
      </c>
      <c r="BV152" s="165">
        <v>224.19</v>
      </c>
      <c r="BW152" s="165">
        <v>187.88</v>
      </c>
      <c r="BX152" s="165">
        <v>226.71</v>
      </c>
      <c r="BY152" s="165">
        <v>338.09</v>
      </c>
      <c r="BZ152" s="165">
        <v>477.9</v>
      </c>
      <c r="CA152" s="165">
        <v>506.78</v>
      </c>
      <c r="CB152" s="176"/>
      <c r="CC152" s="126"/>
      <c r="CD152" s="126"/>
      <c r="CE152" s="143"/>
    </row>
    <row r="153" spans="1:83">
      <c r="A153" s="107"/>
      <c r="B153" s="107"/>
      <c r="C153" s="107"/>
      <c r="D153" s="107"/>
      <c r="E153" s="548"/>
      <c r="F153" s="549"/>
      <c r="G153" s="549"/>
      <c r="H153" s="550"/>
      <c r="I153" s="540"/>
      <c r="J153" s="541"/>
      <c r="K153" s="541"/>
      <c r="L153" s="542"/>
      <c r="M153" s="540"/>
      <c r="N153" s="541"/>
      <c r="O153" s="541"/>
      <c r="P153" s="542"/>
      <c r="Q153" s="540"/>
      <c r="R153" s="541"/>
      <c r="S153" s="541"/>
      <c r="T153" s="542"/>
      <c r="U153" s="540"/>
      <c r="V153" s="541"/>
      <c r="W153" s="541"/>
      <c r="X153" s="542"/>
      <c r="Y153" s="540"/>
      <c r="Z153" s="541"/>
      <c r="AA153" s="541"/>
      <c r="AB153" s="542"/>
      <c r="AC153" s="540"/>
      <c r="AD153" s="541"/>
      <c r="AE153" s="541"/>
      <c r="AF153" s="542"/>
      <c r="AG153" s="540"/>
      <c r="AH153" s="541"/>
      <c r="AI153" s="541"/>
      <c r="AJ153" s="542"/>
      <c r="AK153" s="540"/>
      <c r="AL153" s="541"/>
      <c r="AM153" s="541"/>
      <c r="AN153" s="542"/>
      <c r="AO153" s="540"/>
      <c r="AP153" s="541"/>
      <c r="AQ153" s="541"/>
      <c r="AR153" s="542"/>
      <c r="AS153" s="540"/>
      <c r="AT153" s="541"/>
      <c r="AU153" s="541"/>
      <c r="AV153" s="542"/>
      <c r="AW153" s="540"/>
      <c r="AX153" s="541"/>
      <c r="AY153" s="541"/>
      <c r="AZ153" s="542"/>
      <c r="BG153" s="93"/>
      <c r="BH153" s="93"/>
      <c r="BI153" s="93"/>
      <c r="BJ153" s="176">
        <v>94</v>
      </c>
      <c r="BK153" s="164">
        <v>0</v>
      </c>
      <c r="BL153" s="165">
        <v>104.88</v>
      </c>
      <c r="BM153" s="165">
        <v>150.87</v>
      </c>
      <c r="BN153" s="165">
        <v>212.81</v>
      </c>
      <c r="BO153" s="165">
        <v>215.52</v>
      </c>
      <c r="BP153" s="165">
        <v>226.81</v>
      </c>
      <c r="BQ153" s="165">
        <v>190.06</v>
      </c>
      <c r="BR153" s="165">
        <v>229.37</v>
      </c>
      <c r="BS153" s="165">
        <v>342.23</v>
      </c>
      <c r="BT153" s="165">
        <v>483.81</v>
      </c>
      <c r="BU153" s="165">
        <v>512.99</v>
      </c>
      <c r="BV153" s="165">
        <v>226.81</v>
      </c>
      <c r="BW153" s="165">
        <v>190.06</v>
      </c>
      <c r="BX153" s="165">
        <v>229.37</v>
      </c>
      <c r="BY153" s="165">
        <v>342.23</v>
      </c>
      <c r="BZ153" s="165">
        <v>483.81</v>
      </c>
      <c r="CA153" s="165">
        <v>512.99</v>
      </c>
      <c r="CB153" s="176"/>
      <c r="CC153" s="126"/>
      <c r="CD153" s="126"/>
      <c r="CE153" s="143"/>
    </row>
    <row r="154" spans="1:83">
      <c r="A154" s="107"/>
      <c r="B154" s="107"/>
      <c r="C154" s="107"/>
      <c r="D154" s="107"/>
      <c r="E154" s="551"/>
      <c r="F154" s="552"/>
      <c r="G154" s="552"/>
      <c r="H154" s="553"/>
      <c r="I154" s="545"/>
      <c r="J154" s="546"/>
      <c r="K154" s="546"/>
      <c r="L154" s="547"/>
      <c r="M154" s="545"/>
      <c r="N154" s="546"/>
      <c r="O154" s="546"/>
      <c r="P154" s="547"/>
      <c r="Q154" s="545"/>
      <c r="R154" s="546"/>
      <c r="S154" s="546"/>
      <c r="T154" s="547"/>
      <c r="U154" s="545"/>
      <c r="V154" s="546"/>
      <c r="W154" s="546"/>
      <c r="X154" s="547"/>
      <c r="Y154" s="545"/>
      <c r="Z154" s="546"/>
      <c r="AA154" s="546"/>
      <c r="AB154" s="547"/>
      <c r="AC154" s="545"/>
      <c r="AD154" s="546"/>
      <c r="AE154" s="546"/>
      <c r="AF154" s="547"/>
      <c r="AG154" s="545"/>
      <c r="AH154" s="546"/>
      <c r="AI154" s="546"/>
      <c r="AJ154" s="547"/>
      <c r="AK154" s="545"/>
      <c r="AL154" s="546"/>
      <c r="AM154" s="546"/>
      <c r="AN154" s="547"/>
      <c r="AO154" s="545"/>
      <c r="AP154" s="546"/>
      <c r="AQ154" s="546"/>
      <c r="AR154" s="547"/>
      <c r="AS154" s="545"/>
      <c r="AT154" s="546"/>
      <c r="AU154" s="546"/>
      <c r="AV154" s="547"/>
      <c r="AW154" s="545"/>
      <c r="AX154" s="546"/>
      <c r="AY154" s="546"/>
      <c r="AZ154" s="547"/>
      <c r="BG154" s="93"/>
      <c r="BH154" s="93"/>
      <c r="BI154" s="93"/>
      <c r="BJ154" s="176">
        <v>95</v>
      </c>
      <c r="BK154" s="164">
        <v>0</v>
      </c>
      <c r="BL154" s="165">
        <v>106.04</v>
      </c>
      <c r="BM154" s="165">
        <v>152.63</v>
      </c>
      <c r="BN154" s="165">
        <v>215.26</v>
      </c>
      <c r="BO154" s="165">
        <v>217.96</v>
      </c>
      <c r="BP154" s="165">
        <v>229.44</v>
      </c>
      <c r="BQ154" s="165">
        <v>192.23</v>
      </c>
      <c r="BR154" s="165">
        <v>232.03</v>
      </c>
      <c r="BS154" s="165">
        <v>346.36</v>
      </c>
      <c r="BT154" s="165">
        <v>489.72</v>
      </c>
      <c r="BU154" s="165">
        <v>519.19000000000005</v>
      </c>
      <c r="BV154" s="165">
        <v>229.44</v>
      </c>
      <c r="BW154" s="165">
        <v>192.23</v>
      </c>
      <c r="BX154" s="165">
        <v>232.03</v>
      </c>
      <c r="BY154" s="165">
        <v>346.36</v>
      </c>
      <c r="BZ154" s="165">
        <v>489.72</v>
      </c>
      <c r="CA154" s="165">
        <v>519.19000000000005</v>
      </c>
      <c r="CB154" s="176"/>
      <c r="CC154" s="126"/>
      <c r="CD154" s="126"/>
      <c r="CE154" s="143"/>
    </row>
    <row r="155" spans="1:83">
      <c r="A155" s="107"/>
      <c r="B155" s="107"/>
      <c r="C155" s="107"/>
      <c r="D155" s="107"/>
      <c r="E155" s="548"/>
      <c r="F155" s="549"/>
      <c r="G155" s="549"/>
      <c r="H155" s="550"/>
      <c r="I155" s="540"/>
      <c r="J155" s="541"/>
      <c r="K155" s="541"/>
      <c r="L155" s="542"/>
      <c r="M155" s="540"/>
      <c r="N155" s="541"/>
      <c r="O155" s="541"/>
      <c r="P155" s="542"/>
      <c r="Q155" s="540"/>
      <c r="R155" s="541"/>
      <c r="S155" s="541"/>
      <c r="T155" s="542"/>
      <c r="U155" s="540"/>
      <c r="V155" s="541"/>
      <c r="W155" s="541"/>
      <c r="X155" s="542"/>
      <c r="Y155" s="540"/>
      <c r="Z155" s="541"/>
      <c r="AA155" s="541"/>
      <c r="AB155" s="542"/>
      <c r="AC155" s="540"/>
      <c r="AD155" s="541"/>
      <c r="AE155" s="541"/>
      <c r="AF155" s="542"/>
      <c r="AG155" s="540"/>
      <c r="AH155" s="541"/>
      <c r="AI155" s="541"/>
      <c r="AJ155" s="542"/>
      <c r="AK155" s="540"/>
      <c r="AL155" s="541"/>
      <c r="AM155" s="541"/>
      <c r="AN155" s="542"/>
      <c r="AO155" s="540"/>
      <c r="AP155" s="541"/>
      <c r="AQ155" s="541"/>
      <c r="AR155" s="542"/>
      <c r="AS155" s="540"/>
      <c r="AT155" s="541"/>
      <c r="AU155" s="541"/>
      <c r="AV155" s="542"/>
      <c r="AW155" s="540"/>
      <c r="AX155" s="541"/>
      <c r="AY155" s="541"/>
      <c r="AZ155" s="542"/>
      <c r="BG155" s="93"/>
      <c r="BH155" s="93"/>
      <c r="BI155" s="93"/>
      <c r="BJ155" s="176">
        <v>96</v>
      </c>
      <c r="BK155" s="164">
        <v>0</v>
      </c>
      <c r="BL155" s="165">
        <v>107.21</v>
      </c>
      <c r="BM155" s="165">
        <v>154.38999999999999</v>
      </c>
      <c r="BN155" s="165">
        <v>217.7</v>
      </c>
      <c r="BO155" s="165">
        <v>220.41</v>
      </c>
      <c r="BP155" s="165">
        <v>232.06</v>
      </c>
      <c r="BQ155" s="165">
        <v>194.41</v>
      </c>
      <c r="BR155" s="165">
        <v>234.69</v>
      </c>
      <c r="BS155" s="165">
        <v>350.5</v>
      </c>
      <c r="BT155" s="165">
        <v>495.63</v>
      </c>
      <c r="BU155" s="165">
        <v>525.4</v>
      </c>
      <c r="BV155" s="165">
        <v>232.06</v>
      </c>
      <c r="BW155" s="165">
        <v>194.41</v>
      </c>
      <c r="BX155" s="165">
        <v>234.69</v>
      </c>
      <c r="BY155" s="165">
        <v>350.5</v>
      </c>
      <c r="BZ155" s="165">
        <v>495.63</v>
      </c>
      <c r="CA155" s="165">
        <v>525.4</v>
      </c>
      <c r="CB155" s="176"/>
      <c r="CC155" s="126"/>
      <c r="CD155" s="126"/>
      <c r="CE155" s="143"/>
    </row>
    <row r="156" spans="1:83">
      <c r="A156" s="107"/>
      <c r="B156" s="107"/>
      <c r="C156" s="107"/>
      <c r="D156" s="107"/>
      <c r="E156" s="551"/>
      <c r="F156" s="552"/>
      <c r="G156" s="552"/>
      <c r="H156" s="553"/>
      <c r="I156" s="545"/>
      <c r="J156" s="546"/>
      <c r="K156" s="546"/>
      <c r="L156" s="547"/>
      <c r="M156" s="545"/>
      <c r="N156" s="546"/>
      <c r="O156" s="546"/>
      <c r="P156" s="547"/>
      <c r="Q156" s="545"/>
      <c r="R156" s="546"/>
      <c r="S156" s="546"/>
      <c r="T156" s="547"/>
      <c r="U156" s="545"/>
      <c r="V156" s="546"/>
      <c r="W156" s="546"/>
      <c r="X156" s="547"/>
      <c r="Y156" s="545"/>
      <c r="Z156" s="546"/>
      <c r="AA156" s="546"/>
      <c r="AB156" s="547"/>
      <c r="AC156" s="545"/>
      <c r="AD156" s="546"/>
      <c r="AE156" s="546"/>
      <c r="AF156" s="547"/>
      <c r="AG156" s="545"/>
      <c r="AH156" s="546"/>
      <c r="AI156" s="546"/>
      <c r="AJ156" s="547"/>
      <c r="AK156" s="545"/>
      <c r="AL156" s="546"/>
      <c r="AM156" s="546"/>
      <c r="AN156" s="547"/>
      <c r="AO156" s="545"/>
      <c r="AP156" s="546"/>
      <c r="AQ156" s="546"/>
      <c r="AR156" s="547"/>
      <c r="AS156" s="545"/>
      <c r="AT156" s="546"/>
      <c r="AU156" s="546"/>
      <c r="AV156" s="547"/>
      <c r="AW156" s="545"/>
      <c r="AX156" s="546"/>
      <c r="AY156" s="546"/>
      <c r="AZ156" s="547"/>
      <c r="BG156" s="93"/>
      <c r="BH156" s="93"/>
      <c r="BI156" s="93"/>
      <c r="BJ156" s="176">
        <v>97</v>
      </c>
      <c r="BK156" s="164">
        <v>0</v>
      </c>
      <c r="BL156" s="165">
        <v>108.38</v>
      </c>
      <c r="BM156" s="165">
        <v>156.15</v>
      </c>
      <c r="BN156" s="165">
        <v>220.14</v>
      </c>
      <c r="BO156" s="165">
        <v>222.85</v>
      </c>
      <c r="BP156" s="165">
        <v>234.68</v>
      </c>
      <c r="BQ156" s="165">
        <v>196.59</v>
      </c>
      <c r="BR156" s="165">
        <v>237.35</v>
      </c>
      <c r="BS156" s="165">
        <v>354.63</v>
      </c>
      <c r="BT156" s="165">
        <v>501.54</v>
      </c>
      <c r="BU156" s="165">
        <v>531.61</v>
      </c>
      <c r="BV156" s="165">
        <v>234.68</v>
      </c>
      <c r="BW156" s="165">
        <v>196.59</v>
      </c>
      <c r="BX156" s="165">
        <v>237.35</v>
      </c>
      <c r="BY156" s="165">
        <v>354.63</v>
      </c>
      <c r="BZ156" s="165">
        <v>501.54</v>
      </c>
      <c r="CA156" s="165">
        <v>531.61</v>
      </c>
      <c r="CB156" s="176"/>
      <c r="CC156" s="126"/>
      <c r="CD156" s="126"/>
      <c r="CE156" s="143"/>
    </row>
    <row r="157" spans="1:83">
      <c r="A157" s="107"/>
      <c r="B157" s="107"/>
      <c r="C157" s="107"/>
      <c r="D157" s="107"/>
      <c r="E157" s="557"/>
      <c r="F157" s="558"/>
      <c r="G157" s="558"/>
      <c r="H157" s="559"/>
      <c r="I157" s="540"/>
      <c r="J157" s="541"/>
      <c r="K157" s="541"/>
      <c r="L157" s="542"/>
      <c r="M157" s="540"/>
      <c r="N157" s="541"/>
      <c r="O157" s="541"/>
      <c r="P157" s="542"/>
      <c r="Q157" s="540"/>
      <c r="R157" s="541"/>
      <c r="S157" s="541"/>
      <c r="T157" s="542"/>
      <c r="U157" s="540"/>
      <c r="V157" s="541"/>
      <c r="W157" s="541"/>
      <c r="X157" s="542"/>
      <c r="Y157" s="540"/>
      <c r="Z157" s="541"/>
      <c r="AA157" s="541"/>
      <c r="AB157" s="542"/>
      <c r="AC157" s="540"/>
      <c r="AD157" s="541"/>
      <c r="AE157" s="541"/>
      <c r="AF157" s="542"/>
      <c r="AG157" s="540"/>
      <c r="AH157" s="541"/>
      <c r="AI157" s="541"/>
      <c r="AJ157" s="542"/>
      <c r="AK157" s="540"/>
      <c r="AL157" s="541"/>
      <c r="AM157" s="541"/>
      <c r="AN157" s="542"/>
      <c r="AO157" s="540"/>
      <c r="AP157" s="541"/>
      <c r="AQ157" s="541"/>
      <c r="AR157" s="542"/>
      <c r="AS157" s="540"/>
      <c r="AT157" s="541"/>
      <c r="AU157" s="541"/>
      <c r="AV157" s="542"/>
      <c r="AW157" s="540"/>
      <c r="AX157" s="541"/>
      <c r="AY157" s="541"/>
      <c r="AZ157" s="542"/>
      <c r="BG157" s="93"/>
      <c r="BH157" s="93"/>
      <c r="BI157" s="93"/>
      <c r="BJ157" s="176">
        <v>98</v>
      </c>
      <c r="BK157" s="164">
        <v>0</v>
      </c>
      <c r="BL157" s="165">
        <v>109.54</v>
      </c>
      <c r="BM157" s="165">
        <v>157.91</v>
      </c>
      <c r="BN157" s="165">
        <v>222.59</v>
      </c>
      <c r="BO157" s="165">
        <v>225.29</v>
      </c>
      <c r="BP157" s="165">
        <v>237.3</v>
      </c>
      <c r="BQ157" s="165">
        <v>198.76</v>
      </c>
      <c r="BR157" s="165">
        <v>240.01</v>
      </c>
      <c r="BS157" s="165">
        <v>358.77</v>
      </c>
      <c r="BT157" s="165">
        <v>507.45</v>
      </c>
      <c r="BU157" s="165">
        <v>537.80999999999995</v>
      </c>
      <c r="BV157" s="165">
        <v>237.3</v>
      </c>
      <c r="BW157" s="165">
        <v>198.76</v>
      </c>
      <c r="BX157" s="165">
        <v>240.01</v>
      </c>
      <c r="BY157" s="165">
        <v>358.77</v>
      </c>
      <c r="BZ157" s="165">
        <v>507.45</v>
      </c>
      <c r="CA157" s="165">
        <v>537.80999999999995</v>
      </c>
      <c r="CB157" s="176"/>
      <c r="CC157" s="126"/>
      <c r="CD157" s="126"/>
      <c r="CE157" s="143"/>
    </row>
    <row r="158" spans="1:83">
      <c r="A158" s="107"/>
      <c r="B158" s="107"/>
      <c r="C158" s="107"/>
      <c r="D158" s="107"/>
      <c r="E158" s="551"/>
      <c r="F158" s="552"/>
      <c r="G158" s="552"/>
      <c r="H158" s="553"/>
      <c r="I158" s="545"/>
      <c r="J158" s="546"/>
      <c r="K158" s="546"/>
      <c r="L158" s="547"/>
      <c r="M158" s="545"/>
      <c r="N158" s="546"/>
      <c r="O158" s="546"/>
      <c r="P158" s="547"/>
      <c r="Q158" s="545"/>
      <c r="R158" s="546"/>
      <c r="S158" s="546"/>
      <c r="T158" s="547"/>
      <c r="U158" s="545"/>
      <c r="V158" s="546"/>
      <c r="W158" s="546"/>
      <c r="X158" s="547"/>
      <c r="Y158" s="545"/>
      <c r="Z158" s="546"/>
      <c r="AA158" s="546"/>
      <c r="AB158" s="547"/>
      <c r="AC158" s="545"/>
      <c r="AD158" s="546"/>
      <c r="AE158" s="546"/>
      <c r="AF158" s="547"/>
      <c r="AG158" s="545"/>
      <c r="AH158" s="546"/>
      <c r="AI158" s="546"/>
      <c r="AJ158" s="547"/>
      <c r="AK158" s="545"/>
      <c r="AL158" s="546"/>
      <c r="AM158" s="546"/>
      <c r="AN158" s="547"/>
      <c r="AO158" s="545"/>
      <c r="AP158" s="546"/>
      <c r="AQ158" s="546"/>
      <c r="AR158" s="547"/>
      <c r="AS158" s="545"/>
      <c r="AT158" s="546"/>
      <c r="AU158" s="546"/>
      <c r="AV158" s="547"/>
      <c r="AW158" s="545"/>
      <c r="AX158" s="546"/>
      <c r="AY158" s="546"/>
      <c r="AZ158" s="547"/>
      <c r="BG158" s="93"/>
      <c r="BH158" s="93"/>
      <c r="BI158" s="93"/>
      <c r="BJ158" s="176">
        <v>99</v>
      </c>
      <c r="BK158" s="164">
        <v>0</v>
      </c>
      <c r="BL158" s="165">
        <v>110.71</v>
      </c>
      <c r="BM158" s="165">
        <v>159.66999999999999</v>
      </c>
      <c r="BN158" s="165">
        <v>225.03</v>
      </c>
      <c r="BO158" s="165">
        <v>227.74</v>
      </c>
      <c r="BP158" s="165">
        <v>239.93</v>
      </c>
      <c r="BQ158" s="165">
        <v>200.94</v>
      </c>
      <c r="BR158" s="165">
        <v>242.67</v>
      </c>
      <c r="BS158" s="165">
        <v>362.9</v>
      </c>
      <c r="BT158" s="165">
        <v>513.36</v>
      </c>
      <c r="BU158" s="165">
        <v>544.02</v>
      </c>
      <c r="BV158" s="165">
        <v>239.93</v>
      </c>
      <c r="BW158" s="165">
        <v>200.94</v>
      </c>
      <c r="BX158" s="165">
        <v>242.67</v>
      </c>
      <c r="BY158" s="165">
        <v>362.9</v>
      </c>
      <c r="BZ158" s="165">
        <v>513.36</v>
      </c>
      <c r="CA158" s="165">
        <v>544.02</v>
      </c>
      <c r="CB158" s="176"/>
      <c r="CC158" s="126"/>
      <c r="CD158" s="126"/>
      <c r="CE158" s="143"/>
    </row>
    <row r="159" spans="1:83">
      <c r="A159" s="107"/>
      <c r="B159" s="107"/>
      <c r="C159" s="107"/>
      <c r="D159" s="107"/>
      <c r="E159" s="548"/>
      <c r="F159" s="549"/>
      <c r="G159" s="549"/>
      <c r="H159" s="550"/>
      <c r="I159" s="540"/>
      <c r="J159" s="541"/>
      <c r="K159" s="541"/>
      <c r="L159" s="542"/>
      <c r="M159" s="540"/>
      <c r="N159" s="541"/>
      <c r="O159" s="541"/>
      <c r="P159" s="542"/>
      <c r="Q159" s="540"/>
      <c r="R159" s="541"/>
      <c r="S159" s="541"/>
      <c r="T159" s="542"/>
      <c r="U159" s="540"/>
      <c r="V159" s="541"/>
      <c r="W159" s="541"/>
      <c r="X159" s="542"/>
      <c r="Y159" s="540"/>
      <c r="Z159" s="541"/>
      <c r="AA159" s="541"/>
      <c r="AB159" s="542"/>
      <c r="AC159" s="540"/>
      <c r="AD159" s="541"/>
      <c r="AE159" s="541"/>
      <c r="AF159" s="542"/>
      <c r="AG159" s="540"/>
      <c r="AH159" s="541"/>
      <c r="AI159" s="541"/>
      <c r="AJ159" s="542"/>
      <c r="AK159" s="540"/>
      <c r="AL159" s="541"/>
      <c r="AM159" s="541"/>
      <c r="AN159" s="542"/>
      <c r="AO159" s="540"/>
      <c r="AP159" s="541"/>
      <c r="AQ159" s="541"/>
      <c r="AR159" s="542"/>
      <c r="AS159" s="540"/>
      <c r="AT159" s="541"/>
      <c r="AU159" s="541"/>
      <c r="AV159" s="542"/>
      <c r="AW159" s="540"/>
      <c r="AX159" s="541"/>
      <c r="AY159" s="541"/>
      <c r="AZ159" s="542"/>
      <c r="BG159" s="93"/>
      <c r="BH159" s="93"/>
      <c r="BI159" s="93"/>
      <c r="BJ159" s="176">
        <v>100</v>
      </c>
      <c r="BK159" s="164">
        <v>0</v>
      </c>
      <c r="BL159" s="165">
        <v>111.88</v>
      </c>
      <c r="BM159" s="165">
        <v>161.43</v>
      </c>
      <c r="BN159" s="165">
        <v>227.47</v>
      </c>
      <c r="BO159" s="165">
        <v>230.18</v>
      </c>
      <c r="BP159" s="165">
        <v>242.55</v>
      </c>
      <c r="BQ159" s="165">
        <v>203.12</v>
      </c>
      <c r="BR159" s="165">
        <v>245.33</v>
      </c>
      <c r="BS159" s="165">
        <v>367.04</v>
      </c>
      <c r="BT159" s="165">
        <v>519.26</v>
      </c>
      <c r="BU159" s="165">
        <v>550.23</v>
      </c>
      <c r="BV159" s="165">
        <v>242.55</v>
      </c>
      <c r="BW159" s="165">
        <v>203.12</v>
      </c>
      <c r="BX159" s="165">
        <v>245.33</v>
      </c>
      <c r="BY159" s="165">
        <v>367.04</v>
      </c>
      <c r="BZ159" s="165">
        <v>519.26</v>
      </c>
      <c r="CA159" s="165">
        <v>550.23</v>
      </c>
      <c r="CB159" s="176"/>
      <c r="CC159" s="126"/>
      <c r="CD159" s="126"/>
      <c r="CE159" s="143"/>
    </row>
    <row r="160" spans="1:83">
      <c r="A160" s="107"/>
      <c r="B160" s="107"/>
      <c r="C160" s="107"/>
      <c r="D160" s="107"/>
      <c r="E160" s="551"/>
      <c r="F160" s="552"/>
      <c r="G160" s="552"/>
      <c r="H160" s="553"/>
      <c r="I160" s="545"/>
      <c r="J160" s="546"/>
      <c r="K160" s="546"/>
      <c r="L160" s="547"/>
      <c r="M160" s="545"/>
      <c r="N160" s="546"/>
      <c r="O160" s="546"/>
      <c r="P160" s="547"/>
      <c r="Q160" s="545"/>
      <c r="R160" s="546"/>
      <c r="S160" s="546"/>
      <c r="T160" s="547"/>
      <c r="U160" s="545"/>
      <c r="V160" s="546"/>
      <c r="W160" s="546"/>
      <c r="X160" s="547"/>
      <c r="Y160" s="545"/>
      <c r="Z160" s="546"/>
      <c r="AA160" s="546"/>
      <c r="AB160" s="547"/>
      <c r="AC160" s="545"/>
      <c r="AD160" s="546"/>
      <c r="AE160" s="546"/>
      <c r="AF160" s="547"/>
      <c r="AG160" s="545"/>
      <c r="AH160" s="546"/>
      <c r="AI160" s="546"/>
      <c r="AJ160" s="547"/>
      <c r="AK160" s="545"/>
      <c r="AL160" s="546"/>
      <c r="AM160" s="546"/>
      <c r="AN160" s="547"/>
      <c r="AO160" s="545"/>
      <c r="AP160" s="546"/>
      <c r="AQ160" s="546"/>
      <c r="AR160" s="547"/>
      <c r="AS160" s="545"/>
      <c r="AT160" s="546"/>
      <c r="AU160" s="546"/>
      <c r="AV160" s="547"/>
      <c r="AW160" s="545"/>
      <c r="AX160" s="546"/>
      <c r="AY160" s="546"/>
      <c r="AZ160" s="547"/>
      <c r="BG160" s="93"/>
      <c r="BH160" s="93"/>
      <c r="BI160" s="93"/>
      <c r="BJ160" s="176">
        <v>101</v>
      </c>
      <c r="BK160" s="164">
        <v>0</v>
      </c>
      <c r="BL160" s="165">
        <v>113.04</v>
      </c>
      <c r="BM160" s="165">
        <v>163.19</v>
      </c>
      <c r="BN160" s="165">
        <v>229.92</v>
      </c>
      <c r="BO160" s="165">
        <v>232.62</v>
      </c>
      <c r="BP160" s="165">
        <v>245.17</v>
      </c>
      <c r="BQ160" s="165">
        <v>205.29</v>
      </c>
      <c r="BR160" s="165">
        <v>247.98</v>
      </c>
      <c r="BS160" s="165">
        <v>371.17</v>
      </c>
      <c r="BT160" s="165">
        <v>525.16999999999996</v>
      </c>
      <c r="BU160" s="165">
        <v>556.42999999999995</v>
      </c>
      <c r="BV160" s="165">
        <v>245.17</v>
      </c>
      <c r="BW160" s="165">
        <v>205.29</v>
      </c>
      <c r="BX160" s="165">
        <v>247.98</v>
      </c>
      <c r="BY160" s="165">
        <v>371.17</v>
      </c>
      <c r="BZ160" s="165">
        <v>525.16999999999996</v>
      </c>
      <c r="CA160" s="165">
        <v>556.42999999999995</v>
      </c>
      <c r="CB160" s="176"/>
      <c r="CC160" s="126"/>
      <c r="CD160" s="126"/>
      <c r="CE160" s="143"/>
    </row>
    <row r="161" spans="1:83">
      <c r="A161" s="107"/>
      <c r="B161" s="107"/>
      <c r="C161" s="107"/>
      <c r="D161" s="107"/>
      <c r="E161" s="548"/>
      <c r="F161" s="549"/>
      <c r="G161" s="549"/>
      <c r="H161" s="550"/>
      <c r="I161" s="540"/>
      <c r="J161" s="541"/>
      <c r="K161" s="541"/>
      <c r="L161" s="542"/>
      <c r="M161" s="540"/>
      <c r="N161" s="541"/>
      <c r="O161" s="541"/>
      <c r="P161" s="542"/>
      <c r="Q161" s="540"/>
      <c r="R161" s="541"/>
      <c r="S161" s="541"/>
      <c r="T161" s="542"/>
      <c r="U161" s="540"/>
      <c r="V161" s="541"/>
      <c r="W161" s="541"/>
      <c r="X161" s="542"/>
      <c r="Y161" s="540"/>
      <c r="Z161" s="541"/>
      <c r="AA161" s="541"/>
      <c r="AB161" s="542"/>
      <c r="AC161" s="540"/>
      <c r="AD161" s="541"/>
      <c r="AE161" s="541"/>
      <c r="AF161" s="542"/>
      <c r="AG161" s="540"/>
      <c r="AH161" s="541"/>
      <c r="AI161" s="541"/>
      <c r="AJ161" s="542"/>
      <c r="AK161" s="540"/>
      <c r="AL161" s="541"/>
      <c r="AM161" s="541"/>
      <c r="AN161" s="542"/>
      <c r="AO161" s="540"/>
      <c r="AP161" s="541"/>
      <c r="AQ161" s="541"/>
      <c r="AR161" s="542"/>
      <c r="AS161" s="540"/>
      <c r="AT161" s="541"/>
      <c r="AU161" s="541"/>
      <c r="AV161" s="542"/>
      <c r="AW161" s="540"/>
      <c r="AX161" s="541"/>
      <c r="AY161" s="541"/>
      <c r="AZ161" s="542"/>
      <c r="BG161" s="93"/>
      <c r="BH161" s="93"/>
      <c r="BI161" s="93"/>
      <c r="BJ161" s="176">
        <v>102</v>
      </c>
      <c r="BK161" s="164">
        <v>0</v>
      </c>
      <c r="BL161" s="165">
        <v>114.21</v>
      </c>
      <c r="BM161" s="165">
        <v>164.95</v>
      </c>
      <c r="BN161" s="165">
        <v>232.36</v>
      </c>
      <c r="BO161" s="165">
        <v>235.07</v>
      </c>
      <c r="BP161" s="165">
        <v>247.8</v>
      </c>
      <c r="BQ161" s="165">
        <v>207.47</v>
      </c>
      <c r="BR161" s="165">
        <v>250.64</v>
      </c>
      <c r="BS161" s="165">
        <v>375.31</v>
      </c>
      <c r="BT161" s="165">
        <v>531.08000000000004</v>
      </c>
      <c r="BU161" s="165">
        <v>562.64</v>
      </c>
      <c r="BV161" s="165">
        <v>247.8</v>
      </c>
      <c r="BW161" s="165">
        <v>207.47</v>
      </c>
      <c r="BX161" s="165">
        <v>250.64</v>
      </c>
      <c r="BY161" s="165">
        <v>375.31</v>
      </c>
      <c r="BZ161" s="165">
        <v>531.08000000000004</v>
      </c>
      <c r="CA161" s="165">
        <v>562.64</v>
      </c>
      <c r="CB161" s="176"/>
      <c r="CC161" s="126"/>
      <c r="CD161" s="126"/>
      <c r="CE161" s="143"/>
    </row>
    <row r="162" spans="1:83">
      <c r="A162" s="107"/>
      <c r="B162" s="107"/>
      <c r="C162" s="107"/>
      <c r="D162" s="107"/>
      <c r="E162" s="551"/>
      <c r="F162" s="552"/>
      <c r="G162" s="552"/>
      <c r="H162" s="553"/>
      <c r="I162" s="545"/>
      <c r="J162" s="546"/>
      <c r="K162" s="546"/>
      <c r="L162" s="547"/>
      <c r="M162" s="545"/>
      <c r="N162" s="546"/>
      <c r="O162" s="546"/>
      <c r="P162" s="547"/>
      <c r="Q162" s="545"/>
      <c r="R162" s="546"/>
      <c r="S162" s="546"/>
      <c r="T162" s="547"/>
      <c r="U162" s="545"/>
      <c r="V162" s="546"/>
      <c r="W162" s="546"/>
      <c r="X162" s="547"/>
      <c r="Y162" s="545"/>
      <c r="Z162" s="546"/>
      <c r="AA162" s="546"/>
      <c r="AB162" s="547"/>
      <c r="AC162" s="545"/>
      <c r="AD162" s="546"/>
      <c r="AE162" s="546"/>
      <c r="AF162" s="547"/>
      <c r="AG162" s="545"/>
      <c r="AH162" s="546"/>
      <c r="AI162" s="546"/>
      <c r="AJ162" s="547"/>
      <c r="AK162" s="545"/>
      <c r="AL162" s="546"/>
      <c r="AM162" s="546"/>
      <c r="AN162" s="547"/>
      <c r="AO162" s="545"/>
      <c r="AP162" s="546"/>
      <c r="AQ162" s="546"/>
      <c r="AR162" s="547"/>
      <c r="AS162" s="545"/>
      <c r="AT162" s="546"/>
      <c r="AU162" s="546"/>
      <c r="AV162" s="547"/>
      <c r="AW162" s="545"/>
      <c r="AX162" s="546"/>
      <c r="AY162" s="546"/>
      <c r="AZ162" s="547"/>
      <c r="BG162" s="93"/>
      <c r="BH162" s="93"/>
      <c r="BI162" s="93"/>
      <c r="BJ162" s="176">
        <v>103</v>
      </c>
      <c r="BK162" s="164">
        <v>0</v>
      </c>
      <c r="BL162" s="165">
        <v>115.38</v>
      </c>
      <c r="BM162" s="165">
        <v>166.71</v>
      </c>
      <c r="BN162" s="165">
        <v>234.8</v>
      </c>
      <c r="BO162" s="165">
        <v>237.51</v>
      </c>
      <c r="BP162" s="165">
        <v>250.42</v>
      </c>
      <c r="BQ162" s="165">
        <v>209.65</v>
      </c>
      <c r="BR162" s="165">
        <v>253.3</v>
      </c>
      <c r="BS162" s="165">
        <v>379.44</v>
      </c>
      <c r="BT162" s="165">
        <v>536.99</v>
      </c>
      <c r="BU162" s="165">
        <v>568.85</v>
      </c>
      <c r="BV162" s="165">
        <v>250.42</v>
      </c>
      <c r="BW162" s="165">
        <v>209.65</v>
      </c>
      <c r="BX162" s="165">
        <v>253.3</v>
      </c>
      <c r="BY162" s="165">
        <v>379.44</v>
      </c>
      <c r="BZ162" s="165">
        <v>536.99</v>
      </c>
      <c r="CA162" s="165">
        <v>568.85</v>
      </c>
      <c r="CB162" s="176"/>
      <c r="CC162" s="126"/>
      <c r="CD162" s="126"/>
      <c r="CE162" s="143"/>
    </row>
    <row r="163" spans="1:83">
      <c r="A163" s="107"/>
      <c r="B163" s="107"/>
      <c r="C163" s="107"/>
      <c r="D163" s="107"/>
      <c r="E163" s="548"/>
      <c r="F163" s="549"/>
      <c r="G163" s="549"/>
      <c r="H163" s="550"/>
      <c r="I163" s="540"/>
      <c r="J163" s="541"/>
      <c r="K163" s="541"/>
      <c r="L163" s="542"/>
      <c r="M163" s="540"/>
      <c r="N163" s="541"/>
      <c r="O163" s="541"/>
      <c r="P163" s="542"/>
      <c r="Q163" s="540"/>
      <c r="R163" s="541"/>
      <c r="S163" s="541"/>
      <c r="T163" s="542"/>
      <c r="U163" s="540"/>
      <c r="V163" s="541"/>
      <c r="W163" s="541"/>
      <c r="X163" s="542"/>
      <c r="Y163" s="540"/>
      <c r="Z163" s="541"/>
      <c r="AA163" s="541"/>
      <c r="AB163" s="542"/>
      <c r="AC163" s="540"/>
      <c r="AD163" s="541"/>
      <c r="AE163" s="541"/>
      <c r="AF163" s="542"/>
      <c r="AG163" s="540"/>
      <c r="AH163" s="541"/>
      <c r="AI163" s="541"/>
      <c r="AJ163" s="542"/>
      <c r="AK163" s="540"/>
      <c r="AL163" s="541"/>
      <c r="AM163" s="541"/>
      <c r="AN163" s="542"/>
      <c r="AO163" s="540"/>
      <c r="AP163" s="541"/>
      <c r="AQ163" s="541"/>
      <c r="AR163" s="542"/>
      <c r="AS163" s="540"/>
      <c r="AT163" s="541"/>
      <c r="AU163" s="541"/>
      <c r="AV163" s="542"/>
      <c r="AW163" s="540"/>
      <c r="AX163" s="541"/>
      <c r="AY163" s="541"/>
      <c r="AZ163" s="542"/>
      <c r="BG163" s="93"/>
      <c r="BH163" s="93"/>
      <c r="BI163" s="93"/>
      <c r="BJ163" s="176">
        <v>104</v>
      </c>
      <c r="BK163" s="164">
        <v>0</v>
      </c>
      <c r="BL163" s="165">
        <v>116.54</v>
      </c>
      <c r="BM163" s="165">
        <v>168.47</v>
      </c>
      <c r="BN163" s="165">
        <v>237.24</v>
      </c>
      <c r="BO163" s="165">
        <v>239.95</v>
      </c>
      <c r="BP163" s="165">
        <v>253.04</v>
      </c>
      <c r="BQ163" s="165">
        <v>211.82</v>
      </c>
      <c r="BR163" s="165">
        <v>255.96</v>
      </c>
      <c r="BS163" s="165">
        <v>383.58</v>
      </c>
      <c r="BT163" s="165">
        <v>542.9</v>
      </c>
      <c r="BU163" s="165">
        <v>575.04999999999995</v>
      </c>
      <c r="BV163" s="165">
        <v>253.04</v>
      </c>
      <c r="BW163" s="165">
        <v>211.82</v>
      </c>
      <c r="BX163" s="165">
        <v>255.96</v>
      </c>
      <c r="BY163" s="165">
        <v>383.58</v>
      </c>
      <c r="BZ163" s="165">
        <v>542.9</v>
      </c>
      <c r="CA163" s="165">
        <v>575.04999999999995</v>
      </c>
      <c r="CB163" s="176"/>
      <c r="CC163" s="126"/>
      <c r="CD163" s="126"/>
      <c r="CE163" s="143"/>
    </row>
    <row r="164" spans="1:83">
      <c r="A164" s="107"/>
      <c r="B164" s="107"/>
      <c r="C164" s="107"/>
      <c r="D164" s="107"/>
      <c r="E164" s="551"/>
      <c r="F164" s="552"/>
      <c r="G164" s="552"/>
      <c r="H164" s="553"/>
      <c r="I164" s="545"/>
      <c r="J164" s="546"/>
      <c r="K164" s="546"/>
      <c r="L164" s="547"/>
      <c r="M164" s="545"/>
      <c r="N164" s="546"/>
      <c r="O164" s="546"/>
      <c r="P164" s="547"/>
      <c r="Q164" s="545"/>
      <c r="R164" s="546"/>
      <c r="S164" s="546"/>
      <c r="T164" s="547"/>
      <c r="U164" s="545"/>
      <c r="V164" s="546"/>
      <c r="W164" s="546"/>
      <c r="X164" s="547"/>
      <c r="Y164" s="545"/>
      <c r="Z164" s="546"/>
      <c r="AA164" s="546"/>
      <c r="AB164" s="547"/>
      <c r="AC164" s="545"/>
      <c r="AD164" s="546"/>
      <c r="AE164" s="546"/>
      <c r="AF164" s="547"/>
      <c r="AG164" s="545"/>
      <c r="AH164" s="546"/>
      <c r="AI164" s="546"/>
      <c r="AJ164" s="547"/>
      <c r="AK164" s="545"/>
      <c r="AL164" s="546"/>
      <c r="AM164" s="546"/>
      <c r="AN164" s="547"/>
      <c r="AO164" s="545"/>
      <c r="AP164" s="546"/>
      <c r="AQ164" s="546"/>
      <c r="AR164" s="547"/>
      <c r="AS164" s="545"/>
      <c r="AT164" s="546"/>
      <c r="AU164" s="546"/>
      <c r="AV164" s="547"/>
      <c r="AW164" s="545"/>
      <c r="AX164" s="546"/>
      <c r="AY164" s="546"/>
      <c r="AZ164" s="547"/>
      <c r="BG164" s="93"/>
      <c r="BH164" s="93"/>
      <c r="BI164" s="93"/>
      <c r="BJ164" s="176">
        <v>105</v>
      </c>
      <c r="BK164" s="164">
        <v>0</v>
      </c>
      <c r="BL164" s="165">
        <v>117.71</v>
      </c>
      <c r="BM164" s="165">
        <v>170.22</v>
      </c>
      <c r="BN164" s="165">
        <v>239.69</v>
      </c>
      <c r="BO164" s="165">
        <v>242.4</v>
      </c>
      <c r="BP164" s="165">
        <v>255.67</v>
      </c>
      <c r="BQ164" s="165">
        <v>214</v>
      </c>
      <c r="BR164" s="165">
        <v>258.62</v>
      </c>
      <c r="BS164" s="165">
        <v>387.71</v>
      </c>
      <c r="BT164" s="165">
        <v>548.80999999999995</v>
      </c>
      <c r="BU164" s="165">
        <v>581.26</v>
      </c>
      <c r="BV164" s="165">
        <v>255.67</v>
      </c>
      <c r="BW164" s="165">
        <v>214</v>
      </c>
      <c r="BX164" s="165">
        <v>258.62</v>
      </c>
      <c r="BY164" s="165">
        <v>387.71</v>
      </c>
      <c r="BZ164" s="165">
        <v>548.80999999999995</v>
      </c>
      <c r="CA164" s="165">
        <v>581.26</v>
      </c>
      <c r="CB164" s="176"/>
      <c r="CC164" s="126"/>
      <c r="CD164" s="126"/>
      <c r="CE164" s="143"/>
    </row>
    <row r="165" spans="1:83">
      <c r="A165" s="107"/>
      <c r="B165" s="107"/>
      <c r="C165" s="107"/>
      <c r="D165" s="107"/>
      <c r="E165" s="548"/>
      <c r="F165" s="549"/>
      <c r="G165" s="549"/>
      <c r="H165" s="550"/>
      <c r="I165" s="540"/>
      <c r="J165" s="541"/>
      <c r="K165" s="541"/>
      <c r="L165" s="542"/>
      <c r="M165" s="540"/>
      <c r="N165" s="541"/>
      <c r="O165" s="541"/>
      <c r="P165" s="542"/>
      <c r="Q165" s="540"/>
      <c r="R165" s="541"/>
      <c r="S165" s="541"/>
      <c r="T165" s="542"/>
      <c r="U165" s="540"/>
      <c r="V165" s="541"/>
      <c r="W165" s="541"/>
      <c r="X165" s="542"/>
      <c r="Y165" s="540"/>
      <c r="Z165" s="541"/>
      <c r="AA165" s="541"/>
      <c r="AB165" s="542"/>
      <c r="AC165" s="540"/>
      <c r="AD165" s="541"/>
      <c r="AE165" s="541"/>
      <c r="AF165" s="542"/>
      <c r="AG165" s="540"/>
      <c r="AH165" s="541"/>
      <c r="AI165" s="541"/>
      <c r="AJ165" s="542"/>
      <c r="AK165" s="540"/>
      <c r="AL165" s="541"/>
      <c r="AM165" s="541"/>
      <c r="AN165" s="542"/>
      <c r="AO165" s="540"/>
      <c r="AP165" s="541"/>
      <c r="AQ165" s="541"/>
      <c r="AR165" s="542"/>
      <c r="AS165" s="540"/>
      <c r="AT165" s="541"/>
      <c r="AU165" s="541"/>
      <c r="AV165" s="542"/>
      <c r="AW165" s="540"/>
      <c r="AX165" s="541"/>
      <c r="AY165" s="541"/>
      <c r="AZ165" s="542"/>
      <c r="BG165" s="93"/>
      <c r="BI165" s="93"/>
      <c r="BJ165" s="176">
        <v>106</v>
      </c>
      <c r="BK165" s="164">
        <v>0</v>
      </c>
      <c r="BL165" s="165">
        <v>118.87</v>
      </c>
      <c r="BM165" s="165">
        <v>171.98</v>
      </c>
      <c r="BN165" s="165">
        <v>242.13</v>
      </c>
      <c r="BO165" s="165">
        <v>244.84</v>
      </c>
      <c r="BP165" s="165">
        <v>258.29000000000002</v>
      </c>
      <c r="BQ165" s="165">
        <v>216.18</v>
      </c>
      <c r="BR165" s="165">
        <v>261.27999999999997</v>
      </c>
      <c r="BS165" s="165">
        <v>391.85</v>
      </c>
      <c r="BT165" s="165">
        <v>554.72</v>
      </c>
      <c r="BU165" s="165">
        <v>587.46</v>
      </c>
      <c r="BV165" s="165">
        <v>258.29000000000002</v>
      </c>
      <c r="BW165" s="165">
        <v>216.18</v>
      </c>
      <c r="BX165" s="165">
        <v>261.27999999999997</v>
      </c>
      <c r="BY165" s="165">
        <v>391.85</v>
      </c>
      <c r="BZ165" s="165">
        <v>554.72</v>
      </c>
      <c r="CA165" s="165">
        <v>587.46</v>
      </c>
      <c r="CB165" s="176"/>
      <c r="CC165" s="126"/>
      <c r="CD165" s="126"/>
      <c r="CE165" s="143"/>
    </row>
    <row r="166" spans="1:83">
      <c r="A166" s="107"/>
      <c r="B166" s="107"/>
      <c r="C166" s="107"/>
      <c r="D166" s="107"/>
      <c r="E166" s="551"/>
      <c r="F166" s="552"/>
      <c r="G166" s="552"/>
      <c r="H166" s="553"/>
      <c r="I166" s="545"/>
      <c r="J166" s="546"/>
      <c r="K166" s="546"/>
      <c r="L166" s="547"/>
      <c r="M166" s="545"/>
      <c r="N166" s="546"/>
      <c r="O166" s="546"/>
      <c r="P166" s="547"/>
      <c r="Q166" s="545"/>
      <c r="R166" s="546"/>
      <c r="S166" s="546"/>
      <c r="T166" s="547"/>
      <c r="U166" s="545"/>
      <c r="V166" s="546"/>
      <c r="W166" s="546"/>
      <c r="X166" s="547"/>
      <c r="Y166" s="545"/>
      <c r="Z166" s="546"/>
      <c r="AA166" s="546"/>
      <c r="AB166" s="547"/>
      <c r="AC166" s="545"/>
      <c r="AD166" s="546"/>
      <c r="AE166" s="546"/>
      <c r="AF166" s="547"/>
      <c r="AG166" s="545"/>
      <c r="AH166" s="546"/>
      <c r="AI166" s="546"/>
      <c r="AJ166" s="547"/>
      <c r="AK166" s="545"/>
      <c r="AL166" s="546"/>
      <c r="AM166" s="546"/>
      <c r="AN166" s="547"/>
      <c r="AO166" s="545"/>
      <c r="AP166" s="546"/>
      <c r="AQ166" s="546"/>
      <c r="AR166" s="547"/>
      <c r="AS166" s="545"/>
      <c r="AT166" s="546"/>
      <c r="AU166" s="546"/>
      <c r="AV166" s="547"/>
      <c r="AW166" s="545"/>
      <c r="AX166" s="546"/>
      <c r="AY166" s="546"/>
      <c r="AZ166" s="547"/>
      <c r="BG166" s="93"/>
      <c r="BH166" s="93"/>
      <c r="BI166" s="93"/>
      <c r="BJ166" s="176">
        <v>107</v>
      </c>
      <c r="BK166" s="164">
        <v>0</v>
      </c>
      <c r="BL166" s="165">
        <v>120.04</v>
      </c>
      <c r="BM166" s="165">
        <v>173.74</v>
      </c>
      <c r="BN166" s="165">
        <v>244.57</v>
      </c>
      <c r="BO166" s="165">
        <v>247.28</v>
      </c>
      <c r="BP166" s="165">
        <v>260.91000000000003</v>
      </c>
      <c r="BQ166" s="165">
        <v>218.35</v>
      </c>
      <c r="BR166" s="165">
        <v>263.94</v>
      </c>
      <c r="BS166" s="165">
        <v>395.98</v>
      </c>
      <c r="BT166" s="165">
        <v>560.63</v>
      </c>
      <c r="BU166" s="165">
        <v>593.66999999999996</v>
      </c>
      <c r="BV166" s="165">
        <v>260.91000000000003</v>
      </c>
      <c r="BW166" s="165">
        <v>218.35</v>
      </c>
      <c r="BX166" s="165">
        <v>263.94</v>
      </c>
      <c r="BY166" s="165">
        <v>395.98</v>
      </c>
      <c r="BZ166" s="165">
        <v>560.63</v>
      </c>
      <c r="CA166" s="165">
        <v>593.66999999999996</v>
      </c>
      <c r="CB166" s="176"/>
      <c r="CC166" s="126"/>
      <c r="CD166" s="126"/>
      <c r="CE166" s="143"/>
    </row>
    <row r="167" spans="1:83">
      <c r="A167" s="107"/>
      <c r="B167" s="107"/>
      <c r="C167" s="107"/>
      <c r="D167" s="107"/>
      <c r="E167" s="548"/>
      <c r="F167" s="549"/>
      <c r="G167" s="549"/>
      <c r="H167" s="550"/>
      <c r="I167" s="540"/>
      <c r="J167" s="541"/>
      <c r="K167" s="541"/>
      <c r="L167" s="542"/>
      <c r="M167" s="540"/>
      <c r="N167" s="541"/>
      <c r="O167" s="541"/>
      <c r="P167" s="542"/>
      <c r="Q167" s="540"/>
      <c r="R167" s="541"/>
      <c r="S167" s="541"/>
      <c r="T167" s="542"/>
      <c r="U167" s="540"/>
      <c r="V167" s="541"/>
      <c r="W167" s="541"/>
      <c r="X167" s="542"/>
      <c r="Y167" s="540"/>
      <c r="Z167" s="541"/>
      <c r="AA167" s="541"/>
      <c r="AB167" s="542"/>
      <c r="AC167" s="540"/>
      <c r="AD167" s="541"/>
      <c r="AE167" s="541"/>
      <c r="AF167" s="542"/>
      <c r="AG167" s="540"/>
      <c r="AH167" s="541"/>
      <c r="AI167" s="541"/>
      <c r="AJ167" s="542"/>
      <c r="AK167" s="540"/>
      <c r="AL167" s="541"/>
      <c r="AM167" s="541"/>
      <c r="AN167" s="542"/>
      <c r="AO167" s="540"/>
      <c r="AP167" s="541"/>
      <c r="AQ167" s="541"/>
      <c r="AR167" s="542"/>
      <c r="AS167" s="540"/>
      <c r="AT167" s="541"/>
      <c r="AU167" s="541"/>
      <c r="AV167" s="542"/>
      <c r="AW167" s="540"/>
      <c r="AX167" s="541"/>
      <c r="AY167" s="541"/>
      <c r="AZ167" s="542"/>
      <c r="BG167" s="93"/>
      <c r="BH167" s="93"/>
      <c r="BI167" s="93"/>
      <c r="BJ167" s="176">
        <v>108</v>
      </c>
      <c r="BK167" s="164">
        <v>0</v>
      </c>
      <c r="BL167" s="165">
        <v>121.21</v>
      </c>
      <c r="BM167" s="165">
        <v>175.5</v>
      </c>
      <c r="BN167" s="165">
        <v>247.02</v>
      </c>
      <c r="BO167" s="165">
        <v>249.72</v>
      </c>
      <c r="BP167" s="165">
        <v>263.54000000000002</v>
      </c>
      <c r="BQ167" s="165">
        <v>220.53</v>
      </c>
      <c r="BR167" s="165">
        <v>266.60000000000002</v>
      </c>
      <c r="BS167" s="165">
        <v>400.12</v>
      </c>
      <c r="BT167" s="165">
        <v>566.53</v>
      </c>
      <c r="BU167" s="165">
        <v>599.88</v>
      </c>
      <c r="BV167" s="165">
        <v>263.54000000000002</v>
      </c>
      <c r="BW167" s="165">
        <v>220.53</v>
      </c>
      <c r="BX167" s="165">
        <v>266.60000000000002</v>
      </c>
      <c r="BY167" s="165">
        <v>400.12</v>
      </c>
      <c r="BZ167" s="165">
        <v>566.53</v>
      </c>
      <c r="CA167" s="165">
        <v>599.88</v>
      </c>
      <c r="CB167" s="176"/>
      <c r="CC167" s="126"/>
      <c r="CD167" s="126"/>
      <c r="CE167" s="143"/>
    </row>
    <row r="168" spans="1:83">
      <c r="A168" s="107"/>
      <c r="B168" s="107"/>
      <c r="C168" s="107"/>
      <c r="D168" s="107"/>
      <c r="E168" s="551"/>
      <c r="F168" s="552"/>
      <c r="G168" s="552"/>
      <c r="H168" s="553"/>
      <c r="I168" s="545"/>
      <c r="J168" s="546"/>
      <c r="K168" s="546"/>
      <c r="L168" s="547"/>
      <c r="M168" s="545"/>
      <c r="N168" s="546"/>
      <c r="O168" s="546"/>
      <c r="P168" s="547"/>
      <c r="Q168" s="545"/>
      <c r="R168" s="546"/>
      <c r="S168" s="546"/>
      <c r="T168" s="547"/>
      <c r="U168" s="545"/>
      <c r="V168" s="546"/>
      <c r="W168" s="546"/>
      <c r="X168" s="547"/>
      <c r="Y168" s="545"/>
      <c r="Z168" s="546"/>
      <c r="AA168" s="546"/>
      <c r="AB168" s="547"/>
      <c r="AC168" s="545"/>
      <c r="AD168" s="546"/>
      <c r="AE168" s="546"/>
      <c r="AF168" s="547"/>
      <c r="AG168" s="545"/>
      <c r="AH168" s="546"/>
      <c r="AI168" s="546"/>
      <c r="AJ168" s="547"/>
      <c r="AK168" s="545"/>
      <c r="AL168" s="546"/>
      <c r="AM168" s="546"/>
      <c r="AN168" s="547"/>
      <c r="AO168" s="545"/>
      <c r="AP168" s="546"/>
      <c r="AQ168" s="546"/>
      <c r="AR168" s="547"/>
      <c r="AS168" s="545"/>
      <c r="AT168" s="546"/>
      <c r="AU168" s="546"/>
      <c r="AV168" s="547"/>
      <c r="AW168" s="545"/>
      <c r="AX168" s="546"/>
      <c r="AY168" s="546"/>
      <c r="AZ168" s="547"/>
      <c r="BG168" s="93"/>
      <c r="BH168" s="93"/>
      <c r="BI168" s="93"/>
      <c r="BJ168" s="176">
        <v>109</v>
      </c>
      <c r="BK168" s="164">
        <v>0</v>
      </c>
      <c r="BL168" s="165">
        <v>122.37</v>
      </c>
      <c r="BM168" s="165">
        <v>177.26</v>
      </c>
      <c r="BN168" s="165">
        <v>249.46</v>
      </c>
      <c r="BO168" s="165">
        <v>252.17</v>
      </c>
      <c r="BP168" s="165">
        <v>266.16000000000003</v>
      </c>
      <c r="BQ168" s="165">
        <v>222.71</v>
      </c>
      <c r="BR168" s="165">
        <v>269.26</v>
      </c>
      <c r="BS168" s="165">
        <v>404.25</v>
      </c>
      <c r="BT168" s="165">
        <v>572.44000000000005</v>
      </c>
      <c r="BU168" s="165">
        <v>606.08000000000004</v>
      </c>
      <c r="BV168" s="165">
        <v>266.16000000000003</v>
      </c>
      <c r="BW168" s="165">
        <v>222.71</v>
      </c>
      <c r="BX168" s="165">
        <v>269.26</v>
      </c>
      <c r="BY168" s="165">
        <v>404.25</v>
      </c>
      <c r="BZ168" s="165">
        <v>572.44000000000005</v>
      </c>
      <c r="CA168" s="165">
        <v>606.08000000000004</v>
      </c>
      <c r="CB168" s="176"/>
      <c r="CC168" s="126"/>
      <c r="CD168" s="126"/>
      <c r="CE168" s="143"/>
    </row>
    <row r="169" spans="1:83">
      <c r="A169" s="107"/>
      <c r="B169" s="107"/>
      <c r="C169" s="107"/>
      <c r="D169" s="107"/>
      <c r="E169" s="548"/>
      <c r="F169" s="549"/>
      <c r="G169" s="549"/>
      <c r="H169" s="550"/>
      <c r="I169" s="540"/>
      <c r="J169" s="541"/>
      <c r="K169" s="541"/>
      <c r="L169" s="542"/>
      <c r="M169" s="540"/>
      <c r="N169" s="541"/>
      <c r="O169" s="541"/>
      <c r="P169" s="542"/>
      <c r="Q169" s="540"/>
      <c r="R169" s="541"/>
      <c r="S169" s="541"/>
      <c r="T169" s="542"/>
      <c r="U169" s="540"/>
      <c r="V169" s="541"/>
      <c r="W169" s="541"/>
      <c r="X169" s="542"/>
      <c r="Y169" s="540"/>
      <c r="Z169" s="541"/>
      <c r="AA169" s="541"/>
      <c r="AB169" s="542"/>
      <c r="AC169" s="540"/>
      <c r="AD169" s="541"/>
      <c r="AE169" s="541"/>
      <c r="AF169" s="542"/>
      <c r="AG169" s="540"/>
      <c r="AH169" s="541"/>
      <c r="AI169" s="541"/>
      <c r="AJ169" s="542"/>
      <c r="AK169" s="540"/>
      <c r="AL169" s="541"/>
      <c r="AM169" s="541"/>
      <c r="AN169" s="542"/>
      <c r="AO169" s="540"/>
      <c r="AP169" s="541"/>
      <c r="AQ169" s="541"/>
      <c r="AR169" s="542"/>
      <c r="AS169" s="540"/>
      <c r="AT169" s="541"/>
      <c r="AU169" s="541"/>
      <c r="AV169" s="542"/>
      <c r="AW169" s="540"/>
      <c r="AX169" s="541"/>
      <c r="AY169" s="541"/>
      <c r="AZ169" s="542"/>
      <c r="BG169" s="93"/>
      <c r="BH169" s="93"/>
      <c r="BI169" s="93"/>
      <c r="BJ169" s="176">
        <v>110</v>
      </c>
      <c r="BK169" s="164">
        <v>0</v>
      </c>
      <c r="BL169" s="165">
        <v>123.54</v>
      </c>
      <c r="BM169" s="165">
        <v>179.02</v>
      </c>
      <c r="BN169" s="165">
        <v>251.9</v>
      </c>
      <c r="BO169" s="165">
        <v>254.61</v>
      </c>
      <c r="BP169" s="165">
        <v>268.77999999999997</v>
      </c>
      <c r="BQ169" s="165">
        <v>224.88</v>
      </c>
      <c r="BR169" s="165">
        <v>271.92</v>
      </c>
      <c r="BS169" s="165">
        <v>408.39</v>
      </c>
      <c r="BT169" s="165">
        <v>578.35</v>
      </c>
      <c r="BU169" s="165">
        <v>612.29</v>
      </c>
      <c r="BV169" s="165">
        <v>268.77999999999997</v>
      </c>
      <c r="BW169" s="165">
        <v>224.88</v>
      </c>
      <c r="BX169" s="165">
        <v>271.92</v>
      </c>
      <c r="BY169" s="165">
        <v>408.39</v>
      </c>
      <c r="BZ169" s="165">
        <v>578.35</v>
      </c>
      <c r="CA169" s="165">
        <v>612.29</v>
      </c>
      <c r="CB169" s="176"/>
      <c r="CC169" s="126"/>
      <c r="CD169" s="126"/>
      <c r="CE169" s="143"/>
    </row>
    <row r="170" spans="1:83">
      <c r="A170" s="107"/>
      <c r="B170" s="107"/>
      <c r="C170" s="107"/>
      <c r="D170" s="107"/>
      <c r="E170" s="551"/>
      <c r="F170" s="552"/>
      <c r="G170" s="552"/>
      <c r="H170" s="553"/>
      <c r="I170" s="545"/>
      <c r="J170" s="546"/>
      <c r="K170" s="546"/>
      <c r="L170" s="547"/>
      <c r="M170" s="545"/>
      <c r="N170" s="546"/>
      <c r="O170" s="546"/>
      <c r="P170" s="547"/>
      <c r="Q170" s="545"/>
      <c r="R170" s="546"/>
      <c r="S170" s="546"/>
      <c r="T170" s="547"/>
      <c r="U170" s="545"/>
      <c r="V170" s="546"/>
      <c r="W170" s="546"/>
      <c r="X170" s="547"/>
      <c r="Y170" s="545"/>
      <c r="Z170" s="546"/>
      <c r="AA170" s="546"/>
      <c r="AB170" s="547"/>
      <c r="AC170" s="545"/>
      <c r="AD170" s="546"/>
      <c r="AE170" s="546"/>
      <c r="AF170" s="547"/>
      <c r="AG170" s="545"/>
      <c r="AH170" s="546"/>
      <c r="AI170" s="546"/>
      <c r="AJ170" s="547"/>
      <c r="AK170" s="545"/>
      <c r="AL170" s="546"/>
      <c r="AM170" s="546"/>
      <c r="AN170" s="547"/>
      <c r="AO170" s="545"/>
      <c r="AP170" s="546"/>
      <c r="AQ170" s="546"/>
      <c r="AR170" s="547"/>
      <c r="AS170" s="545"/>
      <c r="AT170" s="546"/>
      <c r="AU170" s="546"/>
      <c r="AV170" s="547"/>
      <c r="AW170" s="545"/>
      <c r="AX170" s="546"/>
      <c r="AY170" s="546"/>
      <c r="AZ170" s="547"/>
      <c r="BG170" s="93"/>
      <c r="BH170" s="93"/>
      <c r="BI170" s="93"/>
      <c r="BJ170" s="176">
        <v>111</v>
      </c>
      <c r="BK170" s="164">
        <v>0</v>
      </c>
      <c r="BL170" s="165">
        <v>124.71</v>
      </c>
      <c r="BM170" s="165">
        <v>180.78</v>
      </c>
      <c r="BN170" s="165">
        <v>254.35</v>
      </c>
      <c r="BO170" s="165">
        <v>257.05</v>
      </c>
      <c r="BP170" s="165">
        <v>271.41000000000003</v>
      </c>
      <c r="BQ170" s="165">
        <v>227.06</v>
      </c>
      <c r="BR170" s="165">
        <v>274.58</v>
      </c>
      <c r="BS170" s="165">
        <v>412.52</v>
      </c>
      <c r="BT170" s="165">
        <v>584.26</v>
      </c>
      <c r="BU170" s="165">
        <v>618.5</v>
      </c>
      <c r="BV170" s="165">
        <v>271.41000000000003</v>
      </c>
      <c r="BW170" s="165">
        <v>227.06</v>
      </c>
      <c r="BX170" s="165">
        <v>274.58</v>
      </c>
      <c r="BY170" s="165">
        <v>412.52</v>
      </c>
      <c r="BZ170" s="165">
        <v>584.26</v>
      </c>
      <c r="CA170" s="165">
        <v>618.5</v>
      </c>
      <c r="CB170" s="176"/>
      <c r="CC170" s="126"/>
      <c r="CD170" s="126"/>
      <c r="CE170" s="143"/>
    </row>
    <row r="171" spans="1:83">
      <c r="A171" s="107"/>
      <c r="B171" s="107"/>
      <c r="C171" s="107"/>
      <c r="D171" s="107"/>
      <c r="E171" s="548"/>
      <c r="F171" s="549"/>
      <c r="G171" s="549"/>
      <c r="H171" s="550"/>
      <c r="I171" s="540"/>
      <c r="J171" s="541"/>
      <c r="K171" s="541"/>
      <c r="L171" s="542"/>
      <c r="M171" s="540"/>
      <c r="N171" s="541"/>
      <c r="O171" s="541"/>
      <c r="P171" s="542"/>
      <c r="Q171" s="540"/>
      <c r="R171" s="541"/>
      <c r="S171" s="541"/>
      <c r="T171" s="542"/>
      <c r="U171" s="540"/>
      <c r="V171" s="541"/>
      <c r="W171" s="541"/>
      <c r="X171" s="542"/>
      <c r="Y171" s="540"/>
      <c r="Z171" s="541"/>
      <c r="AA171" s="541"/>
      <c r="AB171" s="542"/>
      <c r="AC171" s="540"/>
      <c r="AD171" s="541"/>
      <c r="AE171" s="541"/>
      <c r="AF171" s="542"/>
      <c r="AG171" s="540"/>
      <c r="AH171" s="541"/>
      <c r="AI171" s="541"/>
      <c r="AJ171" s="542"/>
      <c r="AK171" s="540"/>
      <c r="AL171" s="541"/>
      <c r="AM171" s="541"/>
      <c r="AN171" s="542"/>
      <c r="AO171" s="540"/>
      <c r="AP171" s="541"/>
      <c r="AQ171" s="541"/>
      <c r="AR171" s="542"/>
      <c r="AS171" s="540"/>
      <c r="AT171" s="541"/>
      <c r="AU171" s="541"/>
      <c r="AV171" s="542"/>
      <c r="AW171" s="540"/>
      <c r="AX171" s="541"/>
      <c r="AY171" s="541"/>
      <c r="AZ171" s="542"/>
      <c r="BG171" s="93"/>
      <c r="BH171" s="93"/>
      <c r="BI171" s="93"/>
      <c r="BJ171" s="176">
        <v>112</v>
      </c>
      <c r="BK171" s="164">
        <v>0</v>
      </c>
      <c r="BL171" s="165">
        <v>125.87</v>
      </c>
      <c r="BM171" s="165">
        <v>182.54</v>
      </c>
      <c r="BN171" s="165">
        <v>256.79000000000002</v>
      </c>
      <c r="BO171" s="165">
        <v>259.5</v>
      </c>
      <c r="BP171" s="165">
        <v>274.02999999999997</v>
      </c>
      <c r="BQ171" s="165">
        <v>229.24</v>
      </c>
      <c r="BR171" s="165">
        <v>277.24</v>
      </c>
      <c r="BS171" s="165">
        <v>416.66</v>
      </c>
      <c r="BT171" s="165">
        <v>590.16999999999996</v>
      </c>
      <c r="BU171" s="165">
        <v>624.70000000000005</v>
      </c>
      <c r="BV171" s="165">
        <v>274.02999999999997</v>
      </c>
      <c r="BW171" s="165">
        <v>229.24</v>
      </c>
      <c r="BX171" s="165">
        <v>277.24</v>
      </c>
      <c r="BY171" s="165">
        <v>416.66</v>
      </c>
      <c r="BZ171" s="165">
        <v>590.16999999999996</v>
      </c>
      <c r="CA171" s="165">
        <v>624.70000000000005</v>
      </c>
      <c r="CB171" s="176"/>
      <c r="CC171" s="126"/>
      <c r="CD171" s="126"/>
      <c r="CE171" s="143"/>
    </row>
    <row r="172" spans="1:83">
      <c r="A172" s="107"/>
      <c r="B172" s="107"/>
      <c r="C172" s="107"/>
      <c r="D172" s="107"/>
      <c r="E172" s="551"/>
      <c r="F172" s="552"/>
      <c r="G172" s="552"/>
      <c r="H172" s="553"/>
      <c r="I172" s="545"/>
      <c r="J172" s="546"/>
      <c r="K172" s="546"/>
      <c r="L172" s="547"/>
      <c r="M172" s="545"/>
      <c r="N172" s="546"/>
      <c r="O172" s="546"/>
      <c r="P172" s="547"/>
      <c r="Q172" s="545"/>
      <c r="R172" s="546"/>
      <c r="S172" s="546"/>
      <c r="T172" s="547"/>
      <c r="U172" s="545"/>
      <c r="V172" s="546"/>
      <c r="W172" s="546"/>
      <c r="X172" s="547"/>
      <c r="Y172" s="545"/>
      <c r="Z172" s="546"/>
      <c r="AA172" s="546"/>
      <c r="AB172" s="547"/>
      <c r="AC172" s="545"/>
      <c r="AD172" s="546"/>
      <c r="AE172" s="546"/>
      <c r="AF172" s="547"/>
      <c r="AG172" s="545"/>
      <c r="AH172" s="546"/>
      <c r="AI172" s="546"/>
      <c r="AJ172" s="547"/>
      <c r="AK172" s="545"/>
      <c r="AL172" s="546"/>
      <c r="AM172" s="546"/>
      <c r="AN172" s="547"/>
      <c r="AO172" s="545"/>
      <c r="AP172" s="546"/>
      <c r="AQ172" s="546"/>
      <c r="AR172" s="547"/>
      <c r="AS172" s="545"/>
      <c r="AT172" s="546"/>
      <c r="AU172" s="546"/>
      <c r="AV172" s="547"/>
      <c r="AW172" s="545"/>
      <c r="AX172" s="546"/>
      <c r="AY172" s="546"/>
      <c r="AZ172" s="547"/>
      <c r="BG172" s="93"/>
      <c r="BH172" s="93"/>
      <c r="BI172" s="93"/>
      <c r="BJ172" s="176">
        <v>113</v>
      </c>
      <c r="BK172" s="164">
        <v>0</v>
      </c>
      <c r="BL172" s="165">
        <v>127.04</v>
      </c>
      <c r="BM172" s="165">
        <v>184.3</v>
      </c>
      <c r="BN172" s="165">
        <v>259.23</v>
      </c>
      <c r="BO172" s="165">
        <v>261.94</v>
      </c>
      <c r="BP172" s="165">
        <v>276.64999999999998</v>
      </c>
      <c r="BQ172" s="165">
        <v>231.42</v>
      </c>
      <c r="BR172" s="165">
        <v>279.89999999999998</v>
      </c>
      <c r="BS172" s="165">
        <v>420.79</v>
      </c>
      <c r="BT172" s="165">
        <v>596.08000000000004</v>
      </c>
      <c r="BU172" s="165">
        <v>630.91</v>
      </c>
      <c r="BV172" s="165">
        <v>276.64999999999998</v>
      </c>
      <c r="BW172" s="165">
        <v>231.42</v>
      </c>
      <c r="BX172" s="165">
        <v>279.89999999999998</v>
      </c>
      <c r="BY172" s="165">
        <v>420.79</v>
      </c>
      <c r="BZ172" s="165">
        <v>596.08000000000004</v>
      </c>
      <c r="CA172" s="165">
        <v>630.91</v>
      </c>
      <c r="CB172" s="176"/>
      <c r="CC172" s="126"/>
      <c r="CD172" s="126"/>
      <c r="CE172" s="143"/>
    </row>
    <row r="173" spans="1:83">
      <c r="A173" s="107"/>
      <c r="B173" s="107"/>
      <c r="C173" s="107"/>
      <c r="D173" s="107"/>
      <c r="E173" s="548"/>
      <c r="F173" s="549"/>
      <c r="G173" s="549"/>
      <c r="H173" s="550"/>
      <c r="I173" s="540"/>
      <c r="J173" s="541"/>
      <c r="K173" s="541"/>
      <c r="L173" s="542"/>
      <c r="M173" s="540"/>
      <c r="N173" s="541"/>
      <c r="O173" s="541"/>
      <c r="P173" s="542"/>
      <c r="Q173" s="540"/>
      <c r="R173" s="541"/>
      <c r="S173" s="541"/>
      <c r="T173" s="542"/>
      <c r="U173" s="540"/>
      <c r="V173" s="541"/>
      <c r="W173" s="541"/>
      <c r="X173" s="542"/>
      <c r="Y173" s="540"/>
      <c r="Z173" s="541"/>
      <c r="AA173" s="541"/>
      <c r="AB173" s="542"/>
      <c r="AC173" s="540"/>
      <c r="AD173" s="541"/>
      <c r="AE173" s="541"/>
      <c r="AF173" s="542"/>
      <c r="AG173" s="540"/>
      <c r="AH173" s="541"/>
      <c r="AI173" s="541"/>
      <c r="AJ173" s="542"/>
      <c r="AK173" s="540"/>
      <c r="AL173" s="541"/>
      <c r="AM173" s="541"/>
      <c r="AN173" s="542"/>
      <c r="AO173" s="540"/>
      <c r="AP173" s="541"/>
      <c r="AQ173" s="541"/>
      <c r="AR173" s="542"/>
      <c r="AS173" s="540"/>
      <c r="AT173" s="541"/>
      <c r="AU173" s="541"/>
      <c r="AV173" s="542"/>
      <c r="AW173" s="540"/>
      <c r="AX173" s="541"/>
      <c r="AY173" s="541"/>
      <c r="AZ173" s="542"/>
      <c r="BG173" s="93"/>
      <c r="BH173" s="93"/>
      <c r="BI173" s="93"/>
      <c r="BJ173" s="176">
        <v>114</v>
      </c>
      <c r="BK173" s="164">
        <v>0</v>
      </c>
      <c r="BL173" s="165">
        <v>128.21</v>
      </c>
      <c r="BM173" s="165">
        <v>186.06</v>
      </c>
      <c r="BN173" s="165">
        <v>261.68</v>
      </c>
      <c r="BO173" s="165">
        <v>264.38</v>
      </c>
      <c r="BP173" s="165">
        <v>279.27999999999997</v>
      </c>
      <c r="BQ173" s="165">
        <v>233.59</v>
      </c>
      <c r="BR173" s="165">
        <v>282.55</v>
      </c>
      <c r="BS173" s="165">
        <v>424.93</v>
      </c>
      <c r="BT173" s="165">
        <v>601.99</v>
      </c>
      <c r="BU173" s="165">
        <v>637.12</v>
      </c>
      <c r="BV173" s="165">
        <v>279.27999999999997</v>
      </c>
      <c r="BW173" s="165">
        <v>233.59</v>
      </c>
      <c r="BX173" s="165">
        <v>282.55</v>
      </c>
      <c r="BY173" s="165">
        <v>424.93</v>
      </c>
      <c r="BZ173" s="165">
        <v>601.99</v>
      </c>
      <c r="CA173" s="165">
        <v>637.12</v>
      </c>
      <c r="CB173" s="176"/>
      <c r="CC173" s="126"/>
      <c r="CD173" s="126"/>
      <c r="CE173" s="143"/>
    </row>
    <row r="174" spans="1:83">
      <c r="A174" s="107"/>
      <c r="B174" s="107"/>
      <c r="C174" s="107"/>
      <c r="D174" s="107"/>
      <c r="E174" s="551"/>
      <c r="F174" s="552"/>
      <c r="G174" s="552"/>
      <c r="H174" s="553"/>
      <c r="I174" s="545"/>
      <c r="J174" s="546"/>
      <c r="K174" s="546"/>
      <c r="L174" s="547"/>
      <c r="M174" s="545"/>
      <c r="N174" s="546"/>
      <c r="O174" s="546"/>
      <c r="P174" s="547"/>
      <c r="Q174" s="545"/>
      <c r="R174" s="546"/>
      <c r="S174" s="546"/>
      <c r="T174" s="547"/>
      <c r="U174" s="545"/>
      <c r="V174" s="546"/>
      <c r="W174" s="546"/>
      <c r="X174" s="547"/>
      <c r="Y174" s="545"/>
      <c r="Z174" s="546"/>
      <c r="AA174" s="546"/>
      <c r="AB174" s="547"/>
      <c r="AC174" s="545"/>
      <c r="AD174" s="546"/>
      <c r="AE174" s="546"/>
      <c r="AF174" s="547"/>
      <c r="AG174" s="545"/>
      <c r="AH174" s="546"/>
      <c r="AI174" s="546"/>
      <c r="AJ174" s="547"/>
      <c r="AK174" s="545"/>
      <c r="AL174" s="546"/>
      <c r="AM174" s="546"/>
      <c r="AN174" s="547"/>
      <c r="AO174" s="545"/>
      <c r="AP174" s="546"/>
      <c r="AQ174" s="546"/>
      <c r="AR174" s="547"/>
      <c r="AS174" s="545"/>
      <c r="AT174" s="546"/>
      <c r="AU174" s="546"/>
      <c r="AV174" s="547"/>
      <c r="AW174" s="545"/>
      <c r="AX174" s="546"/>
      <c r="AY174" s="546"/>
      <c r="AZ174" s="547"/>
      <c r="BG174" s="93"/>
      <c r="BH174" s="93"/>
      <c r="BI174" s="93"/>
      <c r="BJ174" s="176">
        <v>115</v>
      </c>
      <c r="BK174" s="164">
        <v>0</v>
      </c>
      <c r="BL174" s="165">
        <v>129.37</v>
      </c>
      <c r="BM174" s="165">
        <v>187.82</v>
      </c>
      <c r="BN174" s="165">
        <v>264.12</v>
      </c>
      <c r="BO174" s="165">
        <v>266.83</v>
      </c>
      <c r="BP174" s="165">
        <v>281.89999999999998</v>
      </c>
      <c r="BQ174" s="165">
        <v>235.77</v>
      </c>
      <c r="BR174" s="165">
        <v>285.20999999999998</v>
      </c>
      <c r="BS174" s="165">
        <v>429.06</v>
      </c>
      <c r="BT174" s="165">
        <v>607.9</v>
      </c>
      <c r="BU174" s="165">
        <v>643.32000000000005</v>
      </c>
      <c r="BV174" s="165">
        <v>281.89999999999998</v>
      </c>
      <c r="BW174" s="165">
        <v>235.77</v>
      </c>
      <c r="BX174" s="165">
        <v>285.20999999999998</v>
      </c>
      <c r="BY174" s="165">
        <v>429.06</v>
      </c>
      <c r="BZ174" s="165">
        <v>607.9</v>
      </c>
      <c r="CA174" s="165">
        <v>643.32000000000005</v>
      </c>
      <c r="CB174" s="176"/>
      <c r="CC174" s="126"/>
      <c r="CD174" s="126"/>
      <c r="CE174" s="143"/>
    </row>
    <row r="175" spans="1:83">
      <c r="A175" s="107"/>
      <c r="B175" s="107"/>
      <c r="C175" s="107"/>
      <c r="D175" s="107"/>
      <c r="E175" s="548"/>
      <c r="F175" s="549"/>
      <c r="G175" s="549"/>
      <c r="H175" s="550"/>
      <c r="I175" s="540"/>
      <c r="J175" s="541"/>
      <c r="K175" s="541"/>
      <c r="L175" s="542"/>
      <c r="M175" s="540"/>
      <c r="N175" s="541"/>
      <c r="O175" s="541"/>
      <c r="P175" s="542"/>
      <c r="Q175" s="540"/>
      <c r="R175" s="541"/>
      <c r="S175" s="541"/>
      <c r="T175" s="542"/>
      <c r="U175" s="540"/>
      <c r="V175" s="541"/>
      <c r="W175" s="541"/>
      <c r="X175" s="542"/>
      <c r="Y175" s="540"/>
      <c r="Z175" s="541"/>
      <c r="AA175" s="541"/>
      <c r="AB175" s="542"/>
      <c r="AC175" s="540"/>
      <c r="AD175" s="541"/>
      <c r="AE175" s="541"/>
      <c r="AF175" s="542"/>
      <c r="AG175" s="540"/>
      <c r="AH175" s="541"/>
      <c r="AI175" s="541"/>
      <c r="AJ175" s="542"/>
      <c r="AK175" s="540"/>
      <c r="AL175" s="541"/>
      <c r="AM175" s="541"/>
      <c r="AN175" s="542"/>
      <c r="AO175" s="540"/>
      <c r="AP175" s="541"/>
      <c r="AQ175" s="541"/>
      <c r="AR175" s="542"/>
      <c r="AS175" s="540"/>
      <c r="AT175" s="541"/>
      <c r="AU175" s="541"/>
      <c r="AV175" s="542"/>
      <c r="AW175" s="540"/>
      <c r="AX175" s="541"/>
      <c r="AY175" s="541"/>
      <c r="AZ175" s="542"/>
      <c r="BG175" s="93"/>
      <c r="BH175" s="93"/>
      <c r="BI175" s="93"/>
      <c r="BJ175" s="176">
        <v>116</v>
      </c>
      <c r="BK175" s="164">
        <v>0</v>
      </c>
      <c r="BL175" s="165">
        <v>130.54</v>
      </c>
      <c r="BM175" s="165">
        <v>189.58</v>
      </c>
      <c r="BN175" s="165">
        <v>266.56</v>
      </c>
      <c r="BO175" s="165">
        <v>269.27</v>
      </c>
      <c r="BP175" s="165">
        <v>284.52</v>
      </c>
      <c r="BQ175" s="165">
        <v>237.95</v>
      </c>
      <c r="BR175" s="165">
        <v>287.87</v>
      </c>
      <c r="BS175" s="165">
        <v>433.2</v>
      </c>
      <c r="BT175" s="165">
        <v>613.79999999999995</v>
      </c>
      <c r="BU175" s="165">
        <v>649.53</v>
      </c>
      <c r="BV175" s="165">
        <v>284.52</v>
      </c>
      <c r="BW175" s="165">
        <v>237.95</v>
      </c>
      <c r="BX175" s="165">
        <v>287.87</v>
      </c>
      <c r="BY175" s="165">
        <v>433.2</v>
      </c>
      <c r="BZ175" s="165">
        <v>613.79999999999995</v>
      </c>
      <c r="CA175" s="165">
        <v>649.53</v>
      </c>
      <c r="CB175" s="176"/>
      <c r="CC175" s="126"/>
      <c r="CD175" s="126"/>
      <c r="CE175" s="143"/>
    </row>
    <row r="176" spans="1:83">
      <c r="A176" s="107"/>
      <c r="B176" s="107"/>
      <c r="C176" s="107"/>
      <c r="D176" s="107"/>
      <c r="E176" s="551"/>
      <c r="F176" s="552"/>
      <c r="G176" s="552"/>
      <c r="H176" s="553"/>
      <c r="I176" s="545"/>
      <c r="J176" s="546"/>
      <c r="K176" s="546"/>
      <c r="L176" s="547"/>
      <c r="M176" s="545"/>
      <c r="N176" s="546"/>
      <c r="O176" s="546"/>
      <c r="P176" s="547"/>
      <c r="Q176" s="545"/>
      <c r="R176" s="546"/>
      <c r="S176" s="546"/>
      <c r="T176" s="547"/>
      <c r="U176" s="545"/>
      <c r="V176" s="546"/>
      <c r="W176" s="546"/>
      <c r="X176" s="547"/>
      <c r="Y176" s="545"/>
      <c r="Z176" s="546"/>
      <c r="AA176" s="546"/>
      <c r="AB176" s="547"/>
      <c r="AC176" s="545"/>
      <c r="AD176" s="546"/>
      <c r="AE176" s="546"/>
      <c r="AF176" s="547"/>
      <c r="AG176" s="545"/>
      <c r="AH176" s="546"/>
      <c r="AI176" s="546"/>
      <c r="AJ176" s="547"/>
      <c r="AK176" s="545"/>
      <c r="AL176" s="546"/>
      <c r="AM176" s="546"/>
      <c r="AN176" s="547"/>
      <c r="AO176" s="545"/>
      <c r="AP176" s="546"/>
      <c r="AQ176" s="546"/>
      <c r="AR176" s="547"/>
      <c r="AS176" s="545"/>
      <c r="AT176" s="546"/>
      <c r="AU176" s="546"/>
      <c r="AV176" s="547"/>
      <c r="AW176" s="545"/>
      <c r="AX176" s="546"/>
      <c r="AY176" s="546"/>
      <c r="AZ176" s="547"/>
      <c r="BG176" s="93"/>
      <c r="BH176" s="93"/>
      <c r="BI176" s="93"/>
      <c r="BJ176" s="176">
        <v>117</v>
      </c>
      <c r="BK176" s="164">
        <v>0</v>
      </c>
      <c r="BL176" s="165">
        <v>131.69999999999999</v>
      </c>
      <c r="BM176" s="165">
        <v>191.34</v>
      </c>
      <c r="BN176" s="165">
        <v>269.01</v>
      </c>
      <c r="BO176" s="165">
        <v>271.70999999999998</v>
      </c>
      <c r="BP176" s="165">
        <v>287.14999999999998</v>
      </c>
      <c r="BQ176" s="165">
        <v>240.12</v>
      </c>
      <c r="BR176" s="165">
        <v>290.52999999999997</v>
      </c>
      <c r="BS176" s="165">
        <v>437.34</v>
      </c>
      <c r="BT176" s="165">
        <v>619.71</v>
      </c>
      <c r="BU176" s="165">
        <v>655.74</v>
      </c>
      <c r="BV176" s="165">
        <v>287.14999999999998</v>
      </c>
      <c r="BW176" s="165">
        <v>240.12</v>
      </c>
      <c r="BX176" s="165">
        <v>290.52999999999997</v>
      </c>
      <c r="BY176" s="165">
        <v>437.34</v>
      </c>
      <c r="BZ176" s="165">
        <v>619.71</v>
      </c>
      <c r="CA176" s="165">
        <v>655.74</v>
      </c>
      <c r="CB176" s="176"/>
      <c r="CC176" s="126"/>
      <c r="CD176" s="126"/>
      <c r="CE176" s="143"/>
    </row>
    <row r="177" spans="1:83">
      <c r="A177" s="107"/>
      <c r="B177" s="107"/>
      <c r="C177" s="107"/>
      <c r="D177" s="107"/>
      <c r="E177" s="548"/>
      <c r="F177" s="549"/>
      <c r="G177" s="549"/>
      <c r="H177" s="550"/>
      <c r="I177" s="540"/>
      <c r="J177" s="541"/>
      <c r="K177" s="541"/>
      <c r="L177" s="542"/>
      <c r="M177" s="540"/>
      <c r="N177" s="541"/>
      <c r="O177" s="541"/>
      <c r="P177" s="542"/>
      <c r="Q177" s="540"/>
      <c r="R177" s="541"/>
      <c r="S177" s="541"/>
      <c r="T177" s="542"/>
      <c r="U177" s="540"/>
      <c r="V177" s="541"/>
      <c r="W177" s="541"/>
      <c r="X177" s="542"/>
      <c r="Y177" s="540"/>
      <c r="Z177" s="541"/>
      <c r="AA177" s="541"/>
      <c r="AB177" s="542"/>
      <c r="AC177" s="540"/>
      <c r="AD177" s="541"/>
      <c r="AE177" s="541"/>
      <c r="AF177" s="542"/>
      <c r="AG177" s="540"/>
      <c r="AH177" s="541"/>
      <c r="AI177" s="541"/>
      <c r="AJ177" s="542"/>
      <c r="AK177" s="540"/>
      <c r="AL177" s="541"/>
      <c r="AM177" s="541"/>
      <c r="AN177" s="542"/>
      <c r="AO177" s="540"/>
      <c r="AP177" s="541"/>
      <c r="AQ177" s="541"/>
      <c r="AR177" s="542"/>
      <c r="AS177" s="540"/>
      <c r="AT177" s="541"/>
      <c r="AU177" s="541"/>
      <c r="AV177" s="542"/>
      <c r="AW177" s="540"/>
      <c r="AX177" s="541"/>
      <c r="AY177" s="541"/>
      <c r="AZ177" s="542"/>
      <c r="BG177" s="93"/>
      <c r="BH177" s="93"/>
      <c r="BI177" s="93"/>
      <c r="BJ177" s="176">
        <v>118</v>
      </c>
      <c r="BK177" s="164">
        <v>0</v>
      </c>
      <c r="BL177" s="165">
        <v>132.87</v>
      </c>
      <c r="BM177" s="165">
        <v>193.09</v>
      </c>
      <c r="BN177" s="165">
        <v>271.45</v>
      </c>
      <c r="BO177" s="165">
        <v>274.16000000000003</v>
      </c>
      <c r="BP177" s="165">
        <v>289.77</v>
      </c>
      <c r="BQ177" s="165">
        <v>242.3</v>
      </c>
      <c r="BR177" s="165">
        <v>293.19</v>
      </c>
      <c r="BS177" s="165">
        <v>441.47</v>
      </c>
      <c r="BT177" s="165">
        <v>625.62</v>
      </c>
      <c r="BU177" s="165">
        <v>661.94</v>
      </c>
      <c r="BV177" s="165">
        <v>289.77</v>
      </c>
      <c r="BW177" s="165">
        <v>242.3</v>
      </c>
      <c r="BX177" s="165">
        <v>293.19</v>
      </c>
      <c r="BY177" s="165">
        <v>441.47</v>
      </c>
      <c r="BZ177" s="165">
        <v>625.62</v>
      </c>
      <c r="CA177" s="165">
        <v>661.94</v>
      </c>
      <c r="CB177" s="176"/>
      <c r="CC177" s="126"/>
      <c r="CD177" s="126"/>
      <c r="CE177" s="143"/>
    </row>
    <row r="178" spans="1:83">
      <c r="A178" s="107"/>
      <c r="B178" s="107"/>
      <c r="C178" s="107"/>
      <c r="D178" s="107"/>
      <c r="E178" s="551"/>
      <c r="F178" s="552"/>
      <c r="G178" s="552"/>
      <c r="H178" s="553"/>
      <c r="I178" s="545"/>
      <c r="J178" s="546"/>
      <c r="K178" s="546"/>
      <c r="L178" s="547"/>
      <c r="M178" s="545"/>
      <c r="N178" s="546"/>
      <c r="O178" s="546"/>
      <c r="P178" s="547"/>
      <c r="Q178" s="545"/>
      <c r="R178" s="546"/>
      <c r="S178" s="546"/>
      <c r="T178" s="547"/>
      <c r="U178" s="545"/>
      <c r="V178" s="546"/>
      <c r="W178" s="546"/>
      <c r="X178" s="547"/>
      <c r="Y178" s="545"/>
      <c r="Z178" s="546"/>
      <c r="AA178" s="546"/>
      <c r="AB178" s="547"/>
      <c r="AC178" s="545"/>
      <c r="AD178" s="546"/>
      <c r="AE178" s="546"/>
      <c r="AF178" s="547"/>
      <c r="AG178" s="545"/>
      <c r="AH178" s="546"/>
      <c r="AI178" s="546"/>
      <c r="AJ178" s="547"/>
      <c r="AK178" s="545"/>
      <c r="AL178" s="546"/>
      <c r="AM178" s="546"/>
      <c r="AN178" s="547"/>
      <c r="AO178" s="545"/>
      <c r="AP178" s="546"/>
      <c r="AQ178" s="546"/>
      <c r="AR178" s="547"/>
      <c r="AS178" s="545"/>
      <c r="AT178" s="546"/>
      <c r="AU178" s="546"/>
      <c r="AV178" s="547"/>
      <c r="AW178" s="545"/>
      <c r="AX178" s="546"/>
      <c r="AY178" s="546"/>
      <c r="AZ178" s="547"/>
      <c r="BG178" s="93"/>
      <c r="BH178" s="93"/>
      <c r="BI178" s="93"/>
      <c r="BJ178" s="176">
        <v>119</v>
      </c>
      <c r="BK178" s="164">
        <v>0</v>
      </c>
      <c r="BL178" s="165">
        <v>134.04</v>
      </c>
      <c r="BM178" s="165">
        <v>194.85</v>
      </c>
      <c r="BN178" s="165">
        <v>273.89</v>
      </c>
      <c r="BO178" s="165">
        <v>276.60000000000002</v>
      </c>
      <c r="BP178" s="165">
        <v>292.39</v>
      </c>
      <c r="BQ178" s="165">
        <v>244.48</v>
      </c>
      <c r="BR178" s="165">
        <v>295.85000000000002</v>
      </c>
      <c r="BS178" s="165">
        <v>445.61</v>
      </c>
      <c r="BT178" s="165">
        <v>631.53</v>
      </c>
      <c r="BU178" s="165">
        <v>668.15</v>
      </c>
      <c r="BV178" s="165">
        <v>292.39</v>
      </c>
      <c r="BW178" s="165">
        <v>244.48</v>
      </c>
      <c r="BX178" s="165">
        <v>295.85000000000002</v>
      </c>
      <c r="BY178" s="165">
        <v>445.61</v>
      </c>
      <c r="BZ178" s="165">
        <v>631.53</v>
      </c>
      <c r="CA178" s="165">
        <v>668.15</v>
      </c>
      <c r="CB178" s="176"/>
      <c r="CC178" s="126"/>
      <c r="CD178" s="126"/>
      <c r="CE178" s="143"/>
    </row>
    <row r="179" spans="1:83">
      <c r="A179" s="107"/>
      <c r="B179" s="107"/>
      <c r="C179" s="107"/>
      <c r="D179" s="107"/>
      <c r="E179" s="548"/>
      <c r="F179" s="549"/>
      <c r="G179" s="549"/>
      <c r="H179" s="550"/>
      <c r="I179" s="540"/>
      <c r="J179" s="541"/>
      <c r="K179" s="541"/>
      <c r="L179" s="542"/>
      <c r="M179" s="540"/>
      <c r="N179" s="541"/>
      <c r="O179" s="541"/>
      <c r="P179" s="542"/>
      <c r="Q179" s="540"/>
      <c r="R179" s="541"/>
      <c r="S179" s="541"/>
      <c r="T179" s="542"/>
      <c r="U179" s="540"/>
      <c r="V179" s="541"/>
      <c r="W179" s="541"/>
      <c r="X179" s="542"/>
      <c r="Y179" s="540"/>
      <c r="Z179" s="541"/>
      <c r="AA179" s="541"/>
      <c r="AB179" s="542"/>
      <c r="AC179" s="540"/>
      <c r="AD179" s="541"/>
      <c r="AE179" s="541"/>
      <c r="AF179" s="542"/>
      <c r="AG179" s="540"/>
      <c r="AH179" s="541"/>
      <c r="AI179" s="541"/>
      <c r="AJ179" s="542"/>
      <c r="AK179" s="540"/>
      <c r="AL179" s="541"/>
      <c r="AM179" s="541"/>
      <c r="AN179" s="542"/>
      <c r="AO179" s="540"/>
      <c r="AP179" s="541"/>
      <c r="AQ179" s="541"/>
      <c r="AR179" s="542"/>
      <c r="AS179" s="540"/>
      <c r="AT179" s="541"/>
      <c r="AU179" s="541"/>
      <c r="AV179" s="542"/>
      <c r="AW179" s="540"/>
      <c r="AX179" s="541"/>
      <c r="AY179" s="541"/>
      <c r="AZ179" s="542"/>
      <c r="BG179" s="93"/>
      <c r="BH179" s="93"/>
      <c r="BI179" s="93"/>
      <c r="BJ179" s="176">
        <v>120</v>
      </c>
      <c r="BK179" s="164">
        <v>0</v>
      </c>
      <c r="BL179" s="165">
        <v>135.19999999999999</v>
      </c>
      <c r="BM179" s="165">
        <v>196.61</v>
      </c>
      <c r="BN179" s="165">
        <v>276.33999999999997</v>
      </c>
      <c r="BO179" s="165">
        <v>279.04000000000002</v>
      </c>
      <c r="BP179" s="165">
        <v>295.02</v>
      </c>
      <c r="BQ179" s="165">
        <v>246.65</v>
      </c>
      <c r="BR179" s="165">
        <v>298.51</v>
      </c>
      <c r="BS179" s="165">
        <v>449.74</v>
      </c>
      <c r="BT179" s="165">
        <v>637.44000000000005</v>
      </c>
      <c r="BU179" s="165">
        <v>674.35</v>
      </c>
      <c r="BV179" s="165">
        <v>295.02</v>
      </c>
      <c r="BW179" s="165">
        <v>246.65</v>
      </c>
      <c r="BX179" s="165">
        <v>298.51</v>
      </c>
      <c r="BY179" s="165">
        <v>449.74</v>
      </c>
      <c r="BZ179" s="165">
        <v>637.44000000000005</v>
      </c>
      <c r="CA179" s="165">
        <v>674.35</v>
      </c>
      <c r="CB179" s="176"/>
      <c r="CC179" s="126"/>
      <c r="CD179" s="126"/>
      <c r="CE179" s="143"/>
    </row>
    <row r="180" spans="1:83">
      <c r="A180" s="107"/>
      <c r="B180" s="107"/>
      <c r="C180" s="107"/>
      <c r="D180" s="107"/>
      <c r="E180" s="551"/>
      <c r="F180" s="552"/>
      <c r="G180" s="552"/>
      <c r="H180" s="553"/>
      <c r="I180" s="545"/>
      <c r="J180" s="546"/>
      <c r="K180" s="546"/>
      <c r="L180" s="547"/>
      <c r="M180" s="545"/>
      <c r="N180" s="546"/>
      <c r="O180" s="546"/>
      <c r="P180" s="547"/>
      <c r="Q180" s="545"/>
      <c r="R180" s="546"/>
      <c r="S180" s="546"/>
      <c r="T180" s="547"/>
      <c r="U180" s="545"/>
      <c r="V180" s="546"/>
      <c r="W180" s="546"/>
      <c r="X180" s="547"/>
      <c r="Y180" s="545"/>
      <c r="Z180" s="546"/>
      <c r="AA180" s="546"/>
      <c r="AB180" s="547"/>
      <c r="AC180" s="545"/>
      <c r="AD180" s="546"/>
      <c r="AE180" s="546"/>
      <c r="AF180" s="547"/>
      <c r="AG180" s="545"/>
      <c r="AH180" s="546"/>
      <c r="AI180" s="546"/>
      <c r="AJ180" s="547"/>
      <c r="AK180" s="545"/>
      <c r="AL180" s="546"/>
      <c r="AM180" s="546"/>
      <c r="AN180" s="547"/>
      <c r="AO180" s="545"/>
      <c r="AP180" s="546"/>
      <c r="AQ180" s="546"/>
      <c r="AR180" s="547"/>
      <c r="AS180" s="545"/>
      <c r="AT180" s="546"/>
      <c r="AU180" s="546"/>
      <c r="AV180" s="547"/>
      <c r="AW180" s="545"/>
      <c r="AX180" s="546"/>
      <c r="AY180" s="546"/>
      <c r="AZ180" s="547"/>
      <c r="BG180" s="93"/>
      <c r="BH180" s="93"/>
      <c r="BI180" s="93"/>
      <c r="BJ180" s="176">
        <v>121</v>
      </c>
      <c r="BK180" s="164">
        <v>0</v>
      </c>
      <c r="BL180" s="165">
        <v>136.37</v>
      </c>
      <c r="BM180" s="165">
        <v>198.37</v>
      </c>
      <c r="BN180" s="165">
        <v>278.77999999999997</v>
      </c>
      <c r="BO180" s="165">
        <v>281.49</v>
      </c>
      <c r="BP180" s="165">
        <v>297.64</v>
      </c>
      <c r="BQ180" s="165">
        <v>248.83</v>
      </c>
      <c r="BR180" s="165">
        <v>301.17</v>
      </c>
      <c r="BS180" s="165">
        <v>453.88</v>
      </c>
      <c r="BT180" s="165">
        <v>643.35</v>
      </c>
      <c r="BU180" s="165">
        <v>680.56</v>
      </c>
      <c r="BV180" s="165">
        <v>297.64</v>
      </c>
      <c r="BW180" s="165">
        <v>248.83</v>
      </c>
      <c r="BX180" s="165">
        <v>301.17</v>
      </c>
      <c r="BY180" s="165">
        <v>453.88</v>
      </c>
      <c r="BZ180" s="165">
        <v>643.35</v>
      </c>
      <c r="CA180" s="165">
        <v>680.56</v>
      </c>
      <c r="CB180" s="176"/>
      <c r="CC180" s="126"/>
      <c r="CD180" s="126"/>
      <c r="CE180" s="143"/>
    </row>
    <row r="181" spans="1:83">
      <c r="A181" s="107"/>
      <c r="B181" s="107"/>
      <c r="C181" s="107"/>
      <c r="D181" s="107"/>
      <c r="E181" s="548"/>
      <c r="F181" s="549"/>
      <c r="G181" s="549"/>
      <c r="H181" s="550"/>
      <c r="I181" s="540"/>
      <c r="J181" s="541"/>
      <c r="K181" s="541"/>
      <c r="L181" s="542"/>
      <c r="M181" s="540"/>
      <c r="N181" s="541"/>
      <c r="O181" s="541"/>
      <c r="P181" s="542"/>
      <c r="Q181" s="540"/>
      <c r="R181" s="541"/>
      <c r="S181" s="541"/>
      <c r="T181" s="542"/>
      <c r="U181" s="540"/>
      <c r="V181" s="541"/>
      <c r="W181" s="541"/>
      <c r="X181" s="542"/>
      <c r="Y181" s="540"/>
      <c r="Z181" s="541"/>
      <c r="AA181" s="541"/>
      <c r="AB181" s="542"/>
      <c r="AC181" s="540"/>
      <c r="AD181" s="541"/>
      <c r="AE181" s="541"/>
      <c r="AF181" s="542"/>
      <c r="AG181" s="540"/>
      <c r="AH181" s="541"/>
      <c r="AI181" s="541"/>
      <c r="AJ181" s="542"/>
      <c r="AK181" s="540"/>
      <c r="AL181" s="541"/>
      <c r="AM181" s="541"/>
      <c r="AN181" s="542"/>
      <c r="AO181" s="540"/>
      <c r="AP181" s="541"/>
      <c r="AQ181" s="541"/>
      <c r="AR181" s="542"/>
      <c r="AS181" s="540"/>
      <c r="AT181" s="541"/>
      <c r="AU181" s="541"/>
      <c r="AV181" s="542"/>
      <c r="AW181" s="540"/>
      <c r="AX181" s="541"/>
      <c r="AY181" s="541"/>
      <c r="AZ181" s="542"/>
      <c r="BG181" s="93"/>
      <c r="BH181" s="93"/>
      <c r="BI181" s="93"/>
      <c r="BJ181" s="176">
        <v>122</v>
      </c>
      <c r="BK181" s="164">
        <v>0</v>
      </c>
      <c r="BL181" s="165">
        <v>137.54</v>
      </c>
      <c r="BM181" s="165">
        <v>200.13</v>
      </c>
      <c r="BN181" s="165">
        <v>281.22000000000003</v>
      </c>
      <c r="BO181" s="165">
        <v>283.93</v>
      </c>
      <c r="BP181" s="165">
        <v>300.26</v>
      </c>
      <c r="BQ181" s="165">
        <v>251.01</v>
      </c>
      <c r="BR181" s="165">
        <v>303.83</v>
      </c>
      <c r="BS181" s="165">
        <v>458.01</v>
      </c>
      <c r="BT181" s="165">
        <v>649.26</v>
      </c>
      <c r="BU181" s="165">
        <v>686.77</v>
      </c>
      <c r="BV181" s="165">
        <v>300.26</v>
      </c>
      <c r="BW181" s="165">
        <v>251.01</v>
      </c>
      <c r="BX181" s="165">
        <v>303.83</v>
      </c>
      <c r="BY181" s="165">
        <v>458.01</v>
      </c>
      <c r="BZ181" s="165">
        <v>649.26</v>
      </c>
      <c r="CA181" s="165">
        <v>686.77</v>
      </c>
      <c r="CB181" s="176"/>
      <c r="CC181" s="126"/>
      <c r="CD181" s="126"/>
      <c r="CE181" s="143"/>
    </row>
    <row r="182" spans="1:83">
      <c r="A182" s="107"/>
      <c r="B182" s="107"/>
      <c r="C182" s="107"/>
      <c r="D182" s="107"/>
      <c r="E182" s="551"/>
      <c r="F182" s="552"/>
      <c r="G182" s="552"/>
      <c r="H182" s="553"/>
      <c r="I182" s="545"/>
      <c r="J182" s="546"/>
      <c r="K182" s="546"/>
      <c r="L182" s="547"/>
      <c r="M182" s="545"/>
      <c r="N182" s="546"/>
      <c r="O182" s="546"/>
      <c r="P182" s="547"/>
      <c r="Q182" s="545"/>
      <c r="R182" s="546"/>
      <c r="S182" s="546"/>
      <c r="T182" s="547"/>
      <c r="U182" s="545"/>
      <c r="V182" s="546"/>
      <c r="W182" s="546"/>
      <c r="X182" s="547"/>
      <c r="Y182" s="545"/>
      <c r="Z182" s="546"/>
      <c r="AA182" s="546"/>
      <c r="AB182" s="547"/>
      <c r="AC182" s="545"/>
      <c r="AD182" s="546"/>
      <c r="AE182" s="546"/>
      <c r="AF182" s="547"/>
      <c r="AG182" s="545"/>
      <c r="AH182" s="546"/>
      <c r="AI182" s="546"/>
      <c r="AJ182" s="547"/>
      <c r="AK182" s="545"/>
      <c r="AL182" s="546"/>
      <c r="AM182" s="546"/>
      <c r="AN182" s="547"/>
      <c r="AO182" s="545"/>
      <c r="AP182" s="546"/>
      <c r="AQ182" s="546"/>
      <c r="AR182" s="547"/>
      <c r="AS182" s="545"/>
      <c r="AT182" s="546"/>
      <c r="AU182" s="546"/>
      <c r="AV182" s="547"/>
      <c r="AW182" s="545"/>
      <c r="AX182" s="546"/>
      <c r="AY182" s="546"/>
      <c r="AZ182" s="547"/>
      <c r="BG182" s="93"/>
      <c r="BH182" s="93"/>
      <c r="BI182" s="93"/>
      <c r="BJ182" s="176">
        <v>123</v>
      </c>
      <c r="BK182" s="164">
        <v>0</v>
      </c>
      <c r="BL182" s="165">
        <v>138.69999999999999</v>
      </c>
      <c r="BM182" s="165">
        <v>201.89</v>
      </c>
      <c r="BN182" s="165">
        <v>283.67</v>
      </c>
      <c r="BO182" s="165">
        <v>286.37</v>
      </c>
      <c r="BP182" s="165">
        <v>302.88</v>
      </c>
      <c r="BQ182" s="165">
        <v>253.18</v>
      </c>
      <c r="BR182" s="165">
        <v>306.49</v>
      </c>
      <c r="BS182" s="165">
        <v>462.15</v>
      </c>
      <c r="BT182" s="165">
        <v>655.16999999999996</v>
      </c>
      <c r="BU182" s="165">
        <v>692.97</v>
      </c>
      <c r="BV182" s="165">
        <v>302.88</v>
      </c>
      <c r="BW182" s="165">
        <v>253.18</v>
      </c>
      <c r="BX182" s="165">
        <v>306.49</v>
      </c>
      <c r="BY182" s="165">
        <v>462.15</v>
      </c>
      <c r="BZ182" s="165">
        <v>655.16999999999996</v>
      </c>
      <c r="CA182" s="165">
        <v>692.97</v>
      </c>
      <c r="CB182" s="176"/>
      <c r="CC182" s="126"/>
      <c r="CD182" s="126"/>
      <c r="CE182" s="143"/>
    </row>
    <row r="183" spans="1:83">
      <c r="A183" s="107"/>
      <c r="B183" s="107"/>
      <c r="C183" s="107"/>
      <c r="D183" s="107"/>
      <c r="E183" s="548"/>
      <c r="F183" s="549"/>
      <c r="G183" s="549"/>
      <c r="H183" s="550"/>
      <c r="I183" s="540"/>
      <c r="J183" s="541"/>
      <c r="K183" s="541"/>
      <c r="L183" s="542"/>
      <c r="M183" s="540"/>
      <c r="N183" s="541"/>
      <c r="O183" s="541"/>
      <c r="P183" s="542"/>
      <c r="Q183" s="540"/>
      <c r="R183" s="541"/>
      <c r="S183" s="541"/>
      <c r="T183" s="542"/>
      <c r="U183" s="540"/>
      <c r="V183" s="541"/>
      <c r="W183" s="541"/>
      <c r="X183" s="542"/>
      <c r="Y183" s="540"/>
      <c r="Z183" s="541"/>
      <c r="AA183" s="541"/>
      <c r="AB183" s="542"/>
      <c r="AC183" s="540"/>
      <c r="AD183" s="541"/>
      <c r="AE183" s="541"/>
      <c r="AF183" s="542"/>
      <c r="AG183" s="540"/>
      <c r="AH183" s="541"/>
      <c r="AI183" s="541"/>
      <c r="AJ183" s="542"/>
      <c r="AK183" s="540"/>
      <c r="AL183" s="541"/>
      <c r="AM183" s="541"/>
      <c r="AN183" s="542"/>
      <c r="AO183" s="540"/>
      <c r="AP183" s="541"/>
      <c r="AQ183" s="541"/>
      <c r="AR183" s="542"/>
      <c r="AS183" s="540"/>
      <c r="AT183" s="541"/>
      <c r="AU183" s="541"/>
      <c r="AV183" s="542"/>
      <c r="AW183" s="540"/>
      <c r="AX183" s="541"/>
      <c r="AY183" s="541"/>
      <c r="AZ183" s="542"/>
      <c r="BG183" s="93"/>
      <c r="BH183" s="93"/>
      <c r="BI183" s="93"/>
      <c r="BJ183" s="176">
        <v>124</v>
      </c>
      <c r="BK183" s="164">
        <v>0</v>
      </c>
      <c r="BL183" s="165">
        <v>139.87</v>
      </c>
      <c r="BM183" s="165">
        <v>203.65</v>
      </c>
      <c r="BN183" s="165">
        <v>286.11</v>
      </c>
      <c r="BO183" s="165">
        <v>288.82</v>
      </c>
      <c r="BP183" s="165">
        <v>305.51</v>
      </c>
      <c r="BQ183" s="165">
        <v>255.36</v>
      </c>
      <c r="BR183" s="165">
        <v>309.14999999999998</v>
      </c>
      <c r="BS183" s="165">
        <v>466.28</v>
      </c>
      <c r="BT183" s="165">
        <v>661.08</v>
      </c>
      <c r="BU183" s="165">
        <v>699.18</v>
      </c>
      <c r="BV183" s="165">
        <v>305.51</v>
      </c>
      <c r="BW183" s="165">
        <v>255.36</v>
      </c>
      <c r="BX183" s="165">
        <v>309.14999999999998</v>
      </c>
      <c r="BY183" s="165">
        <v>466.28</v>
      </c>
      <c r="BZ183" s="165">
        <v>661.08</v>
      </c>
      <c r="CA183" s="165">
        <v>699.18</v>
      </c>
      <c r="CB183" s="176"/>
      <c r="CC183" s="126"/>
      <c r="CD183" s="126"/>
      <c r="CE183" s="143"/>
    </row>
    <row r="184" spans="1:83">
      <c r="A184" s="107"/>
      <c r="B184" s="107"/>
      <c r="C184" s="107"/>
      <c r="D184" s="107"/>
      <c r="E184" s="551"/>
      <c r="F184" s="552"/>
      <c r="G184" s="552"/>
      <c r="H184" s="553"/>
      <c r="I184" s="545"/>
      <c r="J184" s="546"/>
      <c r="K184" s="546"/>
      <c r="L184" s="547"/>
      <c r="M184" s="545"/>
      <c r="N184" s="546"/>
      <c r="O184" s="546"/>
      <c r="P184" s="547"/>
      <c r="Q184" s="545"/>
      <c r="R184" s="546"/>
      <c r="S184" s="546"/>
      <c r="T184" s="547"/>
      <c r="U184" s="545"/>
      <c r="V184" s="546"/>
      <c r="W184" s="546"/>
      <c r="X184" s="547"/>
      <c r="Y184" s="545"/>
      <c r="Z184" s="546"/>
      <c r="AA184" s="546"/>
      <c r="AB184" s="547"/>
      <c r="AC184" s="545"/>
      <c r="AD184" s="546"/>
      <c r="AE184" s="546"/>
      <c r="AF184" s="547"/>
      <c r="AG184" s="545"/>
      <c r="AH184" s="546"/>
      <c r="AI184" s="546"/>
      <c r="AJ184" s="547"/>
      <c r="AK184" s="545"/>
      <c r="AL184" s="546"/>
      <c r="AM184" s="546"/>
      <c r="AN184" s="547"/>
      <c r="AO184" s="545"/>
      <c r="AP184" s="546"/>
      <c r="AQ184" s="546"/>
      <c r="AR184" s="547"/>
      <c r="AS184" s="545"/>
      <c r="AT184" s="546"/>
      <c r="AU184" s="546"/>
      <c r="AV184" s="547"/>
      <c r="AW184" s="545"/>
      <c r="AX184" s="546"/>
      <c r="AY184" s="546"/>
      <c r="AZ184" s="547"/>
      <c r="BG184" s="93"/>
      <c r="BH184" s="93"/>
      <c r="BI184" s="93"/>
      <c r="BJ184" s="176">
        <v>125</v>
      </c>
      <c r="BK184" s="164">
        <v>0</v>
      </c>
      <c r="BL184" s="165">
        <v>141.04</v>
      </c>
      <c r="BM184" s="165">
        <v>205.41</v>
      </c>
      <c r="BN184" s="165">
        <v>288.55</v>
      </c>
      <c r="BO184" s="165">
        <v>291.26</v>
      </c>
      <c r="BP184" s="165">
        <v>308.13</v>
      </c>
      <c r="BQ184" s="165">
        <v>257.54000000000002</v>
      </c>
      <c r="BR184" s="165">
        <v>311.81</v>
      </c>
      <c r="BS184" s="165">
        <v>470.42</v>
      </c>
      <c r="BT184" s="165">
        <v>666.98</v>
      </c>
      <c r="BU184" s="165">
        <v>705.39</v>
      </c>
      <c r="BV184" s="165">
        <v>308.13</v>
      </c>
      <c r="BW184" s="165">
        <v>257.54000000000002</v>
      </c>
      <c r="BX184" s="165">
        <v>311.81</v>
      </c>
      <c r="BY184" s="165">
        <v>470.42</v>
      </c>
      <c r="BZ184" s="165">
        <v>666.98</v>
      </c>
      <c r="CA184" s="165">
        <v>705.39</v>
      </c>
      <c r="CB184" s="176"/>
      <c r="CC184" s="126"/>
      <c r="CD184" s="126"/>
      <c r="CE184" s="143"/>
    </row>
    <row r="185" spans="1:83">
      <c r="A185" s="107"/>
      <c r="B185" s="107"/>
      <c r="C185" s="107"/>
      <c r="D185" s="107"/>
      <c r="E185" s="548"/>
      <c r="F185" s="549"/>
      <c r="G185" s="549"/>
      <c r="H185" s="550"/>
      <c r="I185" s="540"/>
      <c r="J185" s="541"/>
      <c r="K185" s="541"/>
      <c r="L185" s="542"/>
      <c r="M185" s="540"/>
      <c r="N185" s="541"/>
      <c r="O185" s="541"/>
      <c r="P185" s="542"/>
      <c r="Q185" s="540"/>
      <c r="R185" s="541"/>
      <c r="S185" s="541"/>
      <c r="T185" s="542"/>
      <c r="U185" s="540"/>
      <c r="V185" s="541"/>
      <c r="W185" s="541"/>
      <c r="X185" s="542"/>
      <c r="Y185" s="540"/>
      <c r="Z185" s="541"/>
      <c r="AA185" s="541"/>
      <c r="AB185" s="542"/>
      <c r="AC185" s="540"/>
      <c r="AD185" s="541"/>
      <c r="AE185" s="541"/>
      <c r="AF185" s="542"/>
      <c r="AG185" s="540"/>
      <c r="AH185" s="541"/>
      <c r="AI185" s="541"/>
      <c r="AJ185" s="542"/>
      <c r="AK185" s="540"/>
      <c r="AL185" s="541"/>
      <c r="AM185" s="541"/>
      <c r="AN185" s="542"/>
      <c r="AO185" s="540"/>
      <c r="AP185" s="541"/>
      <c r="AQ185" s="541"/>
      <c r="AR185" s="542"/>
      <c r="AS185" s="540"/>
      <c r="AT185" s="541"/>
      <c r="AU185" s="541"/>
      <c r="AV185" s="542"/>
      <c r="AW185" s="540"/>
      <c r="AX185" s="541"/>
      <c r="AY185" s="541"/>
      <c r="AZ185" s="542"/>
      <c r="BG185" s="93"/>
      <c r="BH185" s="93"/>
      <c r="BI185" s="93"/>
      <c r="BJ185" s="176">
        <v>126</v>
      </c>
      <c r="BK185" s="164">
        <v>0</v>
      </c>
      <c r="BL185" s="165">
        <v>142.19999999999999</v>
      </c>
      <c r="BM185" s="165">
        <v>207.17</v>
      </c>
      <c r="BN185" s="165">
        <v>291</v>
      </c>
      <c r="BO185" s="165">
        <v>293.7</v>
      </c>
      <c r="BP185" s="165">
        <v>310.75</v>
      </c>
      <c r="BQ185" s="165">
        <v>259.70999999999998</v>
      </c>
      <c r="BR185" s="165">
        <v>314.45999999999998</v>
      </c>
      <c r="BS185" s="165">
        <v>474.55</v>
      </c>
      <c r="BT185" s="165">
        <v>672.89</v>
      </c>
      <c r="BU185" s="165">
        <v>711.59</v>
      </c>
      <c r="BV185" s="165">
        <v>310.75</v>
      </c>
      <c r="BW185" s="165">
        <v>259.70999999999998</v>
      </c>
      <c r="BX185" s="165">
        <v>314.45999999999998</v>
      </c>
      <c r="BY185" s="165">
        <v>474.55</v>
      </c>
      <c r="BZ185" s="165">
        <v>672.89</v>
      </c>
      <c r="CA185" s="165">
        <v>711.59</v>
      </c>
      <c r="CB185" s="176"/>
      <c r="CC185" s="126"/>
      <c r="CD185" s="126"/>
      <c r="CE185" s="143"/>
    </row>
    <row r="186" spans="1:83">
      <c r="A186" s="107"/>
      <c r="B186" s="107"/>
      <c r="C186" s="107"/>
      <c r="D186" s="107"/>
      <c r="E186" s="551"/>
      <c r="F186" s="552"/>
      <c r="G186" s="552"/>
      <c r="H186" s="553"/>
      <c r="I186" s="545"/>
      <c r="J186" s="546"/>
      <c r="K186" s="546"/>
      <c r="L186" s="547"/>
      <c r="M186" s="545"/>
      <c r="N186" s="546"/>
      <c r="O186" s="546"/>
      <c r="P186" s="547"/>
      <c r="Q186" s="545"/>
      <c r="R186" s="546"/>
      <c r="S186" s="546"/>
      <c r="T186" s="547"/>
      <c r="U186" s="545"/>
      <c r="V186" s="546"/>
      <c r="W186" s="546"/>
      <c r="X186" s="547"/>
      <c r="Y186" s="545"/>
      <c r="Z186" s="546"/>
      <c r="AA186" s="546"/>
      <c r="AB186" s="547"/>
      <c r="AC186" s="545"/>
      <c r="AD186" s="546"/>
      <c r="AE186" s="546"/>
      <c r="AF186" s="547"/>
      <c r="AG186" s="545"/>
      <c r="AH186" s="546"/>
      <c r="AI186" s="546"/>
      <c r="AJ186" s="547"/>
      <c r="AK186" s="545"/>
      <c r="AL186" s="546"/>
      <c r="AM186" s="546"/>
      <c r="AN186" s="547"/>
      <c r="AO186" s="545"/>
      <c r="AP186" s="546"/>
      <c r="AQ186" s="546"/>
      <c r="AR186" s="547"/>
      <c r="AS186" s="545"/>
      <c r="AT186" s="546"/>
      <c r="AU186" s="546"/>
      <c r="AV186" s="547"/>
      <c r="AW186" s="545"/>
      <c r="AX186" s="546"/>
      <c r="AY186" s="546"/>
      <c r="AZ186" s="547"/>
      <c r="BG186" s="93"/>
      <c r="BH186" s="93"/>
      <c r="BI186" s="93"/>
      <c r="BJ186" s="176">
        <v>127</v>
      </c>
      <c r="BK186" s="164">
        <v>0</v>
      </c>
      <c r="BL186" s="165">
        <v>143.37</v>
      </c>
      <c r="BM186" s="165">
        <v>208.93</v>
      </c>
      <c r="BN186" s="165">
        <v>293.44</v>
      </c>
      <c r="BO186" s="165">
        <v>296.14999999999998</v>
      </c>
      <c r="BP186" s="165">
        <v>313.38</v>
      </c>
      <c r="BQ186" s="165">
        <v>261.89</v>
      </c>
      <c r="BR186" s="165">
        <v>317.12</v>
      </c>
      <c r="BS186" s="165">
        <v>478.69</v>
      </c>
      <c r="BT186" s="165">
        <v>678.8</v>
      </c>
      <c r="BU186" s="165">
        <v>717.8</v>
      </c>
      <c r="BV186" s="165">
        <v>313.38</v>
      </c>
      <c r="BW186" s="165">
        <v>261.89</v>
      </c>
      <c r="BX186" s="165">
        <v>317.12</v>
      </c>
      <c r="BY186" s="165">
        <v>478.69</v>
      </c>
      <c r="BZ186" s="165">
        <v>678.8</v>
      </c>
      <c r="CA186" s="165">
        <v>717.8</v>
      </c>
      <c r="CB186" s="176"/>
      <c r="CC186" s="126"/>
      <c r="CD186" s="126"/>
      <c r="CE186" s="143"/>
    </row>
    <row r="187" spans="1:83">
      <c r="A187" s="107"/>
      <c r="B187" s="107"/>
      <c r="C187" s="107"/>
      <c r="D187" s="107"/>
      <c r="E187" s="548"/>
      <c r="F187" s="549"/>
      <c r="G187" s="549"/>
      <c r="H187" s="550"/>
      <c r="I187" s="540"/>
      <c r="J187" s="541"/>
      <c r="K187" s="541"/>
      <c r="L187" s="542"/>
      <c r="M187" s="540"/>
      <c r="N187" s="541"/>
      <c r="O187" s="541"/>
      <c r="P187" s="542"/>
      <c r="Q187" s="540"/>
      <c r="R187" s="541"/>
      <c r="S187" s="541"/>
      <c r="T187" s="542"/>
      <c r="U187" s="540"/>
      <c r="V187" s="541"/>
      <c r="W187" s="541"/>
      <c r="X187" s="542"/>
      <c r="Y187" s="540"/>
      <c r="Z187" s="541"/>
      <c r="AA187" s="541"/>
      <c r="AB187" s="542"/>
      <c r="AC187" s="540"/>
      <c r="AD187" s="541"/>
      <c r="AE187" s="541"/>
      <c r="AF187" s="542"/>
      <c r="AG187" s="540"/>
      <c r="AH187" s="541"/>
      <c r="AI187" s="541"/>
      <c r="AJ187" s="542"/>
      <c r="AK187" s="540"/>
      <c r="AL187" s="541"/>
      <c r="AM187" s="541"/>
      <c r="AN187" s="542"/>
      <c r="AO187" s="540"/>
      <c r="AP187" s="541"/>
      <c r="AQ187" s="541"/>
      <c r="AR187" s="542"/>
      <c r="AS187" s="540"/>
      <c r="AT187" s="541"/>
      <c r="AU187" s="541"/>
      <c r="AV187" s="542"/>
      <c r="AW187" s="540"/>
      <c r="AX187" s="541"/>
      <c r="AY187" s="541"/>
      <c r="AZ187" s="542"/>
      <c r="BG187" s="93"/>
      <c r="BH187" s="93"/>
      <c r="BI187" s="93"/>
      <c r="BJ187" s="176">
        <v>128</v>
      </c>
      <c r="BK187" s="164">
        <v>0</v>
      </c>
      <c r="BL187" s="165">
        <v>144.54</v>
      </c>
      <c r="BM187" s="165">
        <v>210.69</v>
      </c>
      <c r="BN187" s="165">
        <v>295.88</v>
      </c>
      <c r="BO187" s="165">
        <v>298.58999999999997</v>
      </c>
      <c r="BP187" s="165">
        <v>316</v>
      </c>
      <c r="BQ187" s="165">
        <v>264.07</v>
      </c>
      <c r="BR187" s="165">
        <v>319.77999999999997</v>
      </c>
      <c r="BS187" s="165">
        <v>482.82</v>
      </c>
      <c r="BT187" s="165">
        <v>684.71</v>
      </c>
      <c r="BU187" s="165">
        <v>724.01</v>
      </c>
      <c r="BV187" s="165">
        <v>316</v>
      </c>
      <c r="BW187" s="165">
        <v>264.07</v>
      </c>
      <c r="BX187" s="165">
        <v>319.77999999999997</v>
      </c>
      <c r="BY187" s="165">
        <v>482.82</v>
      </c>
      <c r="BZ187" s="165">
        <v>684.71</v>
      </c>
      <c r="CA187" s="165">
        <v>724.01</v>
      </c>
      <c r="CB187" s="176"/>
      <c r="CC187" s="126"/>
      <c r="CD187" s="126"/>
      <c r="CE187" s="143"/>
    </row>
    <row r="188" spans="1:83">
      <c r="A188" s="107"/>
      <c r="B188" s="107"/>
      <c r="C188" s="107"/>
      <c r="D188" s="107"/>
      <c r="E188" s="551"/>
      <c r="F188" s="552"/>
      <c r="G188" s="552"/>
      <c r="H188" s="553"/>
      <c r="I188" s="545"/>
      <c r="J188" s="546"/>
      <c r="K188" s="546"/>
      <c r="L188" s="547"/>
      <c r="M188" s="545"/>
      <c r="N188" s="546"/>
      <c r="O188" s="546"/>
      <c r="P188" s="547"/>
      <c r="Q188" s="545"/>
      <c r="R188" s="546"/>
      <c r="S188" s="546"/>
      <c r="T188" s="547"/>
      <c r="U188" s="545"/>
      <c r="V188" s="546"/>
      <c r="W188" s="546"/>
      <c r="X188" s="547"/>
      <c r="Y188" s="545"/>
      <c r="Z188" s="546"/>
      <c r="AA188" s="546"/>
      <c r="AB188" s="547"/>
      <c r="AC188" s="545"/>
      <c r="AD188" s="546"/>
      <c r="AE188" s="546"/>
      <c r="AF188" s="547"/>
      <c r="AG188" s="545"/>
      <c r="AH188" s="546"/>
      <c r="AI188" s="546"/>
      <c r="AJ188" s="547"/>
      <c r="AK188" s="545"/>
      <c r="AL188" s="546"/>
      <c r="AM188" s="546"/>
      <c r="AN188" s="547"/>
      <c r="AO188" s="545"/>
      <c r="AP188" s="546"/>
      <c r="AQ188" s="546"/>
      <c r="AR188" s="547"/>
      <c r="AS188" s="545"/>
      <c r="AT188" s="546"/>
      <c r="AU188" s="546"/>
      <c r="AV188" s="547"/>
      <c r="AW188" s="545"/>
      <c r="AX188" s="546"/>
      <c r="AY188" s="546"/>
      <c r="AZ188" s="547"/>
      <c r="BG188" s="93"/>
      <c r="BH188" s="93"/>
      <c r="BI188" s="93"/>
      <c r="BJ188" s="176">
        <v>129</v>
      </c>
      <c r="BK188" s="164">
        <v>0</v>
      </c>
      <c r="BL188" s="165">
        <v>145.69999999999999</v>
      </c>
      <c r="BM188" s="165">
        <v>212.45</v>
      </c>
      <c r="BN188" s="165">
        <v>298.32</v>
      </c>
      <c r="BO188" s="165">
        <v>301.02999999999997</v>
      </c>
      <c r="BP188" s="165">
        <v>318.62</v>
      </c>
      <c r="BQ188" s="165">
        <v>266.24</v>
      </c>
      <c r="BR188" s="165">
        <v>322.44</v>
      </c>
      <c r="BS188" s="165">
        <v>486.96</v>
      </c>
      <c r="BT188" s="165">
        <v>690.62</v>
      </c>
      <c r="BU188" s="165">
        <v>730.21</v>
      </c>
      <c r="BV188" s="165">
        <v>318.62</v>
      </c>
      <c r="BW188" s="165">
        <v>266.24</v>
      </c>
      <c r="BX188" s="165">
        <v>322.44</v>
      </c>
      <c r="BY188" s="165">
        <v>486.96</v>
      </c>
      <c r="BZ188" s="165">
        <v>690.62</v>
      </c>
      <c r="CA188" s="165">
        <v>730.21</v>
      </c>
      <c r="CB188" s="176"/>
      <c r="CC188" s="126"/>
      <c r="CD188" s="126"/>
      <c r="CE188" s="143"/>
    </row>
    <row r="189" spans="1:83">
      <c r="A189" s="107"/>
      <c r="B189" s="107"/>
      <c r="C189" s="107"/>
      <c r="D189" s="107"/>
      <c r="E189" s="548"/>
      <c r="F189" s="549"/>
      <c r="G189" s="549"/>
      <c r="H189" s="550"/>
      <c r="I189" s="540"/>
      <c r="J189" s="541"/>
      <c r="K189" s="541"/>
      <c r="L189" s="542"/>
      <c r="M189" s="540"/>
      <c r="N189" s="541"/>
      <c r="O189" s="541"/>
      <c r="P189" s="542"/>
      <c r="Q189" s="540"/>
      <c r="R189" s="541"/>
      <c r="S189" s="541"/>
      <c r="T189" s="542"/>
      <c r="U189" s="540"/>
      <c r="V189" s="541"/>
      <c r="W189" s="541"/>
      <c r="X189" s="542"/>
      <c r="Y189" s="540"/>
      <c r="Z189" s="541"/>
      <c r="AA189" s="541"/>
      <c r="AB189" s="542"/>
      <c r="AC189" s="540"/>
      <c r="AD189" s="541"/>
      <c r="AE189" s="541"/>
      <c r="AF189" s="542"/>
      <c r="AG189" s="540"/>
      <c r="AH189" s="541"/>
      <c r="AI189" s="541"/>
      <c r="AJ189" s="542"/>
      <c r="AK189" s="540"/>
      <c r="AL189" s="541"/>
      <c r="AM189" s="541"/>
      <c r="AN189" s="542"/>
      <c r="AO189" s="540"/>
      <c r="AP189" s="541"/>
      <c r="AQ189" s="541"/>
      <c r="AR189" s="542"/>
      <c r="AS189" s="540"/>
      <c r="AT189" s="541"/>
      <c r="AU189" s="541"/>
      <c r="AV189" s="542"/>
      <c r="AW189" s="540"/>
      <c r="AX189" s="541"/>
      <c r="AY189" s="541"/>
      <c r="AZ189" s="542"/>
      <c r="BG189" s="93"/>
      <c r="BH189" s="93"/>
      <c r="BI189" s="93"/>
      <c r="BJ189" s="176">
        <v>130</v>
      </c>
      <c r="BK189" s="164">
        <v>0</v>
      </c>
      <c r="BL189" s="165">
        <v>146.87</v>
      </c>
      <c r="BM189" s="165">
        <v>214.2</v>
      </c>
      <c r="BN189" s="165">
        <v>300.77</v>
      </c>
      <c r="BO189" s="165">
        <v>303.48</v>
      </c>
      <c r="BP189" s="165">
        <v>321.25</v>
      </c>
      <c r="BQ189" s="165">
        <v>268.42</v>
      </c>
      <c r="BR189" s="165">
        <v>325.10000000000002</v>
      </c>
      <c r="BS189" s="165">
        <v>491.09</v>
      </c>
      <c r="BT189" s="165">
        <v>696.53</v>
      </c>
      <c r="BU189" s="165">
        <v>736.42</v>
      </c>
      <c r="BV189" s="165">
        <v>321.25</v>
      </c>
      <c r="BW189" s="165">
        <v>268.42</v>
      </c>
      <c r="BX189" s="165">
        <v>325.10000000000002</v>
      </c>
      <c r="BY189" s="165">
        <v>491.09</v>
      </c>
      <c r="BZ189" s="165">
        <v>696.53</v>
      </c>
      <c r="CA189" s="165">
        <v>736.42</v>
      </c>
      <c r="CB189" s="176"/>
      <c r="CC189" s="126"/>
      <c r="CD189" s="126"/>
      <c r="CE189" s="143"/>
    </row>
    <row r="190" spans="1:83">
      <c r="A190" s="107"/>
      <c r="B190" s="107"/>
      <c r="C190" s="107"/>
      <c r="D190" s="107"/>
      <c r="E190" s="551"/>
      <c r="F190" s="552"/>
      <c r="G190" s="552"/>
      <c r="H190" s="553"/>
      <c r="I190" s="545"/>
      <c r="J190" s="546"/>
      <c r="K190" s="546"/>
      <c r="L190" s="547"/>
      <c r="M190" s="545"/>
      <c r="N190" s="546"/>
      <c r="O190" s="546"/>
      <c r="P190" s="547"/>
      <c r="Q190" s="545"/>
      <c r="R190" s="546"/>
      <c r="S190" s="546"/>
      <c r="T190" s="547"/>
      <c r="U190" s="545"/>
      <c r="V190" s="546"/>
      <c r="W190" s="546"/>
      <c r="X190" s="547"/>
      <c r="Y190" s="545"/>
      <c r="Z190" s="546"/>
      <c r="AA190" s="546"/>
      <c r="AB190" s="547"/>
      <c r="AC190" s="545"/>
      <c r="AD190" s="546"/>
      <c r="AE190" s="546"/>
      <c r="AF190" s="547"/>
      <c r="AG190" s="545"/>
      <c r="AH190" s="546"/>
      <c r="AI190" s="546"/>
      <c r="AJ190" s="547"/>
      <c r="AK190" s="545"/>
      <c r="AL190" s="546"/>
      <c r="AM190" s="546"/>
      <c r="AN190" s="547"/>
      <c r="AO190" s="545"/>
      <c r="AP190" s="546"/>
      <c r="AQ190" s="546"/>
      <c r="AR190" s="547"/>
      <c r="AS190" s="545"/>
      <c r="AT190" s="546"/>
      <c r="AU190" s="546"/>
      <c r="AV190" s="547"/>
      <c r="AW190" s="545"/>
      <c r="AX190" s="546"/>
      <c r="AY190" s="546"/>
      <c r="AZ190" s="547"/>
      <c r="BG190" s="93"/>
      <c r="BH190" s="93"/>
      <c r="BI190" s="93"/>
      <c r="BJ190" s="176">
        <v>131</v>
      </c>
      <c r="BK190" s="164">
        <v>0</v>
      </c>
      <c r="BL190" s="165">
        <v>148.03</v>
      </c>
      <c r="BM190" s="165">
        <v>215.96</v>
      </c>
      <c r="BN190" s="165">
        <v>303.20999999999998</v>
      </c>
      <c r="BO190" s="165">
        <v>305.92</v>
      </c>
      <c r="BP190" s="165">
        <v>323.87</v>
      </c>
      <c r="BQ190" s="165">
        <v>270.60000000000002</v>
      </c>
      <c r="BR190" s="165">
        <v>327.76</v>
      </c>
      <c r="BS190" s="165">
        <v>495.23</v>
      </c>
      <c r="BT190" s="165">
        <v>702.44</v>
      </c>
      <c r="BU190" s="165">
        <v>742.62</v>
      </c>
      <c r="BV190" s="165">
        <v>323.87</v>
      </c>
      <c r="BW190" s="165">
        <v>270.60000000000002</v>
      </c>
      <c r="BX190" s="165">
        <v>327.76</v>
      </c>
      <c r="BY190" s="165">
        <v>495.23</v>
      </c>
      <c r="BZ190" s="165">
        <v>702.44</v>
      </c>
      <c r="CA190" s="165">
        <v>742.62</v>
      </c>
      <c r="CB190" s="176"/>
      <c r="CC190" s="126"/>
      <c r="CD190" s="126"/>
      <c r="CE190" s="143"/>
    </row>
    <row r="191" spans="1:83">
      <c r="A191" s="107"/>
      <c r="B191" s="107"/>
      <c r="C191" s="107"/>
      <c r="D191" s="107"/>
      <c r="E191" s="548"/>
      <c r="F191" s="549"/>
      <c r="G191" s="549"/>
      <c r="H191" s="550"/>
      <c r="I191" s="540"/>
      <c r="J191" s="541"/>
      <c r="K191" s="541"/>
      <c r="L191" s="542"/>
      <c r="M191" s="540"/>
      <c r="N191" s="541"/>
      <c r="O191" s="541"/>
      <c r="P191" s="542"/>
      <c r="Q191" s="540"/>
      <c r="R191" s="541"/>
      <c r="S191" s="541"/>
      <c r="T191" s="542"/>
      <c r="U191" s="540"/>
      <c r="V191" s="541"/>
      <c r="W191" s="541"/>
      <c r="X191" s="542"/>
      <c r="Y191" s="540"/>
      <c r="Z191" s="541"/>
      <c r="AA191" s="541"/>
      <c r="AB191" s="542"/>
      <c r="AC191" s="540"/>
      <c r="AD191" s="541"/>
      <c r="AE191" s="541"/>
      <c r="AF191" s="542"/>
      <c r="AG191" s="540"/>
      <c r="AH191" s="541"/>
      <c r="AI191" s="541"/>
      <c r="AJ191" s="542"/>
      <c r="AK191" s="540"/>
      <c r="AL191" s="541"/>
      <c r="AM191" s="541"/>
      <c r="AN191" s="542"/>
      <c r="AO191" s="540"/>
      <c r="AP191" s="541"/>
      <c r="AQ191" s="541"/>
      <c r="AR191" s="542"/>
      <c r="AS191" s="540"/>
      <c r="AT191" s="541"/>
      <c r="AU191" s="541"/>
      <c r="AV191" s="542"/>
      <c r="AW191" s="540"/>
      <c r="AX191" s="541"/>
      <c r="AY191" s="541"/>
      <c r="AZ191" s="542"/>
      <c r="BG191" s="93"/>
      <c r="BH191" s="93"/>
      <c r="BI191" s="93"/>
      <c r="BJ191" s="176">
        <v>132</v>
      </c>
      <c r="BK191" s="164">
        <v>0</v>
      </c>
      <c r="BL191" s="165">
        <v>149.19999999999999</v>
      </c>
      <c r="BM191" s="165">
        <v>217.72</v>
      </c>
      <c r="BN191" s="165">
        <v>305.64999999999998</v>
      </c>
      <c r="BO191" s="165">
        <v>308.36</v>
      </c>
      <c r="BP191" s="165">
        <v>326.49</v>
      </c>
      <c r="BQ191" s="165">
        <v>272.77</v>
      </c>
      <c r="BR191" s="165">
        <v>330.42</v>
      </c>
      <c r="BS191" s="165">
        <v>499.36</v>
      </c>
      <c r="BT191" s="165">
        <v>708.35</v>
      </c>
      <c r="BU191" s="165">
        <v>748.83</v>
      </c>
      <c r="BV191" s="165">
        <v>326.49</v>
      </c>
      <c r="BW191" s="165">
        <v>272.77</v>
      </c>
      <c r="BX191" s="165">
        <v>330.42</v>
      </c>
      <c r="BY191" s="165">
        <v>499.36</v>
      </c>
      <c r="BZ191" s="165">
        <v>708.35</v>
      </c>
      <c r="CA191" s="165">
        <v>748.83</v>
      </c>
      <c r="CB191" s="176"/>
      <c r="CC191" s="126"/>
      <c r="CD191" s="126"/>
      <c r="CE191" s="143"/>
    </row>
    <row r="192" spans="1:83">
      <c r="A192" s="107"/>
      <c r="B192" s="107"/>
      <c r="C192" s="107"/>
      <c r="D192" s="107"/>
      <c r="E192" s="551"/>
      <c r="F192" s="552"/>
      <c r="G192" s="552"/>
      <c r="H192" s="553"/>
      <c r="I192" s="545"/>
      <c r="J192" s="546"/>
      <c r="K192" s="546"/>
      <c r="L192" s="547"/>
      <c r="M192" s="545"/>
      <c r="N192" s="546"/>
      <c r="O192" s="546"/>
      <c r="P192" s="547"/>
      <c r="Q192" s="545"/>
      <c r="R192" s="546"/>
      <c r="S192" s="546"/>
      <c r="T192" s="547"/>
      <c r="U192" s="545"/>
      <c r="V192" s="546"/>
      <c r="W192" s="546"/>
      <c r="X192" s="547"/>
      <c r="Y192" s="545"/>
      <c r="Z192" s="546"/>
      <c r="AA192" s="546"/>
      <c r="AB192" s="547"/>
      <c r="AC192" s="545"/>
      <c r="AD192" s="546"/>
      <c r="AE192" s="546"/>
      <c r="AF192" s="547"/>
      <c r="AG192" s="545"/>
      <c r="AH192" s="546"/>
      <c r="AI192" s="546"/>
      <c r="AJ192" s="547"/>
      <c r="AK192" s="545"/>
      <c r="AL192" s="546"/>
      <c r="AM192" s="546"/>
      <c r="AN192" s="547"/>
      <c r="AO192" s="545"/>
      <c r="AP192" s="546"/>
      <c r="AQ192" s="546"/>
      <c r="AR192" s="547"/>
      <c r="AS192" s="545"/>
      <c r="AT192" s="546"/>
      <c r="AU192" s="546"/>
      <c r="AV192" s="547"/>
      <c r="AW192" s="545"/>
      <c r="AX192" s="546"/>
      <c r="AY192" s="546"/>
      <c r="AZ192" s="547"/>
      <c r="BG192" s="93"/>
      <c r="BH192" s="93"/>
      <c r="BI192" s="93"/>
      <c r="BJ192" s="176">
        <v>133</v>
      </c>
      <c r="BK192" s="164">
        <v>0</v>
      </c>
      <c r="BL192" s="165">
        <v>150.37</v>
      </c>
      <c r="BM192" s="165">
        <v>219.48</v>
      </c>
      <c r="BN192" s="165">
        <v>308.10000000000002</v>
      </c>
      <c r="BO192" s="165">
        <v>310.8</v>
      </c>
      <c r="BP192" s="165">
        <v>329.12</v>
      </c>
      <c r="BQ192" s="165">
        <v>274.95</v>
      </c>
      <c r="BR192" s="165">
        <v>333.08</v>
      </c>
      <c r="BS192" s="165">
        <v>503.5</v>
      </c>
      <c r="BT192" s="165">
        <v>714.25</v>
      </c>
      <c r="BU192" s="165">
        <v>755.04</v>
      </c>
      <c r="BV192" s="165">
        <v>329.12</v>
      </c>
      <c r="BW192" s="165">
        <v>274.95</v>
      </c>
      <c r="BX192" s="165">
        <v>333.08</v>
      </c>
      <c r="BY192" s="165">
        <v>503.5</v>
      </c>
      <c r="BZ192" s="165">
        <v>714.25</v>
      </c>
      <c r="CA192" s="165">
        <v>755.04</v>
      </c>
      <c r="CB192" s="176"/>
      <c r="CC192" s="126"/>
      <c r="CD192" s="126"/>
      <c r="CE192" s="143"/>
    </row>
    <row r="193" spans="1:83">
      <c r="A193" s="107"/>
      <c r="B193" s="107"/>
      <c r="C193" s="107"/>
      <c r="D193" s="107"/>
      <c r="E193" s="548"/>
      <c r="F193" s="549"/>
      <c r="G193" s="549"/>
      <c r="H193" s="550"/>
      <c r="I193" s="540"/>
      <c r="J193" s="541"/>
      <c r="K193" s="541"/>
      <c r="L193" s="542"/>
      <c r="M193" s="540"/>
      <c r="N193" s="541"/>
      <c r="O193" s="541"/>
      <c r="P193" s="542"/>
      <c r="Q193" s="540"/>
      <c r="R193" s="541"/>
      <c r="S193" s="541"/>
      <c r="T193" s="542"/>
      <c r="U193" s="540"/>
      <c r="V193" s="541"/>
      <c r="W193" s="541"/>
      <c r="X193" s="542"/>
      <c r="Y193" s="540"/>
      <c r="Z193" s="541"/>
      <c r="AA193" s="541"/>
      <c r="AB193" s="542"/>
      <c r="AC193" s="540"/>
      <c r="AD193" s="541"/>
      <c r="AE193" s="541"/>
      <c r="AF193" s="542"/>
      <c r="AG193" s="540"/>
      <c r="AH193" s="541"/>
      <c r="AI193" s="541"/>
      <c r="AJ193" s="542"/>
      <c r="AK193" s="540"/>
      <c r="AL193" s="541"/>
      <c r="AM193" s="541"/>
      <c r="AN193" s="542"/>
      <c r="AO193" s="540"/>
      <c r="AP193" s="541"/>
      <c r="AQ193" s="541"/>
      <c r="AR193" s="542"/>
      <c r="AS193" s="540"/>
      <c r="AT193" s="541"/>
      <c r="AU193" s="541"/>
      <c r="AV193" s="542"/>
      <c r="AW193" s="540"/>
      <c r="AX193" s="541"/>
      <c r="AY193" s="541"/>
      <c r="AZ193" s="542"/>
      <c r="BG193" s="93"/>
      <c r="BH193" s="93"/>
      <c r="BI193" s="93"/>
      <c r="BJ193" s="176">
        <v>134</v>
      </c>
      <c r="BK193" s="164">
        <v>0</v>
      </c>
      <c r="BL193" s="165">
        <v>151.53</v>
      </c>
      <c r="BM193" s="165">
        <v>221.24</v>
      </c>
      <c r="BN193" s="165">
        <v>310.54000000000002</v>
      </c>
      <c r="BO193" s="165">
        <v>313.25</v>
      </c>
      <c r="BP193" s="165">
        <v>331.74</v>
      </c>
      <c r="BQ193" s="165">
        <v>277.13</v>
      </c>
      <c r="BR193" s="165">
        <v>335.74</v>
      </c>
      <c r="BS193" s="165">
        <v>507.63</v>
      </c>
      <c r="BT193" s="165">
        <v>720.16</v>
      </c>
      <c r="BU193" s="165">
        <v>761.24</v>
      </c>
      <c r="BV193" s="165">
        <v>331.74</v>
      </c>
      <c r="BW193" s="165">
        <v>277.13</v>
      </c>
      <c r="BX193" s="165">
        <v>335.74</v>
      </c>
      <c r="BY193" s="165">
        <v>507.63</v>
      </c>
      <c r="BZ193" s="165">
        <v>720.16</v>
      </c>
      <c r="CA193" s="165">
        <v>761.24</v>
      </c>
      <c r="CB193" s="176"/>
      <c r="CC193" s="126"/>
      <c r="CD193" s="126"/>
      <c r="CE193" s="143"/>
    </row>
    <row r="194" spans="1:83">
      <c r="A194" s="107"/>
      <c r="B194" s="107"/>
      <c r="C194" s="107"/>
      <c r="D194" s="107"/>
      <c r="E194" s="551"/>
      <c r="F194" s="552"/>
      <c r="G194" s="552"/>
      <c r="H194" s="553"/>
      <c r="I194" s="545"/>
      <c r="J194" s="546"/>
      <c r="K194" s="546"/>
      <c r="L194" s="547"/>
      <c r="M194" s="545"/>
      <c r="N194" s="546"/>
      <c r="O194" s="546"/>
      <c r="P194" s="547"/>
      <c r="Q194" s="545"/>
      <c r="R194" s="546"/>
      <c r="S194" s="546"/>
      <c r="T194" s="547"/>
      <c r="U194" s="545"/>
      <c r="V194" s="546"/>
      <c r="W194" s="546"/>
      <c r="X194" s="547"/>
      <c r="Y194" s="545"/>
      <c r="Z194" s="546"/>
      <c r="AA194" s="546"/>
      <c r="AB194" s="547"/>
      <c r="AC194" s="545"/>
      <c r="AD194" s="546"/>
      <c r="AE194" s="546"/>
      <c r="AF194" s="547"/>
      <c r="AG194" s="545"/>
      <c r="AH194" s="546"/>
      <c r="AI194" s="546"/>
      <c r="AJ194" s="547"/>
      <c r="AK194" s="545"/>
      <c r="AL194" s="546"/>
      <c r="AM194" s="546"/>
      <c r="AN194" s="547"/>
      <c r="AO194" s="545"/>
      <c r="AP194" s="546"/>
      <c r="AQ194" s="546"/>
      <c r="AR194" s="547"/>
      <c r="AS194" s="545"/>
      <c r="AT194" s="546"/>
      <c r="AU194" s="546"/>
      <c r="AV194" s="547"/>
      <c r="AW194" s="545"/>
      <c r="AX194" s="546"/>
      <c r="AY194" s="546"/>
      <c r="AZ194" s="547"/>
      <c r="BG194" s="93"/>
      <c r="BH194" s="93"/>
      <c r="BI194" s="93"/>
      <c r="BJ194" s="176">
        <v>135</v>
      </c>
      <c r="BK194" s="164">
        <v>0</v>
      </c>
      <c r="BL194" s="165">
        <v>152.69999999999999</v>
      </c>
      <c r="BM194" s="165">
        <v>223</v>
      </c>
      <c r="BN194" s="165">
        <v>312.98</v>
      </c>
      <c r="BO194" s="165">
        <v>315.69</v>
      </c>
      <c r="BP194" s="165">
        <v>334.36</v>
      </c>
      <c r="BQ194" s="165">
        <v>279.3</v>
      </c>
      <c r="BR194" s="165">
        <v>338.4</v>
      </c>
      <c r="BS194" s="165">
        <v>511.77</v>
      </c>
      <c r="BT194" s="165">
        <v>726.07</v>
      </c>
      <c r="BU194" s="165">
        <v>767.45</v>
      </c>
      <c r="BV194" s="165">
        <v>334.36</v>
      </c>
      <c r="BW194" s="165">
        <v>279.3</v>
      </c>
      <c r="BX194" s="165">
        <v>338.4</v>
      </c>
      <c r="BY194" s="165">
        <v>511.77</v>
      </c>
      <c r="BZ194" s="165">
        <v>726.07</v>
      </c>
      <c r="CA194" s="165">
        <v>767.45</v>
      </c>
      <c r="CB194" s="176"/>
      <c r="CC194" s="126"/>
      <c r="CD194" s="126"/>
      <c r="CE194" s="143"/>
    </row>
    <row r="195" spans="1:83">
      <c r="A195" s="107"/>
      <c r="B195" s="107"/>
      <c r="C195" s="107"/>
      <c r="D195" s="107"/>
      <c r="E195" s="548"/>
      <c r="F195" s="549"/>
      <c r="G195" s="549"/>
      <c r="H195" s="550"/>
      <c r="I195" s="540"/>
      <c r="J195" s="541"/>
      <c r="K195" s="541"/>
      <c r="L195" s="542"/>
      <c r="M195" s="540"/>
      <c r="N195" s="541"/>
      <c r="O195" s="541"/>
      <c r="P195" s="542"/>
      <c r="Q195" s="540"/>
      <c r="R195" s="541"/>
      <c r="S195" s="541"/>
      <c r="T195" s="542"/>
      <c r="U195" s="540"/>
      <c r="V195" s="541"/>
      <c r="W195" s="541"/>
      <c r="X195" s="542"/>
      <c r="Y195" s="540"/>
      <c r="Z195" s="541"/>
      <c r="AA195" s="541"/>
      <c r="AB195" s="542"/>
      <c r="AC195" s="540"/>
      <c r="AD195" s="541"/>
      <c r="AE195" s="541"/>
      <c r="AF195" s="542"/>
      <c r="AG195" s="540"/>
      <c r="AH195" s="541"/>
      <c r="AI195" s="541"/>
      <c r="AJ195" s="542"/>
      <c r="AK195" s="540"/>
      <c r="AL195" s="541"/>
      <c r="AM195" s="541"/>
      <c r="AN195" s="542"/>
      <c r="AO195" s="540"/>
      <c r="AP195" s="541"/>
      <c r="AQ195" s="541"/>
      <c r="AR195" s="542"/>
      <c r="AS195" s="540"/>
      <c r="AT195" s="541"/>
      <c r="AU195" s="541"/>
      <c r="AV195" s="542"/>
      <c r="AW195" s="540"/>
      <c r="AX195" s="541"/>
      <c r="AY195" s="541"/>
      <c r="AZ195" s="542"/>
      <c r="BG195" s="93"/>
      <c r="BH195" s="93"/>
      <c r="BI195" s="93"/>
      <c r="BJ195" s="176">
        <v>136</v>
      </c>
      <c r="BK195" s="164">
        <v>0</v>
      </c>
      <c r="BL195" s="165">
        <v>153.87</v>
      </c>
      <c r="BM195" s="165">
        <v>224.76</v>
      </c>
      <c r="BN195" s="165">
        <v>315.43</v>
      </c>
      <c r="BO195" s="165">
        <v>318.13</v>
      </c>
      <c r="BP195" s="165">
        <v>336.99</v>
      </c>
      <c r="BQ195" s="165">
        <v>281.48</v>
      </c>
      <c r="BR195" s="165">
        <v>341.06</v>
      </c>
      <c r="BS195" s="165">
        <v>515.9</v>
      </c>
      <c r="BT195" s="165">
        <v>731.98</v>
      </c>
      <c r="BU195" s="165">
        <v>773.66</v>
      </c>
      <c r="BV195" s="165">
        <v>336.99</v>
      </c>
      <c r="BW195" s="165">
        <v>281.48</v>
      </c>
      <c r="BX195" s="165">
        <v>341.06</v>
      </c>
      <c r="BY195" s="165">
        <v>515.9</v>
      </c>
      <c r="BZ195" s="165">
        <v>731.98</v>
      </c>
      <c r="CA195" s="165">
        <v>773.66</v>
      </c>
      <c r="CB195" s="176"/>
      <c r="CC195" s="126"/>
      <c r="CD195" s="126"/>
      <c r="CE195" s="143"/>
    </row>
    <row r="196" spans="1:83">
      <c r="A196" s="107"/>
      <c r="B196" s="107"/>
      <c r="C196" s="107"/>
      <c r="D196" s="107"/>
      <c r="E196" s="551"/>
      <c r="F196" s="552"/>
      <c r="G196" s="552"/>
      <c r="H196" s="553"/>
      <c r="I196" s="545"/>
      <c r="J196" s="546"/>
      <c r="K196" s="546"/>
      <c r="L196" s="547"/>
      <c r="M196" s="545"/>
      <c r="N196" s="546"/>
      <c r="O196" s="546"/>
      <c r="P196" s="547"/>
      <c r="Q196" s="545"/>
      <c r="R196" s="546"/>
      <c r="S196" s="546"/>
      <c r="T196" s="547"/>
      <c r="U196" s="545"/>
      <c r="V196" s="546"/>
      <c r="W196" s="546"/>
      <c r="X196" s="547"/>
      <c r="Y196" s="545"/>
      <c r="Z196" s="546"/>
      <c r="AA196" s="546"/>
      <c r="AB196" s="547"/>
      <c r="AC196" s="545"/>
      <c r="AD196" s="546"/>
      <c r="AE196" s="546"/>
      <c r="AF196" s="547"/>
      <c r="AG196" s="545"/>
      <c r="AH196" s="546"/>
      <c r="AI196" s="546"/>
      <c r="AJ196" s="547"/>
      <c r="AK196" s="545"/>
      <c r="AL196" s="546"/>
      <c r="AM196" s="546"/>
      <c r="AN196" s="547"/>
      <c r="AO196" s="545"/>
      <c r="AP196" s="546"/>
      <c r="AQ196" s="546"/>
      <c r="AR196" s="547"/>
      <c r="AS196" s="545"/>
      <c r="AT196" s="546"/>
      <c r="AU196" s="546"/>
      <c r="AV196" s="547"/>
      <c r="AW196" s="545"/>
      <c r="AX196" s="546"/>
      <c r="AY196" s="546"/>
      <c r="AZ196" s="547"/>
      <c r="BG196" s="93"/>
      <c r="BH196" s="93"/>
      <c r="BI196" s="93"/>
      <c r="BJ196" s="176">
        <v>137</v>
      </c>
      <c r="BK196" s="164">
        <v>0</v>
      </c>
      <c r="BL196" s="165">
        <v>155.03</v>
      </c>
      <c r="BM196" s="165">
        <v>226.52</v>
      </c>
      <c r="BN196" s="165">
        <v>317.87</v>
      </c>
      <c r="BO196" s="165">
        <v>320.58</v>
      </c>
      <c r="BP196" s="165">
        <v>339.61</v>
      </c>
      <c r="BQ196" s="165">
        <v>283.66000000000003</v>
      </c>
      <c r="BR196" s="165">
        <v>343.72</v>
      </c>
      <c r="BS196" s="165">
        <v>520.04</v>
      </c>
      <c r="BT196" s="165">
        <v>737.89</v>
      </c>
      <c r="BU196" s="165">
        <v>779.86</v>
      </c>
      <c r="BV196" s="165">
        <v>339.61</v>
      </c>
      <c r="BW196" s="165">
        <v>283.66000000000003</v>
      </c>
      <c r="BX196" s="165">
        <v>343.72</v>
      </c>
      <c r="BY196" s="165">
        <v>520.04</v>
      </c>
      <c r="BZ196" s="165">
        <v>737.89</v>
      </c>
      <c r="CA196" s="165">
        <v>779.86</v>
      </c>
      <c r="CB196" s="176"/>
      <c r="CC196" s="126"/>
      <c r="CD196" s="126"/>
      <c r="CE196" s="143"/>
    </row>
    <row r="197" spans="1:83">
      <c r="A197" s="107"/>
      <c r="B197" s="107"/>
      <c r="C197" s="107"/>
      <c r="D197" s="107"/>
      <c r="E197" s="548"/>
      <c r="F197" s="549"/>
      <c r="G197" s="549"/>
      <c r="H197" s="550"/>
      <c r="I197" s="540"/>
      <c r="J197" s="541"/>
      <c r="K197" s="541"/>
      <c r="L197" s="542"/>
      <c r="M197" s="540"/>
      <c r="N197" s="541"/>
      <c r="O197" s="541"/>
      <c r="P197" s="542"/>
      <c r="Q197" s="540"/>
      <c r="R197" s="541"/>
      <c r="S197" s="541"/>
      <c r="T197" s="542"/>
      <c r="U197" s="540"/>
      <c r="V197" s="541"/>
      <c r="W197" s="541"/>
      <c r="X197" s="542"/>
      <c r="Y197" s="540"/>
      <c r="Z197" s="541"/>
      <c r="AA197" s="541"/>
      <c r="AB197" s="542"/>
      <c r="AC197" s="540"/>
      <c r="AD197" s="541"/>
      <c r="AE197" s="541"/>
      <c r="AF197" s="542"/>
      <c r="AG197" s="540"/>
      <c r="AH197" s="541"/>
      <c r="AI197" s="541"/>
      <c r="AJ197" s="542"/>
      <c r="AK197" s="540"/>
      <c r="AL197" s="541"/>
      <c r="AM197" s="541"/>
      <c r="AN197" s="542"/>
      <c r="AO197" s="540"/>
      <c r="AP197" s="541"/>
      <c r="AQ197" s="541"/>
      <c r="AR197" s="542"/>
      <c r="AS197" s="540"/>
      <c r="AT197" s="541"/>
      <c r="AU197" s="541"/>
      <c r="AV197" s="542"/>
      <c r="AW197" s="540"/>
      <c r="AX197" s="541"/>
      <c r="AY197" s="541"/>
      <c r="AZ197" s="542"/>
      <c r="BG197" s="93"/>
      <c r="BH197" s="93"/>
      <c r="BI197" s="93"/>
      <c r="BJ197" s="176">
        <v>138</v>
      </c>
      <c r="BK197" s="164">
        <v>0</v>
      </c>
      <c r="BL197" s="165">
        <v>156.19999999999999</v>
      </c>
      <c r="BM197" s="165">
        <v>228.28</v>
      </c>
      <c r="BN197" s="165">
        <v>320.31</v>
      </c>
      <c r="BO197" s="165">
        <v>323.02</v>
      </c>
      <c r="BP197" s="165">
        <v>342.23</v>
      </c>
      <c r="BQ197" s="165">
        <v>285.83999999999997</v>
      </c>
      <c r="BR197" s="165">
        <v>346.38</v>
      </c>
      <c r="BS197" s="165">
        <v>524.16999999999996</v>
      </c>
      <c r="BT197" s="165">
        <v>743.8</v>
      </c>
      <c r="BU197" s="165">
        <v>786.07</v>
      </c>
      <c r="BV197" s="165">
        <v>342.23</v>
      </c>
      <c r="BW197" s="165">
        <v>285.83999999999997</v>
      </c>
      <c r="BX197" s="165">
        <v>346.38</v>
      </c>
      <c r="BY197" s="165">
        <v>524.16999999999996</v>
      </c>
      <c r="BZ197" s="165">
        <v>743.8</v>
      </c>
      <c r="CA197" s="165">
        <v>786.07</v>
      </c>
      <c r="CB197" s="176"/>
      <c r="CC197" s="126"/>
      <c r="CD197" s="126"/>
      <c r="CE197" s="143"/>
    </row>
    <row r="198" spans="1:83">
      <c r="A198" s="107"/>
      <c r="B198" s="107"/>
      <c r="C198" s="107"/>
      <c r="D198" s="107"/>
      <c r="E198" s="551"/>
      <c r="F198" s="552"/>
      <c r="G198" s="552"/>
      <c r="H198" s="553"/>
      <c r="I198" s="545"/>
      <c r="J198" s="546"/>
      <c r="K198" s="546"/>
      <c r="L198" s="547"/>
      <c r="M198" s="545"/>
      <c r="N198" s="546"/>
      <c r="O198" s="546"/>
      <c r="P198" s="547"/>
      <c r="Q198" s="545"/>
      <c r="R198" s="546"/>
      <c r="S198" s="546"/>
      <c r="T198" s="547"/>
      <c r="U198" s="545"/>
      <c r="V198" s="546"/>
      <c r="W198" s="546"/>
      <c r="X198" s="547"/>
      <c r="Y198" s="545"/>
      <c r="Z198" s="546"/>
      <c r="AA198" s="546"/>
      <c r="AB198" s="547"/>
      <c r="AC198" s="545"/>
      <c r="AD198" s="546"/>
      <c r="AE198" s="546"/>
      <c r="AF198" s="547"/>
      <c r="AG198" s="545"/>
      <c r="AH198" s="546"/>
      <c r="AI198" s="546"/>
      <c r="AJ198" s="547"/>
      <c r="AK198" s="545"/>
      <c r="AL198" s="546"/>
      <c r="AM198" s="546"/>
      <c r="AN198" s="547"/>
      <c r="AO198" s="545"/>
      <c r="AP198" s="546"/>
      <c r="AQ198" s="546"/>
      <c r="AR198" s="547"/>
      <c r="AS198" s="545"/>
      <c r="AT198" s="546"/>
      <c r="AU198" s="546"/>
      <c r="AV198" s="547"/>
      <c r="AW198" s="545"/>
      <c r="AX198" s="546"/>
      <c r="AY198" s="546"/>
      <c r="AZ198" s="547"/>
      <c r="BG198" s="93"/>
      <c r="BH198" s="93"/>
      <c r="BI198" s="93"/>
      <c r="BJ198" s="176">
        <v>139</v>
      </c>
      <c r="BK198" s="164">
        <v>0</v>
      </c>
      <c r="BL198" s="165">
        <v>157.37</v>
      </c>
      <c r="BM198" s="165">
        <v>230.04</v>
      </c>
      <c r="BN198" s="165">
        <v>322.76</v>
      </c>
      <c r="BO198" s="165">
        <v>325.45999999999998</v>
      </c>
      <c r="BP198" s="165">
        <v>344.86</v>
      </c>
      <c r="BQ198" s="165">
        <v>288.01</v>
      </c>
      <c r="BR198" s="165">
        <v>349.03</v>
      </c>
      <c r="BS198" s="165">
        <v>528.30999999999995</v>
      </c>
      <c r="BT198" s="165">
        <v>749.71</v>
      </c>
      <c r="BU198" s="165">
        <v>792.28</v>
      </c>
      <c r="BV198" s="165">
        <v>344.86</v>
      </c>
      <c r="BW198" s="165">
        <v>288.01</v>
      </c>
      <c r="BX198" s="165">
        <v>349.03</v>
      </c>
      <c r="BY198" s="165">
        <v>528.30999999999995</v>
      </c>
      <c r="BZ198" s="165">
        <v>749.71</v>
      </c>
      <c r="CA198" s="165">
        <v>792.28</v>
      </c>
      <c r="CB198" s="176"/>
      <c r="CC198" s="126"/>
      <c r="CD198" s="126"/>
      <c r="CE198" s="143"/>
    </row>
    <row r="199" spans="1:83">
      <c r="A199" s="107"/>
      <c r="B199" s="107"/>
      <c r="C199" s="107"/>
      <c r="D199" s="107"/>
      <c r="E199" s="548"/>
      <c r="F199" s="549"/>
      <c r="G199" s="549"/>
      <c r="H199" s="550"/>
      <c r="I199" s="540"/>
      <c r="J199" s="541"/>
      <c r="K199" s="541"/>
      <c r="L199" s="542"/>
      <c r="M199" s="540"/>
      <c r="N199" s="541"/>
      <c r="O199" s="541"/>
      <c r="P199" s="542"/>
      <c r="Q199" s="540"/>
      <c r="R199" s="541"/>
      <c r="S199" s="541"/>
      <c r="T199" s="542"/>
      <c r="U199" s="540"/>
      <c r="V199" s="541"/>
      <c r="W199" s="541"/>
      <c r="X199" s="542"/>
      <c r="Y199" s="540"/>
      <c r="Z199" s="541"/>
      <c r="AA199" s="541"/>
      <c r="AB199" s="542"/>
      <c r="AC199" s="540"/>
      <c r="AD199" s="541"/>
      <c r="AE199" s="541"/>
      <c r="AF199" s="542"/>
      <c r="AG199" s="540"/>
      <c r="AH199" s="541"/>
      <c r="AI199" s="541"/>
      <c r="AJ199" s="542"/>
      <c r="AK199" s="540"/>
      <c r="AL199" s="541"/>
      <c r="AM199" s="541"/>
      <c r="AN199" s="542"/>
      <c r="AO199" s="540"/>
      <c r="AP199" s="541"/>
      <c r="AQ199" s="541"/>
      <c r="AR199" s="542"/>
      <c r="AS199" s="540"/>
      <c r="AT199" s="541"/>
      <c r="AU199" s="541"/>
      <c r="AV199" s="542"/>
      <c r="AW199" s="540"/>
      <c r="AX199" s="541"/>
      <c r="AY199" s="541"/>
      <c r="AZ199" s="542"/>
      <c r="BG199" s="93"/>
      <c r="BH199" s="93"/>
      <c r="BI199" s="93"/>
      <c r="BJ199" s="176">
        <v>140</v>
      </c>
      <c r="BK199" s="164">
        <v>0</v>
      </c>
      <c r="BL199" s="165">
        <v>158.53</v>
      </c>
      <c r="BM199" s="165">
        <v>231.8</v>
      </c>
      <c r="BN199" s="165">
        <v>325.2</v>
      </c>
      <c r="BO199" s="165">
        <v>327.91</v>
      </c>
      <c r="BP199" s="165">
        <v>347.48</v>
      </c>
      <c r="BQ199" s="165">
        <v>290.19</v>
      </c>
      <c r="BR199" s="165">
        <v>351.69</v>
      </c>
      <c r="BS199" s="165">
        <v>532.44000000000005</v>
      </c>
      <c r="BT199" s="165">
        <v>755.62</v>
      </c>
      <c r="BU199" s="165">
        <v>798.48</v>
      </c>
      <c r="BV199" s="165">
        <v>347.48</v>
      </c>
      <c r="BW199" s="165">
        <v>290.19</v>
      </c>
      <c r="BX199" s="165">
        <v>351.69</v>
      </c>
      <c r="BY199" s="165">
        <v>532.44000000000005</v>
      </c>
      <c r="BZ199" s="165">
        <v>755.62</v>
      </c>
      <c r="CA199" s="165">
        <v>798.48</v>
      </c>
      <c r="CB199" s="176"/>
      <c r="CC199" s="126"/>
      <c r="CD199" s="126"/>
      <c r="CE199" s="143"/>
    </row>
    <row r="200" spans="1:83">
      <c r="A200" s="107"/>
      <c r="B200" s="107"/>
      <c r="C200" s="107"/>
      <c r="D200" s="107"/>
      <c r="E200" s="551"/>
      <c r="F200" s="552"/>
      <c r="G200" s="552"/>
      <c r="H200" s="553"/>
      <c r="I200" s="545"/>
      <c r="J200" s="546"/>
      <c r="K200" s="546"/>
      <c r="L200" s="547"/>
      <c r="M200" s="545"/>
      <c r="N200" s="546"/>
      <c r="O200" s="546"/>
      <c r="P200" s="547"/>
      <c r="Q200" s="545"/>
      <c r="R200" s="546"/>
      <c r="S200" s="546"/>
      <c r="T200" s="547"/>
      <c r="U200" s="545"/>
      <c r="V200" s="546"/>
      <c r="W200" s="546"/>
      <c r="X200" s="547"/>
      <c r="Y200" s="545"/>
      <c r="Z200" s="546"/>
      <c r="AA200" s="546"/>
      <c r="AB200" s="547"/>
      <c r="AC200" s="545"/>
      <c r="AD200" s="546"/>
      <c r="AE200" s="546"/>
      <c r="AF200" s="547"/>
      <c r="AG200" s="545"/>
      <c r="AH200" s="546"/>
      <c r="AI200" s="546"/>
      <c r="AJ200" s="547"/>
      <c r="AK200" s="545"/>
      <c r="AL200" s="546"/>
      <c r="AM200" s="546"/>
      <c r="AN200" s="547"/>
      <c r="AO200" s="545"/>
      <c r="AP200" s="546"/>
      <c r="AQ200" s="546"/>
      <c r="AR200" s="547"/>
      <c r="AS200" s="545"/>
      <c r="AT200" s="546"/>
      <c r="AU200" s="546"/>
      <c r="AV200" s="547"/>
      <c r="AW200" s="545"/>
      <c r="AX200" s="546"/>
      <c r="AY200" s="546"/>
      <c r="AZ200" s="547"/>
      <c r="BG200" s="93"/>
      <c r="BH200" s="93"/>
      <c r="BI200" s="93"/>
      <c r="BJ200" s="176">
        <v>141</v>
      </c>
      <c r="BK200" s="164">
        <v>0</v>
      </c>
      <c r="BL200" s="165">
        <v>159.69999999999999</v>
      </c>
      <c r="BM200" s="165">
        <v>233.56</v>
      </c>
      <c r="BN200" s="165">
        <v>327.64</v>
      </c>
      <c r="BO200" s="165">
        <v>330.35</v>
      </c>
      <c r="BP200" s="165">
        <v>350.1</v>
      </c>
      <c r="BQ200" s="165">
        <v>292.37</v>
      </c>
      <c r="BR200" s="165">
        <v>354.35</v>
      </c>
      <c r="BS200" s="165">
        <v>536.58000000000004</v>
      </c>
      <c r="BT200" s="165">
        <v>761.52</v>
      </c>
      <c r="BU200" s="165">
        <v>804.69</v>
      </c>
      <c r="BV200" s="165">
        <v>350.1</v>
      </c>
      <c r="BW200" s="165">
        <v>292.37</v>
      </c>
      <c r="BX200" s="165">
        <v>354.35</v>
      </c>
      <c r="BY200" s="165">
        <v>536.58000000000004</v>
      </c>
      <c r="BZ200" s="165">
        <v>761.52</v>
      </c>
      <c r="CA200" s="165">
        <v>804.69</v>
      </c>
      <c r="CB200" s="176"/>
      <c r="CC200" s="126"/>
      <c r="CD200" s="126"/>
      <c r="CE200" s="143"/>
    </row>
    <row r="201" spans="1:83">
      <c r="A201" s="107"/>
      <c r="B201" s="107"/>
      <c r="C201" s="107"/>
      <c r="D201" s="107"/>
      <c r="E201" s="548"/>
      <c r="F201" s="549"/>
      <c r="G201" s="549"/>
      <c r="H201" s="550"/>
      <c r="I201" s="540"/>
      <c r="J201" s="541"/>
      <c r="K201" s="541"/>
      <c r="L201" s="542"/>
      <c r="M201" s="540"/>
      <c r="N201" s="541"/>
      <c r="O201" s="541"/>
      <c r="P201" s="542"/>
      <c r="Q201" s="540"/>
      <c r="R201" s="541"/>
      <c r="S201" s="541"/>
      <c r="T201" s="542"/>
      <c r="U201" s="540"/>
      <c r="V201" s="541"/>
      <c r="W201" s="541"/>
      <c r="X201" s="542"/>
      <c r="Y201" s="540"/>
      <c r="Z201" s="541"/>
      <c r="AA201" s="541"/>
      <c r="AB201" s="542"/>
      <c r="AC201" s="540"/>
      <c r="AD201" s="541"/>
      <c r="AE201" s="541"/>
      <c r="AF201" s="542"/>
      <c r="AG201" s="540"/>
      <c r="AH201" s="541"/>
      <c r="AI201" s="541"/>
      <c r="AJ201" s="542"/>
      <c r="AK201" s="540"/>
      <c r="AL201" s="541"/>
      <c r="AM201" s="541"/>
      <c r="AN201" s="542"/>
      <c r="AO201" s="540"/>
      <c r="AP201" s="541"/>
      <c r="AQ201" s="541"/>
      <c r="AR201" s="542"/>
      <c r="AS201" s="540"/>
      <c r="AT201" s="541"/>
      <c r="AU201" s="541"/>
      <c r="AV201" s="542"/>
      <c r="AW201" s="540"/>
      <c r="AX201" s="541"/>
      <c r="AY201" s="541"/>
      <c r="AZ201" s="542"/>
      <c r="BG201" s="93"/>
      <c r="BH201" s="93"/>
      <c r="BI201" s="93"/>
      <c r="BJ201" s="176">
        <v>142</v>
      </c>
      <c r="BK201" s="164">
        <v>0</v>
      </c>
      <c r="BL201" s="165">
        <v>160.86000000000001</v>
      </c>
      <c r="BM201" s="165">
        <v>235.32</v>
      </c>
      <c r="BN201" s="165">
        <v>330.09</v>
      </c>
      <c r="BO201" s="165">
        <v>332.79</v>
      </c>
      <c r="BP201" s="165">
        <v>352.73</v>
      </c>
      <c r="BQ201" s="165">
        <v>294.54000000000002</v>
      </c>
      <c r="BR201" s="165">
        <v>357.01</v>
      </c>
      <c r="BS201" s="165">
        <v>540.72</v>
      </c>
      <c r="BT201" s="165">
        <v>767.43</v>
      </c>
      <c r="BU201" s="165">
        <v>810.9</v>
      </c>
      <c r="BV201" s="165">
        <v>352.73</v>
      </c>
      <c r="BW201" s="165">
        <v>294.54000000000002</v>
      </c>
      <c r="BX201" s="165">
        <v>357.01</v>
      </c>
      <c r="BY201" s="165">
        <v>540.72</v>
      </c>
      <c r="BZ201" s="165">
        <v>767.43</v>
      </c>
      <c r="CA201" s="165">
        <v>810.9</v>
      </c>
      <c r="CB201" s="176"/>
      <c r="CC201" s="126"/>
      <c r="CD201" s="126"/>
      <c r="CE201" s="143"/>
    </row>
    <row r="202" spans="1:83">
      <c r="A202" s="107"/>
      <c r="B202" s="107"/>
      <c r="C202" s="107"/>
      <c r="D202" s="107"/>
      <c r="E202" s="551"/>
      <c r="F202" s="552"/>
      <c r="G202" s="552"/>
      <c r="H202" s="553"/>
      <c r="I202" s="545"/>
      <c r="J202" s="546"/>
      <c r="K202" s="546"/>
      <c r="L202" s="547"/>
      <c r="M202" s="545"/>
      <c r="N202" s="546"/>
      <c r="O202" s="546"/>
      <c r="P202" s="547"/>
      <c r="Q202" s="545"/>
      <c r="R202" s="546"/>
      <c r="S202" s="546"/>
      <c r="T202" s="547"/>
      <c r="U202" s="545"/>
      <c r="V202" s="546"/>
      <c r="W202" s="546"/>
      <c r="X202" s="547"/>
      <c r="Y202" s="545"/>
      <c r="Z202" s="546"/>
      <c r="AA202" s="546"/>
      <c r="AB202" s="547"/>
      <c r="AC202" s="545"/>
      <c r="AD202" s="546"/>
      <c r="AE202" s="546"/>
      <c r="AF202" s="547"/>
      <c r="AG202" s="545"/>
      <c r="AH202" s="546"/>
      <c r="AI202" s="546"/>
      <c r="AJ202" s="547"/>
      <c r="AK202" s="545"/>
      <c r="AL202" s="546"/>
      <c r="AM202" s="546"/>
      <c r="AN202" s="547"/>
      <c r="AO202" s="545"/>
      <c r="AP202" s="546"/>
      <c r="AQ202" s="546"/>
      <c r="AR202" s="547"/>
      <c r="AS202" s="545"/>
      <c r="AT202" s="546"/>
      <c r="AU202" s="546"/>
      <c r="AV202" s="547"/>
      <c r="AW202" s="545"/>
      <c r="AX202" s="546"/>
      <c r="AY202" s="546"/>
      <c r="AZ202" s="547"/>
      <c r="BG202" s="93"/>
      <c r="BH202" s="93"/>
      <c r="BI202" s="93"/>
      <c r="BJ202" s="176">
        <v>143</v>
      </c>
      <c r="BK202" s="164">
        <v>0</v>
      </c>
      <c r="BL202" s="165">
        <v>162.03</v>
      </c>
      <c r="BM202" s="165">
        <v>237.07</v>
      </c>
      <c r="BN202" s="165">
        <v>332.53</v>
      </c>
      <c r="BO202" s="165">
        <v>335.24</v>
      </c>
      <c r="BP202" s="165">
        <v>355.35</v>
      </c>
      <c r="BQ202" s="165">
        <v>296.72000000000003</v>
      </c>
      <c r="BR202" s="165">
        <v>359.67</v>
      </c>
      <c r="BS202" s="165">
        <v>544.85</v>
      </c>
      <c r="BT202" s="165">
        <v>773.34</v>
      </c>
      <c r="BU202" s="165">
        <v>817.1</v>
      </c>
      <c r="BV202" s="165">
        <v>355.35</v>
      </c>
      <c r="BW202" s="165">
        <v>296.72000000000003</v>
      </c>
      <c r="BX202" s="165">
        <v>359.67</v>
      </c>
      <c r="BY202" s="165">
        <v>544.85</v>
      </c>
      <c r="BZ202" s="165">
        <v>773.34</v>
      </c>
      <c r="CA202" s="165">
        <v>817.1</v>
      </c>
      <c r="CB202" s="176"/>
      <c r="CC202" s="126"/>
      <c r="CD202" s="126"/>
      <c r="CE202" s="143"/>
    </row>
    <row r="203" spans="1:83">
      <c r="A203" s="107"/>
      <c r="B203" s="107"/>
      <c r="C203" s="107"/>
      <c r="D203" s="107"/>
      <c r="E203" s="548"/>
      <c r="F203" s="549"/>
      <c r="G203" s="549"/>
      <c r="H203" s="550"/>
      <c r="I203" s="540"/>
      <c r="J203" s="541"/>
      <c r="K203" s="541"/>
      <c r="L203" s="542"/>
      <c r="M203" s="540"/>
      <c r="N203" s="541"/>
      <c r="O203" s="541"/>
      <c r="P203" s="542"/>
      <c r="Q203" s="540"/>
      <c r="R203" s="541"/>
      <c r="S203" s="541"/>
      <c r="T203" s="542"/>
      <c r="U203" s="540"/>
      <c r="V203" s="541"/>
      <c r="W203" s="541"/>
      <c r="X203" s="542"/>
      <c r="Y203" s="540"/>
      <c r="Z203" s="541"/>
      <c r="AA203" s="541"/>
      <c r="AB203" s="542"/>
      <c r="AC203" s="540"/>
      <c r="AD203" s="541"/>
      <c r="AE203" s="541"/>
      <c r="AF203" s="542"/>
      <c r="AG203" s="540"/>
      <c r="AH203" s="541"/>
      <c r="AI203" s="541"/>
      <c r="AJ203" s="542"/>
      <c r="AK203" s="540"/>
      <c r="AL203" s="541"/>
      <c r="AM203" s="541"/>
      <c r="AN203" s="542"/>
      <c r="AO203" s="540"/>
      <c r="AP203" s="541"/>
      <c r="AQ203" s="541"/>
      <c r="AR203" s="542"/>
      <c r="AS203" s="540"/>
      <c r="AT203" s="541"/>
      <c r="AU203" s="541"/>
      <c r="AV203" s="542"/>
      <c r="AW203" s="540"/>
      <c r="AX203" s="541"/>
      <c r="AY203" s="541"/>
      <c r="AZ203" s="542"/>
      <c r="BG203" s="93"/>
      <c r="BH203" s="93"/>
      <c r="BI203" s="93"/>
      <c r="BJ203" s="176">
        <v>144</v>
      </c>
      <c r="BK203" s="164">
        <v>0</v>
      </c>
      <c r="BL203" s="165">
        <v>163.19999999999999</v>
      </c>
      <c r="BM203" s="165">
        <v>238.83</v>
      </c>
      <c r="BN203" s="165">
        <v>334.97</v>
      </c>
      <c r="BO203" s="165">
        <v>337.68</v>
      </c>
      <c r="BP203" s="165">
        <v>357.97</v>
      </c>
      <c r="BQ203" s="165">
        <v>298.89999999999998</v>
      </c>
      <c r="BR203" s="165">
        <v>362.33</v>
      </c>
      <c r="BS203" s="165">
        <v>548.99</v>
      </c>
      <c r="BT203" s="165">
        <v>779.25</v>
      </c>
      <c r="BU203" s="165">
        <v>823.31</v>
      </c>
      <c r="BV203" s="165">
        <v>357.97</v>
      </c>
      <c r="BW203" s="165">
        <v>298.89999999999998</v>
      </c>
      <c r="BX203" s="165">
        <v>362.33</v>
      </c>
      <c r="BY203" s="165">
        <v>548.99</v>
      </c>
      <c r="BZ203" s="165">
        <v>779.25</v>
      </c>
      <c r="CA203" s="165">
        <v>823.31</v>
      </c>
      <c r="CB203" s="176"/>
      <c r="CC203" s="126"/>
      <c r="CD203" s="126"/>
      <c r="CE203" s="143"/>
    </row>
    <row r="204" spans="1:83">
      <c r="A204" s="107"/>
      <c r="B204" s="107"/>
      <c r="C204" s="107"/>
      <c r="D204" s="107"/>
      <c r="E204" s="551"/>
      <c r="F204" s="552"/>
      <c r="G204" s="552"/>
      <c r="H204" s="553"/>
      <c r="I204" s="545"/>
      <c r="J204" s="546"/>
      <c r="K204" s="546"/>
      <c r="L204" s="547"/>
      <c r="M204" s="545"/>
      <c r="N204" s="546"/>
      <c r="O204" s="546"/>
      <c r="P204" s="547"/>
      <c r="Q204" s="545"/>
      <c r="R204" s="546"/>
      <c r="S204" s="546"/>
      <c r="T204" s="547"/>
      <c r="U204" s="545"/>
      <c r="V204" s="546"/>
      <c r="W204" s="546"/>
      <c r="X204" s="547"/>
      <c r="Y204" s="545"/>
      <c r="Z204" s="546"/>
      <c r="AA204" s="546"/>
      <c r="AB204" s="547"/>
      <c r="AC204" s="545"/>
      <c r="AD204" s="546"/>
      <c r="AE204" s="546"/>
      <c r="AF204" s="547"/>
      <c r="AG204" s="545"/>
      <c r="AH204" s="546"/>
      <c r="AI204" s="546"/>
      <c r="AJ204" s="547"/>
      <c r="AK204" s="545"/>
      <c r="AL204" s="546"/>
      <c r="AM204" s="546"/>
      <c r="AN204" s="547"/>
      <c r="AO204" s="545"/>
      <c r="AP204" s="546"/>
      <c r="AQ204" s="546"/>
      <c r="AR204" s="547"/>
      <c r="AS204" s="545"/>
      <c r="AT204" s="546"/>
      <c r="AU204" s="546"/>
      <c r="AV204" s="547"/>
      <c r="AW204" s="545"/>
      <c r="AX204" s="546"/>
      <c r="AY204" s="546"/>
      <c r="AZ204" s="547"/>
      <c r="BG204" s="93"/>
      <c r="BH204" s="93"/>
      <c r="BI204" s="93"/>
      <c r="BJ204" s="176">
        <v>145</v>
      </c>
      <c r="BK204" s="164">
        <v>0</v>
      </c>
      <c r="BL204" s="165">
        <v>164.36</v>
      </c>
      <c r="BM204" s="165">
        <v>240.59</v>
      </c>
      <c r="BN204" s="165">
        <v>337.42</v>
      </c>
      <c r="BO204" s="165">
        <v>340.12</v>
      </c>
      <c r="BP204" s="165">
        <v>360.6</v>
      </c>
      <c r="BQ204" s="165">
        <v>301.07</v>
      </c>
      <c r="BR204" s="165">
        <v>364.99</v>
      </c>
      <c r="BS204" s="165">
        <v>553.12</v>
      </c>
      <c r="BT204" s="165">
        <v>785.16</v>
      </c>
      <c r="BU204" s="165">
        <v>829.51</v>
      </c>
      <c r="BV204" s="165">
        <v>360.6</v>
      </c>
      <c r="BW204" s="165">
        <v>301.07</v>
      </c>
      <c r="BX204" s="165">
        <v>364.99</v>
      </c>
      <c r="BY204" s="165">
        <v>553.12</v>
      </c>
      <c r="BZ204" s="165">
        <v>785.16</v>
      </c>
      <c r="CA204" s="165">
        <v>829.51</v>
      </c>
      <c r="CB204" s="176"/>
      <c r="CC204" s="126"/>
      <c r="CD204" s="126"/>
      <c r="CE204" s="143"/>
    </row>
    <row r="205" spans="1:83">
      <c r="A205" s="107"/>
      <c r="B205" s="107"/>
      <c r="C205" s="107"/>
      <c r="D205" s="107"/>
      <c r="E205" s="548"/>
      <c r="F205" s="549"/>
      <c r="G205" s="549"/>
      <c r="H205" s="550"/>
      <c r="I205" s="540"/>
      <c r="J205" s="541"/>
      <c r="K205" s="541"/>
      <c r="L205" s="542"/>
      <c r="M205" s="540"/>
      <c r="N205" s="541"/>
      <c r="O205" s="541"/>
      <c r="P205" s="542"/>
      <c r="Q205" s="540"/>
      <c r="R205" s="541"/>
      <c r="S205" s="541"/>
      <c r="T205" s="542"/>
      <c r="U205" s="540"/>
      <c r="V205" s="541"/>
      <c r="W205" s="541"/>
      <c r="X205" s="542"/>
      <c r="Y205" s="540"/>
      <c r="Z205" s="541"/>
      <c r="AA205" s="541"/>
      <c r="AB205" s="542"/>
      <c r="AC205" s="540"/>
      <c r="AD205" s="541"/>
      <c r="AE205" s="541"/>
      <c r="AF205" s="542"/>
      <c r="AG205" s="540"/>
      <c r="AH205" s="541"/>
      <c r="AI205" s="541"/>
      <c r="AJ205" s="542"/>
      <c r="AK205" s="540"/>
      <c r="AL205" s="541"/>
      <c r="AM205" s="541"/>
      <c r="AN205" s="542"/>
      <c r="AO205" s="540"/>
      <c r="AP205" s="541"/>
      <c r="AQ205" s="541"/>
      <c r="AR205" s="542"/>
      <c r="AS205" s="540"/>
      <c r="AT205" s="541"/>
      <c r="AU205" s="541"/>
      <c r="AV205" s="542"/>
      <c r="AW205" s="540"/>
      <c r="AX205" s="541"/>
      <c r="AY205" s="541"/>
      <c r="AZ205" s="542"/>
      <c r="BG205" s="93"/>
      <c r="BH205" s="93"/>
      <c r="BI205" s="93"/>
      <c r="BJ205" s="176">
        <v>146</v>
      </c>
      <c r="BK205" s="164">
        <v>0</v>
      </c>
      <c r="BL205" s="165">
        <v>165.53</v>
      </c>
      <c r="BM205" s="165">
        <v>242.35</v>
      </c>
      <c r="BN205" s="165">
        <v>339.86</v>
      </c>
      <c r="BO205" s="165">
        <v>342.57</v>
      </c>
      <c r="BP205" s="165">
        <v>363.22</v>
      </c>
      <c r="BQ205" s="165">
        <v>303.25</v>
      </c>
      <c r="BR205" s="165">
        <v>367.65</v>
      </c>
      <c r="BS205" s="165">
        <v>557.26</v>
      </c>
      <c r="BT205" s="165">
        <v>791.07</v>
      </c>
      <c r="BU205" s="165">
        <v>835.72</v>
      </c>
      <c r="BV205" s="165">
        <v>363.22</v>
      </c>
      <c r="BW205" s="165">
        <v>303.25</v>
      </c>
      <c r="BX205" s="165">
        <v>367.65</v>
      </c>
      <c r="BY205" s="165">
        <v>557.26</v>
      </c>
      <c r="BZ205" s="165">
        <v>791.07</v>
      </c>
      <c r="CA205" s="165">
        <v>835.72</v>
      </c>
      <c r="CB205" s="176"/>
      <c r="CC205" s="126"/>
      <c r="CD205" s="126"/>
      <c r="CE205" s="143"/>
    </row>
    <row r="206" spans="1:83">
      <c r="A206" s="107"/>
      <c r="B206" s="107"/>
      <c r="C206" s="107"/>
      <c r="D206" s="107"/>
      <c r="E206" s="551"/>
      <c r="F206" s="552"/>
      <c r="G206" s="552"/>
      <c r="H206" s="553"/>
      <c r="I206" s="545"/>
      <c r="J206" s="546"/>
      <c r="K206" s="546"/>
      <c r="L206" s="547"/>
      <c r="M206" s="545"/>
      <c r="N206" s="546"/>
      <c r="O206" s="546"/>
      <c r="P206" s="547"/>
      <c r="Q206" s="545"/>
      <c r="R206" s="546"/>
      <c r="S206" s="546"/>
      <c r="T206" s="547"/>
      <c r="U206" s="545"/>
      <c r="V206" s="546"/>
      <c r="W206" s="546"/>
      <c r="X206" s="547"/>
      <c r="Y206" s="545"/>
      <c r="Z206" s="546"/>
      <c r="AA206" s="546"/>
      <c r="AB206" s="547"/>
      <c r="AC206" s="545"/>
      <c r="AD206" s="546"/>
      <c r="AE206" s="546"/>
      <c r="AF206" s="547"/>
      <c r="AG206" s="545"/>
      <c r="AH206" s="546"/>
      <c r="AI206" s="546"/>
      <c r="AJ206" s="547"/>
      <c r="AK206" s="545"/>
      <c r="AL206" s="546"/>
      <c r="AM206" s="546"/>
      <c r="AN206" s="547"/>
      <c r="AO206" s="545"/>
      <c r="AP206" s="546"/>
      <c r="AQ206" s="546"/>
      <c r="AR206" s="547"/>
      <c r="AS206" s="545"/>
      <c r="AT206" s="546"/>
      <c r="AU206" s="546"/>
      <c r="AV206" s="547"/>
      <c r="AW206" s="545"/>
      <c r="AX206" s="546"/>
      <c r="AY206" s="546"/>
      <c r="AZ206" s="547"/>
      <c r="BG206" s="93"/>
      <c r="BH206" s="93"/>
      <c r="BI206" s="93"/>
      <c r="BJ206" s="176">
        <v>147</v>
      </c>
      <c r="BK206" s="164">
        <v>0</v>
      </c>
      <c r="BL206" s="165">
        <v>166.7</v>
      </c>
      <c r="BM206" s="165">
        <v>244.11</v>
      </c>
      <c r="BN206" s="165">
        <v>342.3</v>
      </c>
      <c r="BO206" s="165">
        <v>345.01</v>
      </c>
      <c r="BP206" s="165">
        <v>365.84</v>
      </c>
      <c r="BQ206" s="165">
        <v>305.43</v>
      </c>
      <c r="BR206" s="165">
        <v>370.31</v>
      </c>
      <c r="BS206" s="165">
        <v>561.39</v>
      </c>
      <c r="BT206" s="165">
        <v>796.98</v>
      </c>
      <c r="BU206" s="165">
        <v>841.93</v>
      </c>
      <c r="BV206" s="165">
        <v>365.84</v>
      </c>
      <c r="BW206" s="165">
        <v>305.43</v>
      </c>
      <c r="BX206" s="165">
        <v>370.31</v>
      </c>
      <c r="BY206" s="165">
        <v>561.39</v>
      </c>
      <c r="BZ206" s="165">
        <v>796.98</v>
      </c>
      <c r="CA206" s="165">
        <v>841.93</v>
      </c>
      <c r="CB206" s="176"/>
      <c r="CC206" s="126"/>
      <c r="CD206" s="126"/>
      <c r="CE206" s="143"/>
    </row>
    <row r="207" spans="1:83">
      <c r="A207" s="107"/>
      <c r="B207" s="107"/>
      <c r="C207" s="107"/>
      <c r="D207" s="107"/>
      <c r="E207" s="548"/>
      <c r="F207" s="549"/>
      <c r="G207" s="549"/>
      <c r="H207" s="550"/>
      <c r="I207" s="540"/>
      <c r="J207" s="541"/>
      <c r="K207" s="541"/>
      <c r="L207" s="542"/>
      <c r="M207" s="540"/>
      <c r="N207" s="541"/>
      <c r="O207" s="541"/>
      <c r="P207" s="542"/>
      <c r="Q207" s="540"/>
      <c r="R207" s="541"/>
      <c r="S207" s="541"/>
      <c r="T207" s="542"/>
      <c r="U207" s="540"/>
      <c r="V207" s="541"/>
      <c r="W207" s="541"/>
      <c r="X207" s="542"/>
      <c r="Y207" s="540"/>
      <c r="Z207" s="541"/>
      <c r="AA207" s="541"/>
      <c r="AB207" s="542"/>
      <c r="AC207" s="540"/>
      <c r="AD207" s="541"/>
      <c r="AE207" s="541"/>
      <c r="AF207" s="542"/>
      <c r="AG207" s="540"/>
      <c r="AH207" s="541"/>
      <c r="AI207" s="541"/>
      <c r="AJ207" s="542"/>
      <c r="AK207" s="540"/>
      <c r="AL207" s="541"/>
      <c r="AM207" s="541"/>
      <c r="AN207" s="542"/>
      <c r="AO207" s="540"/>
      <c r="AP207" s="541"/>
      <c r="AQ207" s="541"/>
      <c r="AR207" s="542"/>
      <c r="AS207" s="540"/>
      <c r="AT207" s="541"/>
      <c r="AU207" s="541"/>
      <c r="AV207" s="542"/>
      <c r="AW207" s="540"/>
      <c r="AX207" s="541"/>
      <c r="AY207" s="541"/>
      <c r="AZ207" s="542"/>
      <c r="BG207" s="93"/>
      <c r="BH207" s="93"/>
      <c r="BI207" s="93"/>
      <c r="BJ207" s="176">
        <v>148</v>
      </c>
      <c r="BK207" s="164">
        <v>0</v>
      </c>
      <c r="BL207" s="165">
        <v>167.86</v>
      </c>
      <c r="BM207" s="165">
        <v>245.87</v>
      </c>
      <c r="BN207" s="165">
        <v>344.75</v>
      </c>
      <c r="BO207" s="165">
        <v>347.45</v>
      </c>
      <c r="BP207" s="165">
        <v>368.46</v>
      </c>
      <c r="BQ207" s="165">
        <v>307.60000000000002</v>
      </c>
      <c r="BR207" s="165">
        <v>372.97</v>
      </c>
      <c r="BS207" s="165">
        <v>565.53</v>
      </c>
      <c r="BT207" s="165">
        <v>802.89</v>
      </c>
      <c r="BU207" s="165">
        <v>848.13</v>
      </c>
      <c r="BV207" s="165">
        <v>368.46</v>
      </c>
      <c r="BW207" s="165">
        <v>307.60000000000002</v>
      </c>
      <c r="BX207" s="165">
        <v>372.97</v>
      </c>
      <c r="BY207" s="165">
        <v>565.53</v>
      </c>
      <c r="BZ207" s="165">
        <v>802.89</v>
      </c>
      <c r="CA207" s="165">
        <v>848.13</v>
      </c>
      <c r="CB207" s="176"/>
      <c r="CC207" s="126"/>
      <c r="CD207" s="126"/>
      <c r="CE207" s="143"/>
    </row>
    <row r="208" spans="1:83">
      <c r="A208" s="107"/>
      <c r="B208" s="107"/>
      <c r="C208" s="107"/>
      <c r="D208" s="107"/>
      <c r="E208" s="551"/>
      <c r="F208" s="552"/>
      <c r="G208" s="552"/>
      <c r="H208" s="553"/>
      <c r="I208" s="545"/>
      <c r="J208" s="546"/>
      <c r="K208" s="546"/>
      <c r="L208" s="547"/>
      <c r="M208" s="545"/>
      <c r="N208" s="546"/>
      <c r="O208" s="546"/>
      <c r="P208" s="547"/>
      <c r="Q208" s="545"/>
      <c r="R208" s="546"/>
      <c r="S208" s="546"/>
      <c r="T208" s="547"/>
      <c r="U208" s="545"/>
      <c r="V208" s="546"/>
      <c r="W208" s="546"/>
      <c r="X208" s="547"/>
      <c r="Y208" s="545"/>
      <c r="Z208" s="546"/>
      <c r="AA208" s="546"/>
      <c r="AB208" s="547"/>
      <c r="AC208" s="545"/>
      <c r="AD208" s="546"/>
      <c r="AE208" s="546"/>
      <c r="AF208" s="547"/>
      <c r="AG208" s="545"/>
      <c r="AH208" s="546"/>
      <c r="AI208" s="546"/>
      <c r="AJ208" s="547"/>
      <c r="AK208" s="545"/>
      <c r="AL208" s="546"/>
      <c r="AM208" s="546"/>
      <c r="AN208" s="547"/>
      <c r="AO208" s="545"/>
      <c r="AP208" s="546"/>
      <c r="AQ208" s="546"/>
      <c r="AR208" s="547"/>
      <c r="AS208" s="545"/>
      <c r="AT208" s="546"/>
      <c r="AU208" s="546"/>
      <c r="AV208" s="547"/>
      <c r="AW208" s="545"/>
      <c r="AX208" s="546"/>
      <c r="AY208" s="546"/>
      <c r="AZ208" s="547"/>
      <c r="BG208" s="93"/>
      <c r="BH208" s="93"/>
      <c r="BI208" s="93"/>
      <c r="BJ208" s="176">
        <v>149</v>
      </c>
      <c r="BK208" s="164">
        <v>0</v>
      </c>
      <c r="BL208" s="165">
        <v>169.03</v>
      </c>
      <c r="BM208" s="165">
        <v>247.63</v>
      </c>
      <c r="BN208" s="165">
        <v>347.19</v>
      </c>
      <c r="BO208" s="165">
        <v>349.9</v>
      </c>
      <c r="BP208" s="165">
        <v>371.09</v>
      </c>
      <c r="BQ208" s="165">
        <v>309.77999999999997</v>
      </c>
      <c r="BR208" s="165">
        <v>375.63</v>
      </c>
      <c r="BS208" s="165">
        <v>569.66</v>
      </c>
      <c r="BT208" s="165">
        <v>808.8</v>
      </c>
      <c r="BU208" s="165">
        <v>854.34</v>
      </c>
      <c r="BV208" s="165">
        <v>371.09</v>
      </c>
      <c r="BW208" s="165">
        <v>309.77999999999997</v>
      </c>
      <c r="BX208" s="165">
        <v>375.63</v>
      </c>
      <c r="BY208" s="165">
        <v>569.66</v>
      </c>
      <c r="BZ208" s="165">
        <v>808.8</v>
      </c>
      <c r="CA208" s="165">
        <v>854.34</v>
      </c>
      <c r="CB208" s="176"/>
      <c r="CC208" s="126"/>
      <c r="CD208" s="126"/>
      <c r="CE208" s="143"/>
    </row>
    <row r="209" spans="1:83">
      <c r="A209" s="107"/>
      <c r="B209" s="107"/>
      <c r="C209" s="107"/>
      <c r="D209" s="107"/>
      <c r="E209" s="548"/>
      <c r="F209" s="549"/>
      <c r="G209" s="549"/>
      <c r="H209" s="550"/>
      <c r="I209" s="540"/>
      <c r="J209" s="541"/>
      <c r="K209" s="541"/>
      <c r="L209" s="542"/>
      <c r="M209" s="540"/>
      <c r="N209" s="541"/>
      <c r="O209" s="541"/>
      <c r="P209" s="542"/>
      <c r="Q209" s="540"/>
      <c r="R209" s="541"/>
      <c r="S209" s="541"/>
      <c r="T209" s="542"/>
      <c r="U209" s="540"/>
      <c r="V209" s="541"/>
      <c r="W209" s="541"/>
      <c r="X209" s="542"/>
      <c r="Y209" s="540"/>
      <c r="Z209" s="541"/>
      <c r="AA209" s="541"/>
      <c r="AB209" s="542"/>
      <c r="AC209" s="540"/>
      <c r="AD209" s="541"/>
      <c r="AE209" s="541"/>
      <c r="AF209" s="542"/>
      <c r="AG209" s="540"/>
      <c r="AH209" s="541"/>
      <c r="AI209" s="541"/>
      <c r="AJ209" s="542"/>
      <c r="AK209" s="540"/>
      <c r="AL209" s="541"/>
      <c r="AM209" s="541"/>
      <c r="AN209" s="542"/>
      <c r="AO209" s="540"/>
      <c r="AP209" s="541"/>
      <c r="AQ209" s="541"/>
      <c r="AR209" s="542"/>
      <c r="AS209" s="540"/>
      <c r="AT209" s="541"/>
      <c r="AU209" s="541"/>
      <c r="AV209" s="542"/>
      <c r="AW209" s="540"/>
      <c r="AX209" s="541"/>
      <c r="AY209" s="541"/>
      <c r="AZ209" s="542"/>
      <c r="BG209" s="93"/>
      <c r="BH209" s="93"/>
      <c r="BI209" s="93"/>
      <c r="BJ209" s="176">
        <v>150</v>
      </c>
      <c r="BK209" s="164">
        <v>0</v>
      </c>
      <c r="BL209" s="165">
        <v>170.2</v>
      </c>
      <c r="BM209" s="165">
        <v>249.39</v>
      </c>
      <c r="BN209" s="165">
        <v>349.63</v>
      </c>
      <c r="BO209" s="165">
        <v>352.34</v>
      </c>
      <c r="BP209" s="165">
        <v>373.71</v>
      </c>
      <c r="BQ209" s="165">
        <v>311.95999999999998</v>
      </c>
      <c r="BR209" s="165">
        <v>378.29</v>
      </c>
      <c r="BS209" s="165">
        <v>573.79999999999995</v>
      </c>
      <c r="BT209" s="165">
        <v>814.7</v>
      </c>
      <c r="BU209" s="165">
        <v>860.55</v>
      </c>
      <c r="BV209" s="165">
        <v>373.71</v>
      </c>
      <c r="BW209" s="165">
        <v>311.95999999999998</v>
      </c>
      <c r="BX209" s="165">
        <v>378.29</v>
      </c>
      <c r="BY209" s="165">
        <v>573.79999999999995</v>
      </c>
      <c r="BZ209" s="165">
        <v>814.7</v>
      </c>
      <c r="CA209" s="165">
        <v>860.55</v>
      </c>
      <c r="CB209" s="176"/>
      <c r="CC209" s="126"/>
      <c r="CD209" s="126"/>
      <c r="CE209" s="143"/>
    </row>
    <row r="210" spans="1:83">
      <c r="A210" s="107"/>
      <c r="B210" s="107"/>
      <c r="C210" s="107"/>
      <c r="D210" s="107"/>
      <c r="E210" s="551"/>
      <c r="F210" s="552"/>
      <c r="G210" s="552"/>
      <c r="H210" s="553"/>
      <c r="I210" s="545"/>
      <c r="J210" s="546"/>
      <c r="K210" s="546"/>
      <c r="L210" s="547"/>
      <c r="M210" s="545"/>
      <c r="N210" s="546"/>
      <c r="O210" s="546"/>
      <c r="P210" s="547"/>
      <c r="Q210" s="545"/>
      <c r="R210" s="546"/>
      <c r="S210" s="546"/>
      <c r="T210" s="547"/>
      <c r="U210" s="545"/>
      <c r="V210" s="546"/>
      <c r="W210" s="546"/>
      <c r="X210" s="547"/>
      <c r="Y210" s="545"/>
      <c r="Z210" s="546"/>
      <c r="AA210" s="546"/>
      <c r="AB210" s="547"/>
      <c r="AC210" s="545"/>
      <c r="AD210" s="546"/>
      <c r="AE210" s="546"/>
      <c r="AF210" s="547"/>
      <c r="AG210" s="545"/>
      <c r="AH210" s="546"/>
      <c r="AI210" s="546"/>
      <c r="AJ210" s="547"/>
      <c r="AK210" s="545"/>
      <c r="AL210" s="546"/>
      <c r="AM210" s="546"/>
      <c r="AN210" s="547"/>
      <c r="AO210" s="545"/>
      <c r="AP210" s="546"/>
      <c r="AQ210" s="546"/>
      <c r="AR210" s="547"/>
      <c r="AS210" s="545"/>
      <c r="AT210" s="546"/>
      <c r="AU210" s="546"/>
      <c r="AV210" s="547"/>
      <c r="AW210" s="545"/>
      <c r="AX210" s="546"/>
      <c r="AY210" s="546"/>
      <c r="AZ210" s="547"/>
      <c r="BG210" s="93"/>
      <c r="BH210" s="93"/>
      <c r="BI210" s="93"/>
      <c r="BJ210" s="176">
        <v>151</v>
      </c>
      <c r="BK210" s="164">
        <v>0</v>
      </c>
      <c r="BL210" s="165">
        <v>171.36</v>
      </c>
      <c r="BM210" s="165">
        <v>251.15</v>
      </c>
      <c r="BN210" s="165">
        <v>352.08</v>
      </c>
      <c r="BO210" s="165">
        <v>354.78</v>
      </c>
      <c r="BP210" s="165">
        <v>376.33</v>
      </c>
      <c r="BQ210" s="165">
        <v>314.13</v>
      </c>
      <c r="BR210" s="165">
        <v>380.94</v>
      </c>
      <c r="BS210" s="165">
        <v>577.92999999999995</v>
      </c>
      <c r="BT210" s="165">
        <v>820.61</v>
      </c>
      <c r="BU210" s="165">
        <v>866.75</v>
      </c>
      <c r="BV210" s="165">
        <v>376.33</v>
      </c>
      <c r="BW210" s="165">
        <v>314.13</v>
      </c>
      <c r="BX210" s="165">
        <v>380.94</v>
      </c>
      <c r="BY210" s="165">
        <v>577.92999999999995</v>
      </c>
      <c r="BZ210" s="165">
        <v>820.61</v>
      </c>
      <c r="CA210" s="165">
        <v>866.75</v>
      </c>
      <c r="CB210" s="176"/>
      <c r="CC210" s="126"/>
      <c r="CD210" s="126"/>
      <c r="CE210" s="143"/>
    </row>
    <row r="211" spans="1:83">
      <c r="A211" s="107"/>
      <c r="B211" s="107"/>
      <c r="C211" s="107"/>
      <c r="D211" s="107"/>
      <c r="E211" s="548"/>
      <c r="F211" s="549"/>
      <c r="G211" s="549"/>
      <c r="H211" s="550"/>
      <c r="I211" s="540"/>
      <c r="J211" s="541"/>
      <c r="K211" s="541"/>
      <c r="L211" s="542"/>
      <c r="M211" s="540"/>
      <c r="N211" s="541"/>
      <c r="O211" s="541"/>
      <c r="P211" s="542"/>
      <c r="Q211" s="540"/>
      <c r="R211" s="541"/>
      <c r="S211" s="541"/>
      <c r="T211" s="542"/>
      <c r="U211" s="540"/>
      <c r="V211" s="541"/>
      <c r="W211" s="541"/>
      <c r="X211" s="542"/>
      <c r="Y211" s="540"/>
      <c r="Z211" s="541"/>
      <c r="AA211" s="541"/>
      <c r="AB211" s="542"/>
      <c r="AC211" s="540"/>
      <c r="AD211" s="541"/>
      <c r="AE211" s="541"/>
      <c r="AF211" s="542"/>
      <c r="AG211" s="540"/>
      <c r="AH211" s="541"/>
      <c r="AI211" s="541"/>
      <c r="AJ211" s="542"/>
      <c r="AK211" s="540"/>
      <c r="AL211" s="541"/>
      <c r="AM211" s="541"/>
      <c r="AN211" s="542"/>
      <c r="AO211" s="540"/>
      <c r="AP211" s="541"/>
      <c r="AQ211" s="541"/>
      <c r="AR211" s="542"/>
      <c r="AS211" s="540"/>
      <c r="AT211" s="541"/>
      <c r="AU211" s="541"/>
      <c r="AV211" s="542"/>
      <c r="AW211" s="540"/>
      <c r="AX211" s="541"/>
      <c r="AY211" s="541"/>
      <c r="AZ211" s="542"/>
      <c r="BG211" s="93"/>
      <c r="BH211" s="93"/>
      <c r="BI211" s="93"/>
      <c r="BJ211" s="176">
        <v>152</v>
      </c>
      <c r="BK211" s="164">
        <v>0</v>
      </c>
      <c r="BL211" s="165">
        <v>172.53</v>
      </c>
      <c r="BM211" s="165">
        <v>252.91</v>
      </c>
      <c r="BN211" s="165">
        <v>354.52</v>
      </c>
      <c r="BO211" s="165">
        <v>357.23</v>
      </c>
      <c r="BP211" s="165">
        <v>378.96</v>
      </c>
      <c r="BQ211" s="165">
        <v>316.31</v>
      </c>
      <c r="BR211" s="165">
        <v>383.6</v>
      </c>
      <c r="BS211" s="165">
        <v>582.07000000000005</v>
      </c>
      <c r="BT211" s="165">
        <v>826.52</v>
      </c>
      <c r="BU211" s="165">
        <v>872.96</v>
      </c>
      <c r="BV211" s="165">
        <v>378.96</v>
      </c>
      <c r="BW211" s="165">
        <v>316.31</v>
      </c>
      <c r="BX211" s="165">
        <v>383.6</v>
      </c>
      <c r="BY211" s="165">
        <v>582.07000000000005</v>
      </c>
      <c r="BZ211" s="165">
        <v>826.52</v>
      </c>
      <c r="CA211" s="165">
        <v>872.96</v>
      </c>
      <c r="CB211" s="176"/>
      <c r="CC211" s="126"/>
      <c r="CD211" s="126"/>
      <c r="CE211" s="143"/>
    </row>
    <row r="212" spans="1:83">
      <c r="A212" s="107"/>
      <c r="B212" s="107"/>
      <c r="C212" s="107"/>
      <c r="D212" s="107"/>
      <c r="E212" s="551"/>
      <c r="F212" s="552"/>
      <c r="G212" s="552"/>
      <c r="H212" s="553"/>
      <c r="I212" s="545"/>
      <c r="J212" s="546"/>
      <c r="K212" s="546"/>
      <c r="L212" s="547"/>
      <c r="M212" s="545"/>
      <c r="N212" s="546"/>
      <c r="O212" s="546"/>
      <c r="P212" s="547"/>
      <c r="Q212" s="545"/>
      <c r="R212" s="546"/>
      <c r="S212" s="546"/>
      <c r="T212" s="547"/>
      <c r="U212" s="545"/>
      <c r="V212" s="546"/>
      <c r="W212" s="546"/>
      <c r="X212" s="547"/>
      <c r="Y212" s="545"/>
      <c r="Z212" s="546"/>
      <c r="AA212" s="546"/>
      <c r="AB212" s="547"/>
      <c r="AC212" s="545"/>
      <c r="AD212" s="546"/>
      <c r="AE212" s="546"/>
      <c r="AF212" s="547"/>
      <c r="AG212" s="545"/>
      <c r="AH212" s="546"/>
      <c r="AI212" s="546"/>
      <c r="AJ212" s="547"/>
      <c r="AK212" s="545"/>
      <c r="AL212" s="546"/>
      <c r="AM212" s="546"/>
      <c r="AN212" s="547"/>
      <c r="AO212" s="545"/>
      <c r="AP212" s="546"/>
      <c r="AQ212" s="546"/>
      <c r="AR212" s="547"/>
      <c r="AS212" s="545"/>
      <c r="AT212" s="546"/>
      <c r="AU212" s="546"/>
      <c r="AV212" s="547"/>
      <c r="AW212" s="545"/>
      <c r="AX212" s="546"/>
      <c r="AY212" s="546"/>
      <c r="AZ212" s="547"/>
      <c r="BG212" s="93"/>
      <c r="BH212" s="93"/>
      <c r="BI212" s="93"/>
      <c r="BJ212" s="176">
        <v>153</v>
      </c>
      <c r="BK212" s="164">
        <v>0</v>
      </c>
      <c r="BL212" s="165">
        <v>173.7</v>
      </c>
      <c r="BM212" s="165">
        <v>254.67</v>
      </c>
      <c r="BN212" s="165">
        <v>356.96</v>
      </c>
      <c r="BO212" s="165">
        <v>359.67</v>
      </c>
      <c r="BP212" s="165">
        <v>381.58</v>
      </c>
      <c r="BQ212" s="165">
        <v>318.49</v>
      </c>
      <c r="BR212" s="165">
        <v>386.26</v>
      </c>
      <c r="BS212" s="165">
        <v>586.20000000000005</v>
      </c>
      <c r="BT212" s="165">
        <v>832.43</v>
      </c>
      <c r="BU212" s="165">
        <v>879.17</v>
      </c>
      <c r="BV212" s="165">
        <v>381.58</v>
      </c>
      <c r="BW212" s="165">
        <v>318.49</v>
      </c>
      <c r="BX212" s="165">
        <v>386.26</v>
      </c>
      <c r="BY212" s="165">
        <v>586.20000000000005</v>
      </c>
      <c r="BZ212" s="165">
        <v>832.43</v>
      </c>
      <c r="CA212" s="165">
        <v>879.17</v>
      </c>
      <c r="CB212" s="176"/>
      <c r="CC212" s="126"/>
      <c r="CD212" s="126"/>
      <c r="CE212" s="143"/>
    </row>
    <row r="213" spans="1:83">
      <c r="A213" s="107"/>
      <c r="B213" s="107"/>
      <c r="C213" s="107"/>
      <c r="D213" s="107"/>
      <c r="E213" s="548"/>
      <c r="F213" s="549"/>
      <c r="G213" s="549"/>
      <c r="H213" s="550"/>
      <c r="I213" s="540"/>
      <c r="J213" s="541"/>
      <c r="K213" s="541"/>
      <c r="L213" s="542"/>
      <c r="M213" s="540"/>
      <c r="N213" s="541"/>
      <c r="O213" s="541"/>
      <c r="P213" s="542"/>
      <c r="Q213" s="540"/>
      <c r="R213" s="541"/>
      <c r="S213" s="541"/>
      <c r="T213" s="542"/>
      <c r="U213" s="540"/>
      <c r="V213" s="541"/>
      <c r="W213" s="541"/>
      <c r="X213" s="542"/>
      <c r="Y213" s="540"/>
      <c r="Z213" s="541"/>
      <c r="AA213" s="541"/>
      <c r="AB213" s="542"/>
      <c r="AC213" s="540"/>
      <c r="AD213" s="541"/>
      <c r="AE213" s="541"/>
      <c r="AF213" s="542"/>
      <c r="AG213" s="540"/>
      <c r="AH213" s="541"/>
      <c r="AI213" s="541"/>
      <c r="AJ213" s="542"/>
      <c r="AK213" s="540"/>
      <c r="AL213" s="541"/>
      <c r="AM213" s="541"/>
      <c r="AN213" s="542"/>
      <c r="AO213" s="540"/>
      <c r="AP213" s="541"/>
      <c r="AQ213" s="541"/>
      <c r="AR213" s="542"/>
      <c r="AS213" s="540"/>
      <c r="AT213" s="541"/>
      <c r="AU213" s="541"/>
      <c r="AV213" s="542"/>
      <c r="AW213" s="540"/>
      <c r="AX213" s="541"/>
      <c r="AY213" s="541"/>
      <c r="AZ213" s="542"/>
      <c r="BG213" s="93"/>
      <c r="BH213" s="93"/>
      <c r="BI213" s="93"/>
      <c r="BJ213" s="176">
        <v>154</v>
      </c>
      <c r="BK213" s="164">
        <v>0</v>
      </c>
      <c r="BL213" s="165">
        <v>174.86</v>
      </c>
      <c r="BM213" s="165">
        <v>256.43</v>
      </c>
      <c r="BN213" s="165">
        <v>359.4</v>
      </c>
      <c r="BO213" s="165">
        <v>362.11</v>
      </c>
      <c r="BP213" s="165">
        <v>384.2</v>
      </c>
      <c r="BQ213" s="165">
        <v>320.66000000000003</v>
      </c>
      <c r="BR213" s="165">
        <v>388.92</v>
      </c>
      <c r="BS213" s="165">
        <v>590.34</v>
      </c>
      <c r="BT213" s="165">
        <v>838.34</v>
      </c>
      <c r="BU213" s="165">
        <v>885.37</v>
      </c>
      <c r="BV213" s="165">
        <v>384.2</v>
      </c>
      <c r="BW213" s="165">
        <v>320.66000000000003</v>
      </c>
      <c r="BX213" s="165">
        <v>388.92</v>
      </c>
      <c r="BY213" s="165">
        <v>590.34</v>
      </c>
      <c r="BZ213" s="165">
        <v>838.34</v>
      </c>
      <c r="CA213" s="165">
        <v>885.37</v>
      </c>
      <c r="CB213" s="176"/>
      <c r="CC213" s="126"/>
      <c r="CD213" s="126"/>
      <c r="CE213" s="143"/>
    </row>
    <row r="214" spans="1:83">
      <c r="A214" s="107"/>
      <c r="B214" s="107"/>
      <c r="C214" s="107"/>
      <c r="D214" s="107"/>
      <c r="E214" s="551"/>
      <c r="F214" s="552"/>
      <c r="G214" s="552"/>
      <c r="H214" s="553"/>
      <c r="I214" s="545"/>
      <c r="J214" s="546"/>
      <c r="K214" s="546"/>
      <c r="L214" s="547"/>
      <c r="M214" s="545"/>
      <c r="N214" s="546"/>
      <c r="O214" s="546"/>
      <c r="P214" s="547"/>
      <c r="Q214" s="545"/>
      <c r="R214" s="546"/>
      <c r="S214" s="546"/>
      <c r="T214" s="547"/>
      <c r="U214" s="545"/>
      <c r="V214" s="546"/>
      <c r="W214" s="546"/>
      <c r="X214" s="547"/>
      <c r="Y214" s="545"/>
      <c r="Z214" s="546"/>
      <c r="AA214" s="546"/>
      <c r="AB214" s="547"/>
      <c r="AC214" s="545"/>
      <c r="AD214" s="546"/>
      <c r="AE214" s="546"/>
      <c r="AF214" s="547"/>
      <c r="AG214" s="545"/>
      <c r="AH214" s="546"/>
      <c r="AI214" s="546"/>
      <c r="AJ214" s="547"/>
      <c r="AK214" s="545"/>
      <c r="AL214" s="546"/>
      <c r="AM214" s="546"/>
      <c r="AN214" s="547"/>
      <c r="AO214" s="545"/>
      <c r="AP214" s="546"/>
      <c r="AQ214" s="546"/>
      <c r="AR214" s="547"/>
      <c r="AS214" s="545"/>
      <c r="AT214" s="546"/>
      <c r="AU214" s="546"/>
      <c r="AV214" s="547"/>
      <c r="AW214" s="545"/>
      <c r="AX214" s="546"/>
      <c r="AY214" s="546"/>
      <c r="AZ214" s="547"/>
      <c r="BG214" s="93"/>
      <c r="BH214" s="93"/>
      <c r="BI214" s="93"/>
      <c r="BJ214" s="176">
        <v>155</v>
      </c>
      <c r="BK214" s="164">
        <v>0</v>
      </c>
      <c r="BL214" s="165">
        <v>176.03</v>
      </c>
      <c r="BM214" s="165">
        <v>258.18</v>
      </c>
      <c r="BN214" s="165">
        <v>361.85</v>
      </c>
      <c r="BO214" s="165">
        <v>364.56</v>
      </c>
      <c r="BP214" s="165">
        <v>386.83</v>
      </c>
      <c r="BQ214" s="165">
        <v>322.83999999999997</v>
      </c>
      <c r="BR214" s="165">
        <v>391.58</v>
      </c>
      <c r="BS214" s="165">
        <v>594.47</v>
      </c>
      <c r="BT214" s="165">
        <v>844.25</v>
      </c>
      <c r="BU214" s="165">
        <v>891.58</v>
      </c>
      <c r="BV214" s="165">
        <v>386.83</v>
      </c>
      <c r="BW214" s="165">
        <v>322.83999999999997</v>
      </c>
      <c r="BX214" s="165">
        <v>391.58</v>
      </c>
      <c r="BY214" s="165">
        <v>594.47</v>
      </c>
      <c r="BZ214" s="165">
        <v>844.25</v>
      </c>
      <c r="CA214" s="165">
        <v>891.58</v>
      </c>
      <c r="CB214" s="176"/>
      <c r="CC214" s="126"/>
      <c r="CD214" s="126"/>
      <c r="CE214" s="143"/>
    </row>
    <row r="215" spans="1:83">
      <c r="A215" s="107"/>
      <c r="B215" s="107"/>
      <c r="C215" s="107"/>
      <c r="D215" s="107"/>
      <c r="E215" s="548"/>
      <c r="F215" s="549"/>
      <c r="G215" s="549"/>
      <c r="H215" s="550"/>
      <c r="I215" s="540"/>
      <c r="J215" s="541"/>
      <c r="K215" s="541"/>
      <c r="L215" s="542"/>
      <c r="M215" s="540"/>
      <c r="N215" s="541"/>
      <c r="O215" s="541"/>
      <c r="P215" s="542"/>
      <c r="Q215" s="540"/>
      <c r="R215" s="541"/>
      <c r="S215" s="541"/>
      <c r="T215" s="542"/>
      <c r="U215" s="540"/>
      <c r="V215" s="541"/>
      <c r="W215" s="541"/>
      <c r="X215" s="542"/>
      <c r="Y215" s="540"/>
      <c r="Z215" s="541"/>
      <c r="AA215" s="541"/>
      <c r="AB215" s="542"/>
      <c r="AC215" s="540"/>
      <c r="AD215" s="541"/>
      <c r="AE215" s="541"/>
      <c r="AF215" s="542"/>
      <c r="AG215" s="540"/>
      <c r="AH215" s="541"/>
      <c r="AI215" s="541"/>
      <c r="AJ215" s="542"/>
      <c r="AK215" s="540"/>
      <c r="AL215" s="541"/>
      <c r="AM215" s="541"/>
      <c r="AN215" s="542"/>
      <c r="AO215" s="540"/>
      <c r="AP215" s="541"/>
      <c r="AQ215" s="541"/>
      <c r="AR215" s="542"/>
      <c r="AS215" s="540"/>
      <c r="AT215" s="541"/>
      <c r="AU215" s="541"/>
      <c r="AV215" s="542"/>
      <c r="AW215" s="540"/>
      <c r="AX215" s="541"/>
      <c r="AY215" s="541"/>
      <c r="AZ215" s="542"/>
      <c r="BG215" s="93"/>
      <c r="BH215" s="93"/>
      <c r="BI215" s="93"/>
      <c r="BJ215" s="176">
        <v>156</v>
      </c>
      <c r="BK215" s="164">
        <v>0</v>
      </c>
      <c r="BL215" s="165">
        <v>177.19</v>
      </c>
      <c r="BM215" s="165">
        <v>259.94</v>
      </c>
      <c r="BN215" s="165">
        <v>364.29</v>
      </c>
      <c r="BO215" s="165">
        <v>367</v>
      </c>
      <c r="BP215" s="165">
        <v>389.45</v>
      </c>
      <c r="BQ215" s="165">
        <v>325.02</v>
      </c>
      <c r="BR215" s="165">
        <v>394.24</v>
      </c>
      <c r="BS215" s="165">
        <v>598.61</v>
      </c>
      <c r="BT215" s="165">
        <v>850.16</v>
      </c>
      <c r="BU215" s="165">
        <v>897.78</v>
      </c>
      <c r="BV215" s="165">
        <v>389.45</v>
      </c>
      <c r="BW215" s="165">
        <v>325.02</v>
      </c>
      <c r="BX215" s="165">
        <v>394.24</v>
      </c>
      <c r="BY215" s="165">
        <v>598.61</v>
      </c>
      <c r="BZ215" s="165">
        <v>850.16</v>
      </c>
      <c r="CA215" s="165">
        <v>897.78</v>
      </c>
      <c r="CB215" s="176"/>
      <c r="CC215" s="126"/>
      <c r="CD215" s="126"/>
      <c r="CE215" s="143"/>
    </row>
    <row r="216" spans="1:83">
      <c r="A216" s="107"/>
      <c r="B216" s="107"/>
      <c r="C216" s="107"/>
      <c r="D216" s="107"/>
      <c r="E216" s="551"/>
      <c r="F216" s="552"/>
      <c r="G216" s="552"/>
      <c r="H216" s="553"/>
      <c r="I216" s="545"/>
      <c r="J216" s="546"/>
      <c r="K216" s="546"/>
      <c r="L216" s="547"/>
      <c r="M216" s="545"/>
      <c r="N216" s="546"/>
      <c r="O216" s="546"/>
      <c r="P216" s="547"/>
      <c r="Q216" s="545"/>
      <c r="R216" s="546"/>
      <c r="S216" s="546"/>
      <c r="T216" s="547"/>
      <c r="U216" s="545"/>
      <c r="V216" s="546"/>
      <c r="W216" s="546"/>
      <c r="X216" s="547"/>
      <c r="Y216" s="545"/>
      <c r="Z216" s="546"/>
      <c r="AA216" s="546"/>
      <c r="AB216" s="547"/>
      <c r="AC216" s="545"/>
      <c r="AD216" s="546"/>
      <c r="AE216" s="546"/>
      <c r="AF216" s="547"/>
      <c r="AG216" s="545"/>
      <c r="AH216" s="546"/>
      <c r="AI216" s="546"/>
      <c r="AJ216" s="547"/>
      <c r="AK216" s="545"/>
      <c r="AL216" s="546"/>
      <c r="AM216" s="546"/>
      <c r="AN216" s="547"/>
      <c r="AO216" s="545"/>
      <c r="AP216" s="546"/>
      <c r="AQ216" s="546"/>
      <c r="AR216" s="547"/>
      <c r="AS216" s="545"/>
      <c r="AT216" s="546"/>
      <c r="AU216" s="546"/>
      <c r="AV216" s="547"/>
      <c r="AW216" s="545"/>
      <c r="AX216" s="546"/>
      <c r="AY216" s="546"/>
      <c r="AZ216" s="547"/>
      <c r="BG216" s="93"/>
      <c r="BH216" s="93"/>
      <c r="BI216" s="93"/>
      <c r="BJ216" s="176">
        <v>157</v>
      </c>
      <c r="BK216" s="164">
        <v>0</v>
      </c>
      <c r="BL216" s="165">
        <v>178.36</v>
      </c>
      <c r="BM216" s="165">
        <v>261.7</v>
      </c>
      <c r="BN216" s="165">
        <v>366.73</v>
      </c>
      <c r="BO216" s="165">
        <v>369.44</v>
      </c>
      <c r="BP216" s="165">
        <v>392.07</v>
      </c>
      <c r="BQ216" s="165">
        <v>327.19</v>
      </c>
      <c r="BR216" s="165">
        <v>396.9</v>
      </c>
      <c r="BS216" s="165">
        <v>602.74</v>
      </c>
      <c r="BT216" s="165">
        <v>856.07</v>
      </c>
      <c r="BU216" s="165">
        <v>903.99</v>
      </c>
      <c r="BV216" s="165">
        <v>392.07</v>
      </c>
      <c r="BW216" s="165">
        <v>327.19</v>
      </c>
      <c r="BX216" s="165">
        <v>396.9</v>
      </c>
      <c r="BY216" s="165">
        <v>602.74</v>
      </c>
      <c r="BZ216" s="165">
        <v>856.07</v>
      </c>
      <c r="CA216" s="165">
        <v>903.99</v>
      </c>
      <c r="CB216" s="176"/>
      <c r="CC216" s="126"/>
      <c r="CD216" s="126"/>
      <c r="CE216" s="143"/>
    </row>
    <row r="217" spans="1:83">
      <c r="A217" s="107"/>
      <c r="B217" s="107"/>
      <c r="C217" s="107"/>
      <c r="D217" s="107"/>
      <c r="E217" s="548"/>
      <c r="F217" s="549"/>
      <c r="G217" s="549"/>
      <c r="H217" s="550"/>
      <c r="I217" s="540"/>
      <c r="J217" s="541"/>
      <c r="K217" s="541"/>
      <c r="L217" s="542"/>
      <c r="M217" s="540"/>
      <c r="N217" s="541"/>
      <c r="O217" s="541"/>
      <c r="P217" s="542"/>
      <c r="Q217" s="540"/>
      <c r="R217" s="541"/>
      <c r="S217" s="541"/>
      <c r="T217" s="542"/>
      <c r="U217" s="540"/>
      <c r="V217" s="541"/>
      <c r="W217" s="541"/>
      <c r="X217" s="542"/>
      <c r="Y217" s="540"/>
      <c r="Z217" s="541"/>
      <c r="AA217" s="541"/>
      <c r="AB217" s="542"/>
      <c r="AC217" s="540"/>
      <c r="AD217" s="541"/>
      <c r="AE217" s="541"/>
      <c r="AF217" s="542"/>
      <c r="AG217" s="540"/>
      <c r="AH217" s="541"/>
      <c r="AI217" s="541"/>
      <c r="AJ217" s="542"/>
      <c r="AK217" s="540"/>
      <c r="AL217" s="541"/>
      <c r="AM217" s="541"/>
      <c r="AN217" s="542"/>
      <c r="AO217" s="540"/>
      <c r="AP217" s="541"/>
      <c r="AQ217" s="541"/>
      <c r="AR217" s="542"/>
      <c r="AS217" s="540"/>
      <c r="AT217" s="541"/>
      <c r="AU217" s="541"/>
      <c r="AV217" s="542"/>
      <c r="AW217" s="540"/>
      <c r="AX217" s="541"/>
      <c r="AY217" s="541"/>
      <c r="AZ217" s="542"/>
      <c r="BG217" s="93"/>
      <c r="BH217" s="93"/>
      <c r="BI217" s="93"/>
      <c r="BJ217" s="176">
        <v>158</v>
      </c>
      <c r="BK217" s="164">
        <v>0</v>
      </c>
      <c r="BL217" s="165">
        <v>179.53</v>
      </c>
      <c r="BM217" s="165">
        <v>263.45999999999998</v>
      </c>
      <c r="BN217" s="165">
        <v>369.18</v>
      </c>
      <c r="BO217" s="165">
        <v>371.88</v>
      </c>
      <c r="BP217" s="165">
        <v>394.7</v>
      </c>
      <c r="BQ217" s="165">
        <v>329.37</v>
      </c>
      <c r="BR217" s="165">
        <v>399.56</v>
      </c>
      <c r="BS217" s="165">
        <v>606.88</v>
      </c>
      <c r="BT217" s="165">
        <v>861.97</v>
      </c>
      <c r="BU217" s="165">
        <v>910.2</v>
      </c>
      <c r="BV217" s="165">
        <v>394.7</v>
      </c>
      <c r="BW217" s="165">
        <v>329.37</v>
      </c>
      <c r="BX217" s="165">
        <v>399.56</v>
      </c>
      <c r="BY217" s="165">
        <v>606.88</v>
      </c>
      <c r="BZ217" s="165">
        <v>861.97</v>
      </c>
      <c r="CA217" s="165">
        <v>910.2</v>
      </c>
      <c r="CB217" s="176"/>
      <c r="CC217" s="126"/>
      <c r="CD217" s="126"/>
      <c r="CE217" s="143"/>
    </row>
    <row r="218" spans="1:83">
      <c r="A218" s="107"/>
      <c r="B218" s="107"/>
      <c r="C218" s="107"/>
      <c r="D218" s="107"/>
      <c r="E218" s="551"/>
      <c r="F218" s="552"/>
      <c r="G218" s="552"/>
      <c r="H218" s="553"/>
      <c r="I218" s="545"/>
      <c r="J218" s="546"/>
      <c r="K218" s="546"/>
      <c r="L218" s="547"/>
      <c r="M218" s="545"/>
      <c r="N218" s="546"/>
      <c r="O218" s="546"/>
      <c r="P218" s="547"/>
      <c r="Q218" s="545"/>
      <c r="R218" s="546"/>
      <c r="S218" s="546"/>
      <c r="T218" s="547"/>
      <c r="U218" s="545"/>
      <c r="V218" s="546"/>
      <c r="W218" s="546"/>
      <c r="X218" s="547"/>
      <c r="Y218" s="545"/>
      <c r="Z218" s="546"/>
      <c r="AA218" s="546"/>
      <c r="AB218" s="547"/>
      <c r="AC218" s="545"/>
      <c r="AD218" s="546"/>
      <c r="AE218" s="546"/>
      <c r="AF218" s="547"/>
      <c r="AG218" s="545"/>
      <c r="AH218" s="546"/>
      <c r="AI218" s="546"/>
      <c r="AJ218" s="547"/>
      <c r="AK218" s="545"/>
      <c r="AL218" s="546"/>
      <c r="AM218" s="546"/>
      <c r="AN218" s="547"/>
      <c r="AO218" s="545"/>
      <c r="AP218" s="546"/>
      <c r="AQ218" s="546"/>
      <c r="AR218" s="547"/>
      <c r="AS218" s="545"/>
      <c r="AT218" s="546"/>
      <c r="AU218" s="546"/>
      <c r="AV218" s="547"/>
      <c r="AW218" s="545"/>
      <c r="AX218" s="546"/>
      <c r="AY218" s="546"/>
      <c r="AZ218" s="547"/>
      <c r="BG218" s="93"/>
      <c r="BH218" s="93"/>
      <c r="BI218" s="93"/>
      <c r="BJ218" s="176">
        <v>159</v>
      </c>
      <c r="BK218" s="164">
        <v>0</v>
      </c>
      <c r="BL218" s="165">
        <v>180.69</v>
      </c>
      <c r="BM218" s="165">
        <v>265.22000000000003</v>
      </c>
      <c r="BN218" s="165">
        <v>371.62</v>
      </c>
      <c r="BO218" s="165">
        <v>374.33</v>
      </c>
      <c r="BP218" s="165">
        <v>397.32</v>
      </c>
      <c r="BQ218" s="165">
        <v>331.55</v>
      </c>
      <c r="BR218" s="165">
        <v>402.22</v>
      </c>
      <c r="BS218" s="165">
        <v>611.01</v>
      </c>
      <c r="BT218" s="165">
        <v>867.88</v>
      </c>
      <c r="BU218" s="165">
        <v>916.4</v>
      </c>
      <c r="BV218" s="165">
        <v>397.32</v>
      </c>
      <c r="BW218" s="165">
        <v>331.55</v>
      </c>
      <c r="BX218" s="165">
        <v>402.22</v>
      </c>
      <c r="BY218" s="165">
        <v>611.01</v>
      </c>
      <c r="BZ218" s="165">
        <v>867.88</v>
      </c>
      <c r="CA218" s="165">
        <v>916.4</v>
      </c>
      <c r="CB218" s="176"/>
      <c r="CC218" s="126"/>
      <c r="CD218" s="126"/>
      <c r="CE218" s="143"/>
    </row>
    <row r="219" spans="1:83">
      <c r="A219" s="107"/>
      <c r="B219" s="107"/>
      <c r="C219" s="107"/>
      <c r="D219" s="107"/>
      <c r="E219" s="548"/>
      <c r="F219" s="549"/>
      <c r="G219" s="549"/>
      <c r="H219" s="550"/>
      <c r="I219" s="540"/>
      <c r="J219" s="541"/>
      <c r="K219" s="541"/>
      <c r="L219" s="542"/>
      <c r="M219" s="540"/>
      <c r="N219" s="541"/>
      <c r="O219" s="541"/>
      <c r="P219" s="542"/>
      <c r="Q219" s="540"/>
      <c r="R219" s="541"/>
      <c r="S219" s="541"/>
      <c r="T219" s="542"/>
      <c r="U219" s="540"/>
      <c r="V219" s="541"/>
      <c r="W219" s="541"/>
      <c r="X219" s="542"/>
      <c r="Y219" s="540"/>
      <c r="Z219" s="541"/>
      <c r="AA219" s="541"/>
      <c r="AB219" s="542"/>
      <c r="AC219" s="540"/>
      <c r="AD219" s="541"/>
      <c r="AE219" s="541"/>
      <c r="AF219" s="542"/>
      <c r="AG219" s="540"/>
      <c r="AH219" s="541"/>
      <c r="AI219" s="541"/>
      <c r="AJ219" s="542"/>
      <c r="AK219" s="540"/>
      <c r="AL219" s="541"/>
      <c r="AM219" s="541"/>
      <c r="AN219" s="542"/>
      <c r="AO219" s="540"/>
      <c r="AP219" s="541"/>
      <c r="AQ219" s="541"/>
      <c r="AR219" s="542"/>
      <c r="AS219" s="540"/>
      <c r="AT219" s="541"/>
      <c r="AU219" s="541"/>
      <c r="AV219" s="542"/>
      <c r="AW219" s="540"/>
      <c r="AX219" s="541"/>
      <c r="AY219" s="541"/>
      <c r="AZ219" s="542"/>
      <c r="BG219" s="93"/>
      <c r="BH219" s="93"/>
      <c r="BI219" s="93"/>
      <c r="BJ219" s="176">
        <v>160</v>
      </c>
      <c r="BK219" s="164">
        <v>0</v>
      </c>
      <c r="BL219" s="165">
        <v>181.86</v>
      </c>
      <c r="BM219" s="165">
        <v>266.98</v>
      </c>
      <c r="BN219" s="165">
        <v>374.06</v>
      </c>
      <c r="BO219" s="165">
        <v>376.77</v>
      </c>
      <c r="BP219" s="165">
        <v>399.94</v>
      </c>
      <c r="BQ219" s="165">
        <v>333.72</v>
      </c>
      <c r="BR219" s="165">
        <v>404.88</v>
      </c>
      <c r="BS219" s="165">
        <v>615.15</v>
      </c>
      <c r="BT219" s="165">
        <v>873.79</v>
      </c>
      <c r="BU219" s="165">
        <v>922.61</v>
      </c>
      <c r="BV219" s="165">
        <v>399.94</v>
      </c>
      <c r="BW219" s="165">
        <v>333.72</v>
      </c>
      <c r="BX219" s="165">
        <v>404.88</v>
      </c>
      <c r="BY219" s="165">
        <v>615.15</v>
      </c>
      <c r="BZ219" s="165">
        <v>873.79</v>
      </c>
      <c r="CA219" s="165">
        <v>922.61</v>
      </c>
      <c r="CB219" s="176"/>
      <c r="CC219" s="126"/>
      <c r="CD219" s="126"/>
      <c r="CE219" s="143"/>
    </row>
    <row r="220" spans="1:83">
      <c r="A220" s="107"/>
      <c r="B220" s="107"/>
      <c r="C220" s="107"/>
      <c r="D220" s="107"/>
      <c r="E220" s="551"/>
      <c r="F220" s="552"/>
      <c r="G220" s="552"/>
      <c r="H220" s="553"/>
      <c r="I220" s="545"/>
      <c r="J220" s="546"/>
      <c r="K220" s="546"/>
      <c r="L220" s="547"/>
      <c r="M220" s="545"/>
      <c r="N220" s="546"/>
      <c r="O220" s="546"/>
      <c r="P220" s="547"/>
      <c r="Q220" s="545"/>
      <c r="R220" s="546"/>
      <c r="S220" s="546"/>
      <c r="T220" s="547"/>
      <c r="U220" s="545"/>
      <c r="V220" s="546"/>
      <c r="W220" s="546"/>
      <c r="X220" s="547"/>
      <c r="Y220" s="545"/>
      <c r="Z220" s="546"/>
      <c r="AA220" s="546"/>
      <c r="AB220" s="547"/>
      <c r="AC220" s="545"/>
      <c r="AD220" s="546"/>
      <c r="AE220" s="546"/>
      <c r="AF220" s="547"/>
      <c r="AG220" s="545"/>
      <c r="AH220" s="546"/>
      <c r="AI220" s="546"/>
      <c r="AJ220" s="547"/>
      <c r="AK220" s="545"/>
      <c r="AL220" s="546"/>
      <c r="AM220" s="546"/>
      <c r="AN220" s="547"/>
      <c r="AO220" s="545"/>
      <c r="AP220" s="546"/>
      <c r="AQ220" s="546"/>
      <c r="AR220" s="547"/>
      <c r="AS220" s="545"/>
      <c r="AT220" s="546"/>
      <c r="AU220" s="546"/>
      <c r="AV220" s="547"/>
      <c r="AW220" s="545"/>
      <c r="AX220" s="546"/>
      <c r="AY220" s="546"/>
      <c r="AZ220" s="547"/>
      <c r="BG220" s="93"/>
      <c r="BH220" s="93"/>
      <c r="BI220" s="93"/>
      <c r="BJ220" s="176">
        <v>161</v>
      </c>
      <c r="BK220" s="164">
        <v>0</v>
      </c>
      <c r="BL220" s="165">
        <v>183.03</v>
      </c>
      <c r="BM220" s="165">
        <v>268.74</v>
      </c>
      <c r="BN220" s="165">
        <v>376.51</v>
      </c>
      <c r="BO220" s="165">
        <v>379.21</v>
      </c>
      <c r="BP220" s="165">
        <v>402.57</v>
      </c>
      <c r="BQ220" s="165">
        <v>335.9</v>
      </c>
      <c r="BR220" s="165">
        <v>407.54</v>
      </c>
      <c r="BS220" s="165">
        <v>619.28</v>
      </c>
      <c r="BT220" s="165">
        <v>879.7</v>
      </c>
      <c r="BU220" s="165">
        <v>928.82</v>
      </c>
      <c r="BV220" s="165">
        <v>402.57</v>
      </c>
      <c r="BW220" s="165">
        <v>335.9</v>
      </c>
      <c r="BX220" s="165">
        <v>407.54</v>
      </c>
      <c r="BY220" s="165">
        <v>619.28</v>
      </c>
      <c r="BZ220" s="165">
        <v>879.7</v>
      </c>
      <c r="CA220" s="165">
        <v>928.82</v>
      </c>
      <c r="CB220" s="176"/>
      <c r="CC220" s="126"/>
      <c r="CD220" s="126"/>
      <c r="CE220" s="143"/>
    </row>
    <row r="221" spans="1:83">
      <c r="A221" s="107"/>
      <c r="B221" s="107"/>
      <c r="C221" s="107"/>
      <c r="D221" s="107"/>
      <c r="E221" s="548"/>
      <c r="F221" s="549"/>
      <c r="G221" s="549"/>
      <c r="H221" s="550"/>
      <c r="I221" s="540"/>
      <c r="J221" s="541"/>
      <c r="K221" s="541"/>
      <c r="L221" s="542"/>
      <c r="M221" s="540"/>
      <c r="N221" s="541"/>
      <c r="O221" s="541"/>
      <c r="P221" s="542"/>
      <c r="Q221" s="540"/>
      <c r="R221" s="541"/>
      <c r="S221" s="541"/>
      <c r="T221" s="542"/>
      <c r="U221" s="540"/>
      <c r="V221" s="541"/>
      <c r="W221" s="541"/>
      <c r="X221" s="542"/>
      <c r="Y221" s="540"/>
      <c r="Z221" s="541"/>
      <c r="AA221" s="541"/>
      <c r="AB221" s="542"/>
      <c r="AC221" s="540"/>
      <c r="AD221" s="541"/>
      <c r="AE221" s="541"/>
      <c r="AF221" s="542"/>
      <c r="AG221" s="540"/>
      <c r="AH221" s="541"/>
      <c r="AI221" s="541"/>
      <c r="AJ221" s="542"/>
      <c r="AK221" s="540"/>
      <c r="AL221" s="541"/>
      <c r="AM221" s="541"/>
      <c r="AN221" s="542"/>
      <c r="AO221" s="540"/>
      <c r="AP221" s="541"/>
      <c r="AQ221" s="541"/>
      <c r="AR221" s="542"/>
      <c r="AS221" s="540"/>
      <c r="AT221" s="541"/>
      <c r="AU221" s="541"/>
      <c r="AV221" s="542"/>
      <c r="AW221" s="540"/>
      <c r="AX221" s="541"/>
      <c r="AY221" s="541"/>
      <c r="AZ221" s="542"/>
      <c r="BG221" s="93"/>
      <c r="BH221" s="93"/>
      <c r="BI221" s="93"/>
      <c r="BJ221" s="176">
        <v>162</v>
      </c>
      <c r="BK221" s="164">
        <v>0</v>
      </c>
      <c r="BL221" s="165">
        <v>184.19</v>
      </c>
      <c r="BM221" s="165">
        <v>270.5</v>
      </c>
      <c r="BN221" s="165">
        <v>378.95</v>
      </c>
      <c r="BO221" s="165">
        <v>381.66</v>
      </c>
      <c r="BP221" s="165">
        <v>405.19</v>
      </c>
      <c r="BQ221" s="165">
        <v>338.08</v>
      </c>
      <c r="BR221" s="165">
        <v>410.2</v>
      </c>
      <c r="BS221" s="165">
        <v>623.41999999999996</v>
      </c>
      <c r="BT221" s="165">
        <v>885.61</v>
      </c>
      <c r="BU221" s="165">
        <v>935.02</v>
      </c>
      <c r="BV221" s="165">
        <v>405.19</v>
      </c>
      <c r="BW221" s="165">
        <v>338.08</v>
      </c>
      <c r="BX221" s="165">
        <v>410.2</v>
      </c>
      <c r="BY221" s="165">
        <v>623.41999999999996</v>
      </c>
      <c r="BZ221" s="165">
        <v>885.61</v>
      </c>
      <c r="CA221" s="165">
        <v>935.02</v>
      </c>
      <c r="CB221" s="176"/>
      <c r="CC221" s="126"/>
      <c r="CD221" s="126"/>
      <c r="CE221" s="143"/>
    </row>
    <row r="222" spans="1:83">
      <c r="A222" s="107"/>
      <c r="B222" s="107"/>
      <c r="C222" s="107"/>
      <c r="D222" s="107"/>
      <c r="E222" s="551"/>
      <c r="F222" s="552"/>
      <c r="G222" s="552"/>
      <c r="H222" s="553"/>
      <c r="I222" s="545"/>
      <c r="J222" s="546"/>
      <c r="K222" s="546"/>
      <c r="L222" s="547"/>
      <c r="M222" s="545"/>
      <c r="N222" s="546"/>
      <c r="O222" s="546"/>
      <c r="P222" s="547"/>
      <c r="Q222" s="545"/>
      <c r="R222" s="546"/>
      <c r="S222" s="546"/>
      <c r="T222" s="547"/>
      <c r="U222" s="545"/>
      <c r="V222" s="546"/>
      <c r="W222" s="546"/>
      <c r="X222" s="547"/>
      <c r="Y222" s="545"/>
      <c r="Z222" s="546"/>
      <c r="AA222" s="546"/>
      <c r="AB222" s="547"/>
      <c r="AC222" s="545"/>
      <c r="AD222" s="546"/>
      <c r="AE222" s="546"/>
      <c r="AF222" s="547"/>
      <c r="AG222" s="545"/>
      <c r="AH222" s="546"/>
      <c r="AI222" s="546"/>
      <c r="AJ222" s="547"/>
      <c r="AK222" s="545"/>
      <c r="AL222" s="546"/>
      <c r="AM222" s="546"/>
      <c r="AN222" s="547"/>
      <c r="AO222" s="545"/>
      <c r="AP222" s="546"/>
      <c r="AQ222" s="546"/>
      <c r="AR222" s="547"/>
      <c r="AS222" s="545"/>
      <c r="AT222" s="546"/>
      <c r="AU222" s="546"/>
      <c r="AV222" s="547"/>
      <c r="AW222" s="545"/>
      <c r="AX222" s="546"/>
      <c r="AY222" s="546"/>
      <c r="AZ222" s="547"/>
      <c r="BG222" s="93"/>
      <c r="BH222" s="93"/>
      <c r="BI222" s="93"/>
      <c r="BJ222" s="176">
        <v>163</v>
      </c>
      <c r="BK222" s="164">
        <v>0</v>
      </c>
      <c r="BL222" s="165">
        <v>185.36</v>
      </c>
      <c r="BM222" s="165">
        <v>272.26</v>
      </c>
      <c r="BN222" s="165">
        <v>381.39</v>
      </c>
      <c r="BO222" s="165">
        <v>384.1</v>
      </c>
      <c r="BP222" s="165">
        <v>407.81</v>
      </c>
      <c r="BQ222" s="165">
        <v>340.26</v>
      </c>
      <c r="BR222" s="165">
        <v>412.86</v>
      </c>
      <c r="BS222" s="165">
        <v>627.54999999999995</v>
      </c>
      <c r="BT222" s="165">
        <v>891.52</v>
      </c>
      <c r="BU222" s="165">
        <v>941.23</v>
      </c>
      <c r="BV222" s="165">
        <v>407.81</v>
      </c>
      <c r="BW222" s="165">
        <v>340.26</v>
      </c>
      <c r="BX222" s="165">
        <v>412.86</v>
      </c>
      <c r="BY222" s="165">
        <v>627.54999999999995</v>
      </c>
      <c r="BZ222" s="165">
        <v>891.52</v>
      </c>
      <c r="CA222" s="165">
        <v>941.23</v>
      </c>
      <c r="CB222" s="176"/>
      <c r="CC222" s="126"/>
      <c r="CD222" s="126"/>
      <c r="CE222" s="143"/>
    </row>
    <row r="223" spans="1:83">
      <c r="A223" s="107"/>
      <c r="B223" s="107"/>
      <c r="C223" s="107"/>
      <c r="D223" s="107"/>
      <c r="E223" s="548"/>
      <c r="F223" s="549"/>
      <c r="G223" s="549"/>
      <c r="H223" s="550"/>
      <c r="I223" s="540"/>
      <c r="J223" s="541"/>
      <c r="K223" s="541"/>
      <c r="L223" s="542"/>
      <c r="M223" s="540"/>
      <c r="N223" s="541"/>
      <c r="O223" s="541"/>
      <c r="P223" s="542"/>
      <c r="Q223" s="540"/>
      <c r="R223" s="541"/>
      <c r="S223" s="541"/>
      <c r="T223" s="542"/>
      <c r="U223" s="540"/>
      <c r="V223" s="541"/>
      <c r="W223" s="541"/>
      <c r="X223" s="542"/>
      <c r="Y223" s="540"/>
      <c r="Z223" s="541"/>
      <c r="AA223" s="541"/>
      <c r="AB223" s="542"/>
      <c r="AC223" s="540"/>
      <c r="AD223" s="541"/>
      <c r="AE223" s="541"/>
      <c r="AF223" s="542"/>
      <c r="AG223" s="540"/>
      <c r="AH223" s="541"/>
      <c r="AI223" s="541"/>
      <c r="AJ223" s="542"/>
      <c r="AK223" s="540"/>
      <c r="AL223" s="541"/>
      <c r="AM223" s="541"/>
      <c r="AN223" s="542"/>
      <c r="AO223" s="540"/>
      <c r="AP223" s="541"/>
      <c r="AQ223" s="541"/>
      <c r="AR223" s="542"/>
      <c r="AS223" s="540"/>
      <c r="AT223" s="541"/>
      <c r="AU223" s="541"/>
      <c r="AV223" s="542"/>
      <c r="AW223" s="540"/>
      <c r="AX223" s="541"/>
      <c r="AY223" s="541"/>
      <c r="AZ223" s="542"/>
      <c r="BG223" s="93"/>
      <c r="BH223" s="93"/>
      <c r="BI223" s="93"/>
      <c r="BJ223" s="176">
        <v>164</v>
      </c>
      <c r="BK223" s="164">
        <v>0</v>
      </c>
      <c r="BL223" s="165">
        <v>186.53</v>
      </c>
      <c r="BM223" s="165">
        <v>274.02</v>
      </c>
      <c r="BN223" s="165">
        <v>383.84</v>
      </c>
      <c r="BO223" s="165">
        <v>386.54</v>
      </c>
      <c r="BP223" s="165">
        <v>410.44</v>
      </c>
      <c r="BQ223" s="165">
        <v>342.43</v>
      </c>
      <c r="BR223" s="165">
        <v>415.51</v>
      </c>
      <c r="BS223" s="165">
        <v>631.69000000000005</v>
      </c>
      <c r="BT223" s="165">
        <v>897.43</v>
      </c>
      <c r="BU223" s="165">
        <v>947.44</v>
      </c>
      <c r="BV223" s="165">
        <v>410.44</v>
      </c>
      <c r="BW223" s="165">
        <v>342.43</v>
      </c>
      <c r="BX223" s="165">
        <v>415.51</v>
      </c>
      <c r="BY223" s="165">
        <v>631.69000000000005</v>
      </c>
      <c r="BZ223" s="165">
        <v>897.43</v>
      </c>
      <c r="CA223" s="165">
        <v>947.44</v>
      </c>
      <c r="CB223" s="176"/>
      <c r="CC223" s="126"/>
      <c r="CD223" s="126"/>
      <c r="CE223" s="143"/>
    </row>
    <row r="224" spans="1:83">
      <c r="A224" s="107"/>
      <c r="B224" s="107"/>
      <c r="C224" s="107"/>
      <c r="D224" s="107"/>
      <c r="E224" s="551"/>
      <c r="F224" s="552"/>
      <c r="G224" s="552"/>
      <c r="H224" s="553"/>
      <c r="I224" s="545"/>
      <c r="J224" s="546"/>
      <c r="K224" s="546"/>
      <c r="L224" s="547"/>
      <c r="M224" s="545"/>
      <c r="N224" s="546"/>
      <c r="O224" s="546"/>
      <c r="P224" s="547"/>
      <c r="Q224" s="545"/>
      <c r="R224" s="546"/>
      <c r="S224" s="546"/>
      <c r="T224" s="547"/>
      <c r="U224" s="545"/>
      <c r="V224" s="546"/>
      <c r="W224" s="546"/>
      <c r="X224" s="547"/>
      <c r="Y224" s="545"/>
      <c r="Z224" s="546"/>
      <c r="AA224" s="546"/>
      <c r="AB224" s="547"/>
      <c r="AC224" s="545"/>
      <c r="AD224" s="546"/>
      <c r="AE224" s="546"/>
      <c r="AF224" s="547"/>
      <c r="AG224" s="545"/>
      <c r="AH224" s="546"/>
      <c r="AI224" s="546"/>
      <c r="AJ224" s="547"/>
      <c r="AK224" s="545"/>
      <c r="AL224" s="546"/>
      <c r="AM224" s="546"/>
      <c r="AN224" s="547"/>
      <c r="AO224" s="545"/>
      <c r="AP224" s="546"/>
      <c r="AQ224" s="546"/>
      <c r="AR224" s="547"/>
      <c r="AS224" s="545"/>
      <c r="AT224" s="546"/>
      <c r="AU224" s="546"/>
      <c r="AV224" s="547"/>
      <c r="AW224" s="545"/>
      <c r="AX224" s="546"/>
      <c r="AY224" s="546"/>
      <c r="AZ224" s="547"/>
      <c r="BG224" s="93"/>
      <c r="BH224" s="93"/>
      <c r="BI224" s="93"/>
      <c r="BJ224" s="176">
        <v>165</v>
      </c>
      <c r="BK224" s="164">
        <v>0</v>
      </c>
      <c r="BL224" s="165">
        <v>187.69</v>
      </c>
      <c r="BM224" s="165">
        <v>275.77999999999997</v>
      </c>
      <c r="BN224" s="165">
        <v>386.28</v>
      </c>
      <c r="BO224" s="165">
        <v>388.99</v>
      </c>
      <c r="BP224" s="165">
        <v>413.06</v>
      </c>
      <c r="BQ224" s="165">
        <v>344.61</v>
      </c>
      <c r="BR224" s="165">
        <v>418.17</v>
      </c>
      <c r="BS224" s="165">
        <v>635.82000000000005</v>
      </c>
      <c r="BT224" s="165">
        <v>903.34</v>
      </c>
      <c r="BU224" s="165">
        <v>953.64</v>
      </c>
      <c r="BV224" s="165">
        <v>413.06</v>
      </c>
      <c r="BW224" s="165">
        <v>344.61</v>
      </c>
      <c r="BX224" s="165">
        <v>418.17</v>
      </c>
      <c r="BY224" s="165">
        <v>635.82000000000005</v>
      </c>
      <c r="BZ224" s="165">
        <v>903.34</v>
      </c>
      <c r="CA224" s="165">
        <v>953.64</v>
      </c>
      <c r="CB224" s="176"/>
      <c r="CC224" s="126"/>
      <c r="CD224" s="126"/>
      <c r="CE224" s="143"/>
    </row>
    <row r="225" spans="1:83">
      <c r="A225" s="107"/>
      <c r="B225" s="107"/>
      <c r="C225" s="107"/>
      <c r="D225" s="107"/>
      <c r="E225" s="548"/>
      <c r="F225" s="549"/>
      <c r="G225" s="549"/>
      <c r="H225" s="550"/>
      <c r="I225" s="540"/>
      <c r="J225" s="541"/>
      <c r="K225" s="541"/>
      <c r="L225" s="542"/>
      <c r="M225" s="540"/>
      <c r="N225" s="541"/>
      <c r="O225" s="541"/>
      <c r="P225" s="542"/>
      <c r="Q225" s="540"/>
      <c r="R225" s="541"/>
      <c r="S225" s="541"/>
      <c r="T225" s="542"/>
      <c r="U225" s="540"/>
      <c r="V225" s="541"/>
      <c r="W225" s="541"/>
      <c r="X225" s="542"/>
      <c r="Y225" s="540"/>
      <c r="Z225" s="541"/>
      <c r="AA225" s="541"/>
      <c r="AB225" s="542"/>
      <c r="AC225" s="540"/>
      <c r="AD225" s="541"/>
      <c r="AE225" s="541"/>
      <c r="AF225" s="542"/>
      <c r="AG225" s="540"/>
      <c r="AH225" s="541"/>
      <c r="AI225" s="541"/>
      <c r="AJ225" s="542"/>
      <c r="AK225" s="540"/>
      <c r="AL225" s="541"/>
      <c r="AM225" s="541"/>
      <c r="AN225" s="542"/>
      <c r="AO225" s="540"/>
      <c r="AP225" s="541"/>
      <c r="AQ225" s="541"/>
      <c r="AR225" s="542"/>
      <c r="AS225" s="540"/>
      <c r="AT225" s="541"/>
      <c r="AU225" s="541"/>
      <c r="AV225" s="542"/>
      <c r="AW225" s="540"/>
      <c r="AX225" s="541"/>
      <c r="AY225" s="541"/>
      <c r="AZ225" s="542"/>
      <c r="BG225" s="93"/>
      <c r="BH225" s="93"/>
      <c r="BI225" s="93"/>
      <c r="BJ225" s="176">
        <v>166</v>
      </c>
      <c r="BK225" s="164">
        <v>0</v>
      </c>
      <c r="BL225" s="165">
        <v>188.86</v>
      </c>
      <c r="BM225" s="165">
        <v>277.54000000000002</v>
      </c>
      <c r="BN225" s="165">
        <v>388.72</v>
      </c>
      <c r="BO225" s="165">
        <v>391.43</v>
      </c>
      <c r="BP225" s="165">
        <v>415.68</v>
      </c>
      <c r="BQ225" s="165">
        <v>346.79</v>
      </c>
      <c r="BR225" s="165">
        <v>420.83</v>
      </c>
      <c r="BS225" s="165">
        <v>639.96</v>
      </c>
      <c r="BT225" s="165">
        <v>909.24</v>
      </c>
      <c r="BU225" s="165">
        <v>959.85</v>
      </c>
      <c r="BV225" s="165">
        <v>415.68</v>
      </c>
      <c r="BW225" s="165">
        <v>346.79</v>
      </c>
      <c r="BX225" s="165">
        <v>420.83</v>
      </c>
      <c r="BY225" s="165">
        <v>639.96</v>
      </c>
      <c r="BZ225" s="165">
        <v>909.24</v>
      </c>
      <c r="CA225" s="165">
        <v>959.85</v>
      </c>
      <c r="CB225" s="176"/>
      <c r="CC225" s="126"/>
      <c r="CD225" s="126"/>
      <c r="CE225" s="143"/>
    </row>
    <row r="226" spans="1:83">
      <c r="A226" s="107"/>
      <c r="B226" s="107"/>
      <c r="C226" s="107"/>
      <c r="D226" s="107"/>
      <c r="E226" s="551"/>
      <c r="F226" s="552"/>
      <c r="G226" s="552"/>
      <c r="H226" s="553"/>
      <c r="I226" s="545"/>
      <c r="J226" s="546"/>
      <c r="K226" s="546"/>
      <c r="L226" s="547"/>
      <c r="M226" s="545"/>
      <c r="N226" s="546"/>
      <c r="O226" s="546"/>
      <c r="P226" s="547"/>
      <c r="Q226" s="545"/>
      <c r="R226" s="546"/>
      <c r="S226" s="546"/>
      <c r="T226" s="547"/>
      <c r="U226" s="545"/>
      <c r="V226" s="546"/>
      <c r="W226" s="546"/>
      <c r="X226" s="547"/>
      <c r="Y226" s="545"/>
      <c r="Z226" s="546"/>
      <c r="AA226" s="546"/>
      <c r="AB226" s="547"/>
      <c r="AC226" s="545"/>
      <c r="AD226" s="546"/>
      <c r="AE226" s="546"/>
      <c r="AF226" s="547"/>
      <c r="AG226" s="545"/>
      <c r="AH226" s="546"/>
      <c r="AI226" s="546"/>
      <c r="AJ226" s="547"/>
      <c r="AK226" s="545"/>
      <c r="AL226" s="546"/>
      <c r="AM226" s="546"/>
      <c r="AN226" s="547"/>
      <c r="AO226" s="545"/>
      <c r="AP226" s="546"/>
      <c r="AQ226" s="546"/>
      <c r="AR226" s="547"/>
      <c r="AS226" s="545"/>
      <c r="AT226" s="546"/>
      <c r="AU226" s="546"/>
      <c r="AV226" s="547"/>
      <c r="AW226" s="545"/>
      <c r="AX226" s="546"/>
      <c r="AY226" s="546"/>
      <c r="AZ226" s="547"/>
      <c r="BG226" s="93"/>
      <c r="BH226" s="93"/>
      <c r="BI226" s="93"/>
      <c r="BJ226" s="176">
        <v>167</v>
      </c>
      <c r="BK226" s="164">
        <v>0</v>
      </c>
      <c r="BL226" s="165">
        <v>190.02</v>
      </c>
      <c r="BM226" s="165">
        <v>279.3</v>
      </c>
      <c r="BN226" s="165">
        <v>391.17</v>
      </c>
      <c r="BO226" s="165">
        <v>393.87</v>
      </c>
      <c r="BP226" s="165">
        <v>418.31</v>
      </c>
      <c r="BQ226" s="165">
        <v>348.96</v>
      </c>
      <c r="BR226" s="165">
        <v>423.49</v>
      </c>
      <c r="BS226" s="165">
        <v>644.1</v>
      </c>
      <c r="BT226" s="165">
        <v>915.15</v>
      </c>
      <c r="BU226" s="165">
        <v>966.06</v>
      </c>
      <c r="BV226" s="165">
        <v>418.31</v>
      </c>
      <c r="BW226" s="165">
        <v>348.96</v>
      </c>
      <c r="BX226" s="165">
        <v>423.49</v>
      </c>
      <c r="BY226" s="165">
        <v>644.1</v>
      </c>
      <c r="BZ226" s="165">
        <v>915.15</v>
      </c>
      <c r="CA226" s="165">
        <v>966.06</v>
      </c>
      <c r="CB226" s="176"/>
      <c r="CC226" s="126"/>
      <c r="CD226" s="126"/>
      <c r="CE226" s="143"/>
    </row>
    <row r="227" spans="1:83">
      <c r="A227" s="107"/>
      <c r="B227" s="107"/>
      <c r="C227" s="107"/>
      <c r="D227" s="107"/>
      <c r="E227" s="548"/>
      <c r="F227" s="549"/>
      <c r="G227" s="549"/>
      <c r="H227" s="550"/>
      <c r="I227" s="540"/>
      <c r="J227" s="541"/>
      <c r="K227" s="541"/>
      <c r="L227" s="542"/>
      <c r="M227" s="540"/>
      <c r="N227" s="541"/>
      <c r="O227" s="541"/>
      <c r="P227" s="542"/>
      <c r="Q227" s="540"/>
      <c r="R227" s="541"/>
      <c r="S227" s="541"/>
      <c r="T227" s="542"/>
      <c r="U227" s="540"/>
      <c r="V227" s="541"/>
      <c r="W227" s="541"/>
      <c r="X227" s="542"/>
      <c r="Y227" s="540"/>
      <c r="Z227" s="541"/>
      <c r="AA227" s="541"/>
      <c r="AB227" s="542"/>
      <c r="AC227" s="540"/>
      <c r="AD227" s="541"/>
      <c r="AE227" s="541"/>
      <c r="AF227" s="542"/>
      <c r="AG227" s="540"/>
      <c r="AH227" s="541"/>
      <c r="AI227" s="541"/>
      <c r="AJ227" s="542"/>
      <c r="AK227" s="540"/>
      <c r="AL227" s="541"/>
      <c r="AM227" s="541"/>
      <c r="AN227" s="542"/>
      <c r="AO227" s="540"/>
      <c r="AP227" s="541"/>
      <c r="AQ227" s="541"/>
      <c r="AR227" s="542"/>
      <c r="AS227" s="540"/>
      <c r="AT227" s="541"/>
      <c r="AU227" s="541"/>
      <c r="AV227" s="542"/>
      <c r="AW227" s="540"/>
      <c r="AX227" s="541"/>
      <c r="AY227" s="541"/>
      <c r="AZ227" s="542"/>
      <c r="BG227" s="93"/>
      <c r="BH227" s="93"/>
      <c r="BI227" s="93"/>
      <c r="BJ227" s="176">
        <v>168</v>
      </c>
      <c r="BK227" s="164">
        <v>0</v>
      </c>
      <c r="BL227" s="165">
        <v>191.19</v>
      </c>
      <c r="BM227" s="165">
        <v>281.05</v>
      </c>
      <c r="BN227" s="165">
        <v>393.61</v>
      </c>
      <c r="BO227" s="165">
        <v>396.32</v>
      </c>
      <c r="BP227" s="165">
        <v>420.93</v>
      </c>
      <c r="BQ227" s="165">
        <v>351.14</v>
      </c>
      <c r="BR227" s="165">
        <v>426.15</v>
      </c>
      <c r="BS227" s="165">
        <v>648.23</v>
      </c>
      <c r="BT227" s="165">
        <v>921.06</v>
      </c>
      <c r="BU227" s="165">
        <v>972.26</v>
      </c>
      <c r="BV227" s="165">
        <v>420.93</v>
      </c>
      <c r="BW227" s="165">
        <v>351.14</v>
      </c>
      <c r="BX227" s="165">
        <v>426.15</v>
      </c>
      <c r="BY227" s="165">
        <v>648.23</v>
      </c>
      <c r="BZ227" s="165">
        <v>921.06</v>
      </c>
      <c r="CA227" s="165">
        <v>972.26</v>
      </c>
      <c r="CB227" s="176"/>
      <c r="CC227" s="126"/>
      <c r="CD227" s="126"/>
      <c r="CE227" s="143"/>
    </row>
    <row r="228" spans="1:83">
      <c r="A228" s="107"/>
      <c r="B228" s="107"/>
      <c r="C228" s="107"/>
      <c r="D228" s="107"/>
      <c r="E228" s="551"/>
      <c r="F228" s="552"/>
      <c r="G228" s="552"/>
      <c r="H228" s="553"/>
      <c r="I228" s="545"/>
      <c r="J228" s="546"/>
      <c r="K228" s="546"/>
      <c r="L228" s="547"/>
      <c r="M228" s="545"/>
      <c r="N228" s="546"/>
      <c r="O228" s="546"/>
      <c r="P228" s="547"/>
      <c r="Q228" s="545"/>
      <c r="R228" s="546"/>
      <c r="S228" s="546"/>
      <c r="T228" s="547"/>
      <c r="U228" s="545"/>
      <c r="V228" s="546"/>
      <c r="W228" s="546"/>
      <c r="X228" s="547"/>
      <c r="Y228" s="545"/>
      <c r="Z228" s="546"/>
      <c r="AA228" s="546"/>
      <c r="AB228" s="547"/>
      <c r="AC228" s="545"/>
      <c r="AD228" s="546"/>
      <c r="AE228" s="546"/>
      <c r="AF228" s="547"/>
      <c r="AG228" s="545"/>
      <c r="AH228" s="546"/>
      <c r="AI228" s="546"/>
      <c r="AJ228" s="547"/>
      <c r="AK228" s="545"/>
      <c r="AL228" s="546"/>
      <c r="AM228" s="546"/>
      <c r="AN228" s="547"/>
      <c r="AO228" s="545"/>
      <c r="AP228" s="546"/>
      <c r="AQ228" s="546"/>
      <c r="AR228" s="547"/>
      <c r="AS228" s="545"/>
      <c r="AT228" s="546"/>
      <c r="AU228" s="546"/>
      <c r="AV228" s="547"/>
      <c r="AW228" s="545"/>
      <c r="AX228" s="546"/>
      <c r="AY228" s="546"/>
      <c r="AZ228" s="547"/>
      <c r="BG228" s="93"/>
      <c r="BH228" s="93"/>
      <c r="BI228" s="93"/>
      <c r="BJ228" s="176">
        <v>169</v>
      </c>
      <c r="BK228" s="164">
        <v>0</v>
      </c>
      <c r="BL228" s="165">
        <v>192.36</v>
      </c>
      <c r="BM228" s="165">
        <v>282.81</v>
      </c>
      <c r="BN228" s="165">
        <v>396.05</v>
      </c>
      <c r="BO228" s="165">
        <v>398.76</v>
      </c>
      <c r="BP228" s="165">
        <v>423.55</v>
      </c>
      <c r="BQ228" s="165">
        <v>353.32</v>
      </c>
      <c r="BR228" s="165">
        <v>428.81</v>
      </c>
      <c r="BS228" s="165">
        <v>652.37</v>
      </c>
      <c r="BT228" s="165">
        <v>926.97</v>
      </c>
      <c r="BU228" s="165">
        <v>978.47</v>
      </c>
      <c r="BV228" s="165">
        <v>423.55</v>
      </c>
      <c r="BW228" s="165">
        <v>353.32</v>
      </c>
      <c r="BX228" s="165">
        <v>428.81</v>
      </c>
      <c r="BY228" s="165">
        <v>652.37</v>
      </c>
      <c r="BZ228" s="165">
        <v>926.97</v>
      </c>
      <c r="CA228" s="165">
        <v>978.47</v>
      </c>
      <c r="CB228" s="176"/>
      <c r="CC228" s="126"/>
      <c r="CD228" s="126"/>
      <c r="CE228" s="143"/>
    </row>
    <row r="229" spans="1:83">
      <c r="A229" s="107"/>
      <c r="B229" s="107"/>
      <c r="C229" s="107"/>
      <c r="D229" s="107"/>
      <c r="E229" s="548"/>
      <c r="F229" s="549"/>
      <c r="G229" s="549"/>
      <c r="H229" s="550"/>
      <c r="I229" s="540"/>
      <c r="J229" s="541"/>
      <c r="K229" s="541"/>
      <c r="L229" s="542"/>
      <c r="M229" s="540"/>
      <c r="N229" s="541"/>
      <c r="O229" s="541"/>
      <c r="P229" s="542"/>
      <c r="Q229" s="540"/>
      <c r="R229" s="541"/>
      <c r="S229" s="541"/>
      <c r="T229" s="542"/>
      <c r="U229" s="540"/>
      <c r="V229" s="541"/>
      <c r="W229" s="541"/>
      <c r="X229" s="542"/>
      <c r="Y229" s="540"/>
      <c r="Z229" s="541"/>
      <c r="AA229" s="541"/>
      <c r="AB229" s="542"/>
      <c r="AC229" s="540"/>
      <c r="AD229" s="541"/>
      <c r="AE229" s="541"/>
      <c r="AF229" s="542"/>
      <c r="AG229" s="540"/>
      <c r="AH229" s="541"/>
      <c r="AI229" s="541"/>
      <c r="AJ229" s="542"/>
      <c r="AK229" s="540"/>
      <c r="AL229" s="541"/>
      <c r="AM229" s="541"/>
      <c r="AN229" s="542"/>
      <c r="AO229" s="540"/>
      <c r="AP229" s="541"/>
      <c r="AQ229" s="541"/>
      <c r="AR229" s="542"/>
      <c r="AS229" s="540"/>
      <c r="AT229" s="541"/>
      <c r="AU229" s="541"/>
      <c r="AV229" s="542"/>
      <c r="AW229" s="540"/>
      <c r="AX229" s="541"/>
      <c r="AY229" s="541"/>
      <c r="AZ229" s="542"/>
      <c r="BG229" s="93"/>
      <c r="BH229" s="93"/>
      <c r="BI229" s="93"/>
      <c r="BJ229" s="176">
        <v>170</v>
      </c>
      <c r="BK229" s="164">
        <v>0</v>
      </c>
      <c r="BL229" s="165">
        <v>193.52</v>
      </c>
      <c r="BM229" s="165">
        <v>284.57</v>
      </c>
      <c r="BN229" s="165">
        <v>398.5</v>
      </c>
      <c r="BO229" s="165">
        <v>401.2</v>
      </c>
      <c r="BP229" s="165">
        <v>426.18</v>
      </c>
      <c r="BQ229" s="165">
        <v>355.49</v>
      </c>
      <c r="BR229" s="165">
        <v>431.47</v>
      </c>
      <c r="BS229" s="165">
        <v>656.5</v>
      </c>
      <c r="BT229" s="165">
        <v>932.88</v>
      </c>
      <c r="BU229" s="165">
        <v>984.67</v>
      </c>
      <c r="BV229" s="165">
        <v>426.18</v>
      </c>
      <c r="BW229" s="165">
        <v>355.49</v>
      </c>
      <c r="BX229" s="165">
        <v>431.47</v>
      </c>
      <c r="BY229" s="165">
        <v>656.5</v>
      </c>
      <c r="BZ229" s="165">
        <v>932.88</v>
      </c>
      <c r="CA229" s="165">
        <v>984.67</v>
      </c>
      <c r="CB229" s="176"/>
      <c r="CC229" s="126"/>
      <c r="CD229" s="126"/>
      <c r="CE229" s="143"/>
    </row>
    <row r="230" spans="1:83">
      <c r="A230" s="107"/>
      <c r="B230" s="107"/>
      <c r="C230" s="107"/>
      <c r="D230" s="107"/>
      <c r="E230" s="551"/>
      <c r="F230" s="552"/>
      <c r="G230" s="552"/>
      <c r="H230" s="553"/>
      <c r="I230" s="545"/>
      <c r="J230" s="546"/>
      <c r="K230" s="546"/>
      <c r="L230" s="547"/>
      <c r="M230" s="545"/>
      <c r="N230" s="546"/>
      <c r="O230" s="546"/>
      <c r="P230" s="547"/>
      <c r="Q230" s="545"/>
      <c r="R230" s="546"/>
      <c r="S230" s="546"/>
      <c r="T230" s="547"/>
      <c r="U230" s="545"/>
      <c r="V230" s="546"/>
      <c r="W230" s="546"/>
      <c r="X230" s="547"/>
      <c r="Y230" s="545"/>
      <c r="Z230" s="546"/>
      <c r="AA230" s="546"/>
      <c r="AB230" s="547"/>
      <c r="AC230" s="545"/>
      <c r="AD230" s="546"/>
      <c r="AE230" s="546"/>
      <c r="AF230" s="547"/>
      <c r="AG230" s="545"/>
      <c r="AH230" s="546"/>
      <c r="AI230" s="546"/>
      <c r="AJ230" s="547"/>
      <c r="AK230" s="545"/>
      <c r="AL230" s="546"/>
      <c r="AM230" s="546"/>
      <c r="AN230" s="547"/>
      <c r="AO230" s="545"/>
      <c r="AP230" s="546"/>
      <c r="AQ230" s="546"/>
      <c r="AR230" s="547"/>
      <c r="AS230" s="545"/>
      <c r="AT230" s="546"/>
      <c r="AU230" s="546"/>
      <c r="AV230" s="547"/>
      <c r="AW230" s="545"/>
      <c r="AX230" s="546"/>
      <c r="AY230" s="546"/>
      <c r="AZ230" s="547"/>
      <c r="BG230" s="93"/>
      <c r="BH230" s="93"/>
      <c r="BI230" s="93"/>
      <c r="BJ230" s="176">
        <v>171</v>
      </c>
      <c r="BK230" s="164">
        <v>0</v>
      </c>
      <c r="BL230" s="165">
        <v>194.69</v>
      </c>
      <c r="BM230" s="165">
        <v>286.33</v>
      </c>
      <c r="BN230" s="165">
        <v>400.94</v>
      </c>
      <c r="BO230" s="165">
        <v>403.65</v>
      </c>
      <c r="BP230" s="165">
        <v>428.8</v>
      </c>
      <c r="BQ230" s="165">
        <v>357.67</v>
      </c>
      <c r="BR230" s="165">
        <v>434.13</v>
      </c>
      <c r="BS230" s="165">
        <v>660.64</v>
      </c>
      <c r="BT230" s="165">
        <v>938.79</v>
      </c>
      <c r="BU230" s="165">
        <v>990.88</v>
      </c>
      <c r="BV230" s="165">
        <v>428.8</v>
      </c>
      <c r="BW230" s="165">
        <v>357.67</v>
      </c>
      <c r="BX230" s="165">
        <v>434.13</v>
      </c>
      <c r="BY230" s="165">
        <v>660.64</v>
      </c>
      <c r="BZ230" s="165">
        <v>938.79</v>
      </c>
      <c r="CA230" s="165">
        <v>990.88</v>
      </c>
      <c r="CB230" s="176"/>
      <c r="CC230" s="126"/>
      <c r="CD230" s="126"/>
      <c r="CE230" s="143"/>
    </row>
    <row r="231" spans="1:83">
      <c r="A231" s="107"/>
      <c r="B231" s="107"/>
      <c r="C231" s="107"/>
      <c r="D231" s="107"/>
      <c r="E231" s="548"/>
      <c r="F231" s="549"/>
      <c r="G231" s="549"/>
      <c r="H231" s="550"/>
      <c r="I231" s="540"/>
      <c r="J231" s="541"/>
      <c r="K231" s="541"/>
      <c r="L231" s="542"/>
      <c r="M231" s="540"/>
      <c r="N231" s="541"/>
      <c r="O231" s="541"/>
      <c r="P231" s="542"/>
      <c r="Q231" s="540"/>
      <c r="R231" s="541"/>
      <c r="S231" s="541"/>
      <c r="T231" s="542"/>
      <c r="U231" s="540"/>
      <c r="V231" s="541"/>
      <c r="W231" s="541"/>
      <c r="X231" s="542"/>
      <c r="Y231" s="540"/>
      <c r="Z231" s="541"/>
      <c r="AA231" s="541"/>
      <c r="AB231" s="542"/>
      <c r="AC231" s="540"/>
      <c r="AD231" s="541"/>
      <c r="AE231" s="541"/>
      <c r="AF231" s="542"/>
      <c r="AG231" s="540"/>
      <c r="AH231" s="541"/>
      <c r="AI231" s="541"/>
      <c r="AJ231" s="542"/>
      <c r="AK231" s="540"/>
      <c r="AL231" s="541"/>
      <c r="AM231" s="541"/>
      <c r="AN231" s="542"/>
      <c r="AO231" s="540"/>
      <c r="AP231" s="541"/>
      <c r="AQ231" s="541"/>
      <c r="AR231" s="542"/>
      <c r="AS231" s="540"/>
      <c r="AT231" s="541"/>
      <c r="AU231" s="541"/>
      <c r="AV231" s="542"/>
      <c r="AW231" s="540"/>
      <c r="AX231" s="541"/>
      <c r="AY231" s="541"/>
      <c r="AZ231" s="542"/>
      <c r="BG231" s="93"/>
      <c r="BH231" s="93"/>
      <c r="BI231" s="93"/>
      <c r="BJ231" s="176">
        <v>172</v>
      </c>
      <c r="BK231" s="164">
        <v>0</v>
      </c>
      <c r="BL231" s="165">
        <v>195.86</v>
      </c>
      <c r="BM231" s="165">
        <v>288.08999999999997</v>
      </c>
      <c r="BN231" s="165">
        <v>403.38</v>
      </c>
      <c r="BO231" s="165">
        <v>406.09</v>
      </c>
      <c r="BP231" s="165">
        <v>431.42</v>
      </c>
      <c r="BQ231" s="165">
        <v>359.85</v>
      </c>
      <c r="BR231" s="165">
        <v>436.79</v>
      </c>
      <c r="BS231" s="165">
        <v>664.77</v>
      </c>
      <c r="BT231" s="165">
        <v>944.7</v>
      </c>
      <c r="BU231" s="165">
        <v>997.09</v>
      </c>
      <c r="BV231" s="165">
        <v>431.42</v>
      </c>
      <c r="BW231" s="165">
        <v>359.85</v>
      </c>
      <c r="BX231" s="165">
        <v>436.79</v>
      </c>
      <c r="BY231" s="165">
        <v>664.77</v>
      </c>
      <c r="BZ231" s="165">
        <v>944.7</v>
      </c>
      <c r="CA231" s="165">
        <v>997.09</v>
      </c>
      <c r="CB231" s="176"/>
      <c r="CC231" s="126"/>
      <c r="CD231" s="126"/>
      <c r="CE231" s="143"/>
    </row>
    <row r="232" spans="1:83">
      <c r="A232" s="107"/>
      <c r="B232" s="107"/>
      <c r="C232" s="107"/>
      <c r="D232" s="107"/>
      <c r="E232" s="551"/>
      <c r="F232" s="552"/>
      <c r="G232" s="552"/>
      <c r="H232" s="553"/>
      <c r="I232" s="545"/>
      <c r="J232" s="546"/>
      <c r="K232" s="546"/>
      <c r="L232" s="547"/>
      <c r="M232" s="545"/>
      <c r="N232" s="546"/>
      <c r="O232" s="546"/>
      <c r="P232" s="547"/>
      <c r="Q232" s="545"/>
      <c r="R232" s="546"/>
      <c r="S232" s="546"/>
      <c r="T232" s="547"/>
      <c r="U232" s="545"/>
      <c r="V232" s="546"/>
      <c r="W232" s="546"/>
      <c r="X232" s="547"/>
      <c r="Y232" s="545"/>
      <c r="Z232" s="546"/>
      <c r="AA232" s="546"/>
      <c r="AB232" s="547"/>
      <c r="AC232" s="545"/>
      <c r="AD232" s="546"/>
      <c r="AE232" s="546"/>
      <c r="AF232" s="547"/>
      <c r="AG232" s="545"/>
      <c r="AH232" s="546"/>
      <c r="AI232" s="546"/>
      <c r="AJ232" s="547"/>
      <c r="AK232" s="545"/>
      <c r="AL232" s="546"/>
      <c r="AM232" s="546"/>
      <c r="AN232" s="547"/>
      <c r="AO232" s="545"/>
      <c r="AP232" s="546"/>
      <c r="AQ232" s="546"/>
      <c r="AR232" s="547"/>
      <c r="AS232" s="545"/>
      <c r="AT232" s="546"/>
      <c r="AU232" s="546"/>
      <c r="AV232" s="547"/>
      <c r="AW232" s="545"/>
      <c r="AX232" s="546"/>
      <c r="AY232" s="546"/>
      <c r="AZ232" s="547"/>
      <c r="BG232" s="93"/>
      <c r="BH232" s="93"/>
      <c r="BI232" s="93"/>
      <c r="BJ232" s="176">
        <v>173</v>
      </c>
      <c r="BK232" s="164">
        <v>0</v>
      </c>
      <c r="BL232" s="165">
        <v>197.02</v>
      </c>
      <c r="BM232" s="165">
        <v>289.85000000000002</v>
      </c>
      <c r="BN232" s="165">
        <v>405.83</v>
      </c>
      <c r="BO232" s="165">
        <v>408.53</v>
      </c>
      <c r="BP232" s="165">
        <v>434.04</v>
      </c>
      <c r="BQ232" s="165">
        <v>362.02</v>
      </c>
      <c r="BR232" s="165">
        <v>439.45</v>
      </c>
      <c r="BS232" s="165">
        <v>668.91</v>
      </c>
      <c r="BT232" s="165">
        <v>950.61</v>
      </c>
      <c r="BU232" s="165">
        <v>1003.29</v>
      </c>
      <c r="BV232" s="165">
        <v>434.04</v>
      </c>
      <c r="BW232" s="165">
        <v>362.02</v>
      </c>
      <c r="BX232" s="165">
        <v>439.45</v>
      </c>
      <c r="BY232" s="165">
        <v>668.91</v>
      </c>
      <c r="BZ232" s="165">
        <v>950.61</v>
      </c>
      <c r="CA232" s="165">
        <v>1003.29</v>
      </c>
      <c r="CB232" s="176"/>
      <c r="CC232" s="126"/>
      <c r="CD232" s="126"/>
      <c r="CE232" s="143"/>
    </row>
    <row r="233" spans="1:83">
      <c r="A233" s="107"/>
      <c r="B233" s="107"/>
      <c r="C233" s="107"/>
      <c r="D233" s="107"/>
      <c r="E233" s="548"/>
      <c r="F233" s="549"/>
      <c r="G233" s="549"/>
      <c r="H233" s="550"/>
      <c r="I233" s="540"/>
      <c r="J233" s="541"/>
      <c r="K233" s="541"/>
      <c r="L233" s="542"/>
      <c r="M233" s="540"/>
      <c r="N233" s="541"/>
      <c r="O233" s="541"/>
      <c r="P233" s="542"/>
      <c r="Q233" s="540"/>
      <c r="R233" s="541"/>
      <c r="S233" s="541"/>
      <c r="T233" s="542"/>
      <c r="U233" s="540"/>
      <c r="V233" s="541"/>
      <c r="W233" s="541"/>
      <c r="X233" s="542"/>
      <c r="Y233" s="540"/>
      <c r="Z233" s="541"/>
      <c r="AA233" s="541"/>
      <c r="AB233" s="542"/>
      <c r="AC233" s="540"/>
      <c r="AD233" s="541"/>
      <c r="AE233" s="541"/>
      <c r="AF233" s="542"/>
      <c r="AG233" s="540"/>
      <c r="AH233" s="541"/>
      <c r="AI233" s="541"/>
      <c r="AJ233" s="542"/>
      <c r="AK233" s="540"/>
      <c r="AL233" s="541"/>
      <c r="AM233" s="541"/>
      <c r="AN233" s="542"/>
      <c r="AO233" s="540"/>
      <c r="AP233" s="541"/>
      <c r="AQ233" s="541"/>
      <c r="AR233" s="542"/>
      <c r="AS233" s="540"/>
      <c r="AT233" s="541"/>
      <c r="AU233" s="541"/>
      <c r="AV233" s="542"/>
      <c r="AW233" s="540"/>
      <c r="AX233" s="541"/>
      <c r="AY233" s="541"/>
      <c r="AZ233" s="542"/>
      <c r="BG233" s="93"/>
      <c r="BH233" s="93"/>
      <c r="BI233" s="93"/>
      <c r="BJ233" s="176">
        <v>174</v>
      </c>
      <c r="BK233" s="164">
        <v>0</v>
      </c>
      <c r="BL233" s="165">
        <v>198.19</v>
      </c>
      <c r="BM233" s="165">
        <v>291.61</v>
      </c>
      <c r="BN233" s="165">
        <v>408.27</v>
      </c>
      <c r="BO233" s="165">
        <v>410.98</v>
      </c>
      <c r="BP233" s="165">
        <v>436.67</v>
      </c>
      <c r="BQ233" s="165">
        <v>364.2</v>
      </c>
      <c r="BR233" s="165">
        <v>442.11</v>
      </c>
      <c r="BS233" s="165">
        <v>673.04</v>
      </c>
      <c r="BT233" s="165">
        <v>956.52</v>
      </c>
      <c r="BU233" s="165">
        <v>1009.5</v>
      </c>
      <c r="BV233" s="165">
        <v>436.67</v>
      </c>
      <c r="BW233" s="165">
        <v>364.2</v>
      </c>
      <c r="BX233" s="165">
        <v>442.11</v>
      </c>
      <c r="BY233" s="165">
        <v>673.04</v>
      </c>
      <c r="BZ233" s="165">
        <v>956.52</v>
      </c>
      <c r="CA233" s="165">
        <v>1009.5</v>
      </c>
      <c r="CB233" s="176"/>
      <c r="CC233" s="126"/>
      <c r="CD233" s="126"/>
      <c r="CE233" s="143"/>
    </row>
    <row r="234" spans="1:83">
      <c r="A234" s="107"/>
      <c r="B234" s="107"/>
      <c r="C234" s="107"/>
      <c r="D234" s="107"/>
      <c r="E234" s="551"/>
      <c r="F234" s="552"/>
      <c r="G234" s="552"/>
      <c r="H234" s="553"/>
      <c r="I234" s="545"/>
      <c r="J234" s="546"/>
      <c r="K234" s="546"/>
      <c r="L234" s="547"/>
      <c r="M234" s="545"/>
      <c r="N234" s="546"/>
      <c r="O234" s="546"/>
      <c r="P234" s="547"/>
      <c r="Q234" s="545"/>
      <c r="R234" s="546"/>
      <c r="S234" s="546"/>
      <c r="T234" s="547"/>
      <c r="U234" s="545"/>
      <c r="V234" s="546"/>
      <c r="W234" s="546"/>
      <c r="X234" s="547"/>
      <c r="Y234" s="545"/>
      <c r="Z234" s="546"/>
      <c r="AA234" s="546"/>
      <c r="AB234" s="547"/>
      <c r="AC234" s="545"/>
      <c r="AD234" s="546"/>
      <c r="AE234" s="546"/>
      <c r="AF234" s="547"/>
      <c r="AG234" s="545"/>
      <c r="AH234" s="546"/>
      <c r="AI234" s="546"/>
      <c r="AJ234" s="547"/>
      <c r="AK234" s="545"/>
      <c r="AL234" s="546"/>
      <c r="AM234" s="546"/>
      <c r="AN234" s="547"/>
      <c r="AO234" s="545"/>
      <c r="AP234" s="546"/>
      <c r="AQ234" s="546"/>
      <c r="AR234" s="547"/>
      <c r="AS234" s="545"/>
      <c r="AT234" s="546"/>
      <c r="AU234" s="546"/>
      <c r="AV234" s="547"/>
      <c r="AW234" s="545"/>
      <c r="AX234" s="546"/>
      <c r="AY234" s="546"/>
      <c r="AZ234" s="547"/>
      <c r="BG234" s="93"/>
      <c r="BH234" s="93"/>
      <c r="BI234" s="93"/>
      <c r="BJ234" s="176">
        <v>175</v>
      </c>
      <c r="BK234" s="164">
        <v>0</v>
      </c>
      <c r="BL234" s="165">
        <v>199.36</v>
      </c>
      <c r="BM234" s="165">
        <v>293.37</v>
      </c>
      <c r="BN234" s="165">
        <v>410.71</v>
      </c>
      <c r="BO234" s="165">
        <v>413.42</v>
      </c>
      <c r="BP234" s="165">
        <v>439.29</v>
      </c>
      <c r="BQ234" s="165">
        <v>366.38</v>
      </c>
      <c r="BR234" s="165">
        <v>444.77</v>
      </c>
      <c r="BS234" s="165">
        <v>677.18</v>
      </c>
      <c r="BT234" s="165">
        <v>962.42</v>
      </c>
      <c r="BU234" s="165">
        <v>1015.71</v>
      </c>
      <c r="BV234" s="165">
        <v>439.29</v>
      </c>
      <c r="BW234" s="165">
        <v>366.38</v>
      </c>
      <c r="BX234" s="165">
        <v>444.77</v>
      </c>
      <c r="BY234" s="165">
        <v>677.18</v>
      </c>
      <c r="BZ234" s="165">
        <v>962.42</v>
      </c>
      <c r="CA234" s="165">
        <v>1015.71</v>
      </c>
      <c r="CB234" s="176"/>
      <c r="CC234" s="126"/>
      <c r="CD234" s="126"/>
      <c r="CE234" s="143"/>
    </row>
    <row r="235" spans="1:83">
      <c r="A235" s="107"/>
      <c r="B235" s="107"/>
      <c r="C235" s="107"/>
      <c r="D235" s="107"/>
      <c r="E235" s="548"/>
      <c r="F235" s="549"/>
      <c r="G235" s="549"/>
      <c r="H235" s="550"/>
      <c r="I235" s="540"/>
      <c r="J235" s="541"/>
      <c r="K235" s="541"/>
      <c r="L235" s="542"/>
      <c r="M235" s="540"/>
      <c r="N235" s="541"/>
      <c r="O235" s="541"/>
      <c r="P235" s="542"/>
      <c r="Q235" s="540"/>
      <c r="R235" s="541"/>
      <c r="S235" s="541"/>
      <c r="T235" s="542"/>
      <c r="U235" s="540"/>
      <c r="V235" s="541"/>
      <c r="W235" s="541"/>
      <c r="X235" s="542"/>
      <c r="Y235" s="540"/>
      <c r="Z235" s="541"/>
      <c r="AA235" s="541"/>
      <c r="AB235" s="542"/>
      <c r="AC235" s="540"/>
      <c r="AD235" s="541"/>
      <c r="AE235" s="541"/>
      <c r="AF235" s="542"/>
      <c r="AG235" s="540"/>
      <c r="AH235" s="541"/>
      <c r="AI235" s="541"/>
      <c r="AJ235" s="542"/>
      <c r="AK235" s="540"/>
      <c r="AL235" s="541"/>
      <c r="AM235" s="541"/>
      <c r="AN235" s="542"/>
      <c r="AO235" s="540"/>
      <c r="AP235" s="541"/>
      <c r="AQ235" s="541"/>
      <c r="AR235" s="542"/>
      <c r="AS235" s="540"/>
      <c r="AT235" s="541"/>
      <c r="AU235" s="541"/>
      <c r="AV235" s="542"/>
      <c r="AW235" s="540"/>
      <c r="AX235" s="541"/>
      <c r="AY235" s="541"/>
      <c r="AZ235" s="542"/>
      <c r="BG235" s="93"/>
      <c r="BH235" s="93"/>
      <c r="BI235" s="93"/>
      <c r="BJ235" s="176">
        <v>176</v>
      </c>
      <c r="BK235" s="164">
        <v>0</v>
      </c>
      <c r="BL235" s="165">
        <v>200.52</v>
      </c>
      <c r="BM235" s="165">
        <v>295.13</v>
      </c>
      <c r="BN235" s="165">
        <v>413.16</v>
      </c>
      <c r="BO235" s="165">
        <v>415.86</v>
      </c>
      <c r="BP235" s="165">
        <v>441.91</v>
      </c>
      <c r="BQ235" s="165">
        <v>368.55</v>
      </c>
      <c r="BR235" s="165">
        <v>447.42</v>
      </c>
      <c r="BS235" s="165">
        <v>681.31</v>
      </c>
      <c r="BT235" s="165">
        <v>968.33</v>
      </c>
      <c r="BU235" s="165">
        <v>1021.91</v>
      </c>
      <c r="BV235" s="165">
        <v>441.91</v>
      </c>
      <c r="BW235" s="165">
        <v>368.55</v>
      </c>
      <c r="BX235" s="165">
        <v>447.42</v>
      </c>
      <c r="BY235" s="165">
        <v>681.31</v>
      </c>
      <c r="BZ235" s="165">
        <v>968.33</v>
      </c>
      <c r="CA235" s="165">
        <v>1021.91</v>
      </c>
      <c r="CB235" s="176"/>
      <c r="CC235" s="126"/>
      <c r="CD235" s="126"/>
      <c r="CE235" s="143"/>
    </row>
    <row r="236" spans="1:83">
      <c r="A236" s="107"/>
      <c r="B236" s="107"/>
      <c r="C236" s="107"/>
      <c r="D236" s="107"/>
      <c r="E236" s="551"/>
      <c r="F236" s="552"/>
      <c r="G236" s="552"/>
      <c r="H236" s="553"/>
      <c r="I236" s="545"/>
      <c r="J236" s="546"/>
      <c r="K236" s="546"/>
      <c r="L236" s="547"/>
      <c r="M236" s="545"/>
      <c r="N236" s="546"/>
      <c r="O236" s="546"/>
      <c r="P236" s="547"/>
      <c r="Q236" s="545"/>
      <c r="R236" s="546"/>
      <c r="S236" s="546"/>
      <c r="T236" s="547"/>
      <c r="U236" s="545"/>
      <c r="V236" s="546"/>
      <c r="W236" s="546"/>
      <c r="X236" s="547"/>
      <c r="Y236" s="545"/>
      <c r="Z236" s="546"/>
      <c r="AA236" s="546"/>
      <c r="AB236" s="547"/>
      <c r="AC236" s="545"/>
      <c r="AD236" s="546"/>
      <c r="AE236" s="546"/>
      <c r="AF236" s="547"/>
      <c r="AG236" s="545"/>
      <c r="AH236" s="546"/>
      <c r="AI236" s="546"/>
      <c r="AJ236" s="547"/>
      <c r="AK236" s="545"/>
      <c r="AL236" s="546"/>
      <c r="AM236" s="546"/>
      <c r="AN236" s="547"/>
      <c r="AO236" s="545"/>
      <c r="AP236" s="546"/>
      <c r="AQ236" s="546"/>
      <c r="AR236" s="547"/>
      <c r="AS236" s="545"/>
      <c r="AT236" s="546"/>
      <c r="AU236" s="546"/>
      <c r="AV236" s="547"/>
      <c r="AW236" s="545"/>
      <c r="AX236" s="546"/>
      <c r="AY236" s="546"/>
      <c r="AZ236" s="547"/>
      <c r="BG236" s="93"/>
      <c r="BH236" s="93"/>
      <c r="BI236" s="93"/>
      <c r="BJ236" s="176">
        <v>177</v>
      </c>
      <c r="BK236" s="164">
        <v>0</v>
      </c>
      <c r="BL236" s="165">
        <v>201.69</v>
      </c>
      <c r="BM236" s="165">
        <v>296.89</v>
      </c>
      <c r="BN236" s="165">
        <v>415.6</v>
      </c>
      <c r="BO236" s="165">
        <v>418.31</v>
      </c>
      <c r="BP236" s="165">
        <v>444.54</v>
      </c>
      <c r="BQ236" s="165">
        <v>370.73</v>
      </c>
      <c r="BR236" s="165">
        <v>450.08</v>
      </c>
      <c r="BS236" s="165">
        <v>685.45</v>
      </c>
      <c r="BT236" s="165">
        <v>974.24</v>
      </c>
      <c r="BU236" s="165">
        <v>1028.1199999999999</v>
      </c>
      <c r="BV236" s="165">
        <v>444.54</v>
      </c>
      <c r="BW236" s="165">
        <v>370.73</v>
      </c>
      <c r="BX236" s="165">
        <v>450.08</v>
      </c>
      <c r="BY236" s="165">
        <v>685.45</v>
      </c>
      <c r="BZ236" s="165">
        <v>974.24</v>
      </c>
      <c r="CA236" s="165">
        <v>1028.1199999999999</v>
      </c>
      <c r="CB236" s="176"/>
      <c r="CC236" s="126"/>
      <c r="CD236" s="126"/>
      <c r="CE236" s="143"/>
    </row>
    <row r="237" spans="1:83">
      <c r="A237" s="107"/>
      <c r="B237" s="107"/>
      <c r="C237" s="107"/>
      <c r="D237" s="107"/>
      <c r="E237" s="548"/>
      <c r="F237" s="549"/>
      <c r="G237" s="549"/>
      <c r="H237" s="550"/>
      <c r="I237" s="540"/>
      <c r="J237" s="541"/>
      <c r="K237" s="541"/>
      <c r="L237" s="542"/>
      <c r="M237" s="540"/>
      <c r="N237" s="541"/>
      <c r="O237" s="541"/>
      <c r="P237" s="542"/>
      <c r="Q237" s="540"/>
      <c r="R237" s="541"/>
      <c r="S237" s="541"/>
      <c r="T237" s="542"/>
      <c r="U237" s="540"/>
      <c r="V237" s="541"/>
      <c r="W237" s="541"/>
      <c r="X237" s="542"/>
      <c r="Y237" s="540"/>
      <c r="Z237" s="541"/>
      <c r="AA237" s="541"/>
      <c r="AB237" s="542"/>
      <c r="AC237" s="540"/>
      <c r="AD237" s="541"/>
      <c r="AE237" s="541"/>
      <c r="AF237" s="542"/>
      <c r="AG237" s="540"/>
      <c r="AH237" s="541"/>
      <c r="AI237" s="541"/>
      <c r="AJ237" s="542"/>
      <c r="AK237" s="540"/>
      <c r="AL237" s="541"/>
      <c r="AM237" s="541"/>
      <c r="AN237" s="542"/>
      <c r="AO237" s="540"/>
      <c r="AP237" s="541"/>
      <c r="AQ237" s="541"/>
      <c r="AR237" s="542"/>
      <c r="AS237" s="540"/>
      <c r="AT237" s="541"/>
      <c r="AU237" s="541"/>
      <c r="AV237" s="542"/>
      <c r="AW237" s="540"/>
      <c r="AX237" s="541"/>
      <c r="AY237" s="541"/>
      <c r="AZ237" s="542"/>
      <c r="BG237" s="93"/>
      <c r="BH237" s="93"/>
      <c r="BI237" s="93"/>
      <c r="BJ237" s="176">
        <v>178</v>
      </c>
      <c r="BK237" s="164">
        <v>0</v>
      </c>
      <c r="BL237" s="165">
        <v>202.86</v>
      </c>
      <c r="BM237" s="165">
        <v>298.64999999999998</v>
      </c>
      <c r="BN237" s="165">
        <v>418.04</v>
      </c>
      <c r="BO237" s="165">
        <v>420.75</v>
      </c>
      <c r="BP237" s="165">
        <v>447.16</v>
      </c>
      <c r="BQ237" s="165">
        <v>372.91</v>
      </c>
      <c r="BR237" s="165">
        <v>452.74</v>
      </c>
      <c r="BS237" s="165">
        <v>689.58</v>
      </c>
      <c r="BT237" s="165">
        <v>980.15</v>
      </c>
      <c r="BU237" s="165">
        <v>1034.33</v>
      </c>
      <c r="BV237" s="165">
        <v>447.16</v>
      </c>
      <c r="BW237" s="165">
        <v>372.91</v>
      </c>
      <c r="BX237" s="165">
        <v>452.74</v>
      </c>
      <c r="BY237" s="165">
        <v>689.58</v>
      </c>
      <c r="BZ237" s="165">
        <v>980.15</v>
      </c>
      <c r="CA237" s="165">
        <v>1034.33</v>
      </c>
      <c r="CB237" s="176"/>
      <c r="CC237" s="126"/>
      <c r="CD237" s="126"/>
      <c r="CE237" s="143"/>
    </row>
    <row r="238" spans="1:83">
      <c r="A238" s="107"/>
      <c r="B238" s="107"/>
      <c r="C238" s="107"/>
      <c r="D238" s="107"/>
      <c r="E238" s="551"/>
      <c r="F238" s="552"/>
      <c r="G238" s="552"/>
      <c r="H238" s="553"/>
      <c r="I238" s="545"/>
      <c r="J238" s="546"/>
      <c r="K238" s="546"/>
      <c r="L238" s="547"/>
      <c r="M238" s="545"/>
      <c r="N238" s="546"/>
      <c r="O238" s="546"/>
      <c r="P238" s="547"/>
      <c r="Q238" s="545"/>
      <c r="R238" s="546"/>
      <c r="S238" s="546"/>
      <c r="T238" s="547"/>
      <c r="U238" s="545"/>
      <c r="V238" s="546"/>
      <c r="W238" s="546"/>
      <c r="X238" s="547"/>
      <c r="Y238" s="545"/>
      <c r="Z238" s="546"/>
      <c r="AA238" s="546"/>
      <c r="AB238" s="547"/>
      <c r="AC238" s="545"/>
      <c r="AD238" s="546"/>
      <c r="AE238" s="546"/>
      <c r="AF238" s="547"/>
      <c r="AG238" s="545"/>
      <c r="AH238" s="546"/>
      <c r="AI238" s="546"/>
      <c r="AJ238" s="547"/>
      <c r="AK238" s="545"/>
      <c r="AL238" s="546"/>
      <c r="AM238" s="546"/>
      <c r="AN238" s="547"/>
      <c r="AO238" s="545"/>
      <c r="AP238" s="546"/>
      <c r="AQ238" s="546"/>
      <c r="AR238" s="547"/>
      <c r="AS238" s="545"/>
      <c r="AT238" s="546"/>
      <c r="AU238" s="546"/>
      <c r="AV238" s="547"/>
      <c r="AW238" s="545"/>
      <c r="AX238" s="546"/>
      <c r="AY238" s="546"/>
      <c r="AZ238" s="547"/>
      <c r="BG238" s="93"/>
      <c r="BH238" s="93"/>
      <c r="BI238" s="93"/>
      <c r="BJ238" s="176">
        <v>179</v>
      </c>
      <c r="BK238" s="164">
        <v>0</v>
      </c>
      <c r="BL238" s="165">
        <v>204.02</v>
      </c>
      <c r="BM238" s="165">
        <v>300.41000000000003</v>
      </c>
      <c r="BN238" s="165">
        <v>420.48</v>
      </c>
      <c r="BO238" s="165">
        <v>423.19</v>
      </c>
      <c r="BP238" s="165">
        <v>449.78</v>
      </c>
      <c r="BQ238" s="165">
        <v>375.08</v>
      </c>
      <c r="BR238" s="165">
        <v>455.4</v>
      </c>
      <c r="BS238" s="165">
        <v>693.72</v>
      </c>
      <c r="BT238" s="165">
        <v>986.06</v>
      </c>
      <c r="BU238" s="165">
        <v>1040.53</v>
      </c>
      <c r="BV238" s="165">
        <v>449.78</v>
      </c>
      <c r="BW238" s="165">
        <v>375.08</v>
      </c>
      <c r="BX238" s="165">
        <v>455.4</v>
      </c>
      <c r="BY238" s="165">
        <v>693.72</v>
      </c>
      <c r="BZ238" s="165">
        <v>986.06</v>
      </c>
      <c r="CA238" s="165">
        <v>1040.53</v>
      </c>
      <c r="CB238" s="176"/>
      <c r="CC238" s="126"/>
      <c r="CD238" s="126"/>
      <c r="CE238" s="143"/>
    </row>
    <row r="239" spans="1:83">
      <c r="A239" s="107"/>
      <c r="B239" s="107"/>
      <c r="C239" s="107"/>
      <c r="D239" s="107"/>
      <c r="E239" s="548"/>
      <c r="F239" s="549"/>
      <c r="G239" s="549"/>
      <c r="H239" s="550"/>
      <c r="I239" s="540"/>
      <c r="J239" s="541"/>
      <c r="K239" s="541"/>
      <c r="L239" s="542"/>
      <c r="M239" s="540"/>
      <c r="N239" s="541"/>
      <c r="O239" s="541"/>
      <c r="P239" s="542"/>
      <c r="Q239" s="540"/>
      <c r="R239" s="541"/>
      <c r="S239" s="541"/>
      <c r="T239" s="542"/>
      <c r="U239" s="540"/>
      <c r="V239" s="541"/>
      <c r="W239" s="541"/>
      <c r="X239" s="542"/>
      <c r="Y239" s="540"/>
      <c r="Z239" s="541"/>
      <c r="AA239" s="541"/>
      <c r="AB239" s="542"/>
      <c r="AC239" s="540"/>
      <c r="AD239" s="541"/>
      <c r="AE239" s="541"/>
      <c r="AF239" s="542"/>
      <c r="AG239" s="540"/>
      <c r="AH239" s="541"/>
      <c r="AI239" s="541"/>
      <c r="AJ239" s="542"/>
      <c r="AK239" s="540"/>
      <c r="AL239" s="541"/>
      <c r="AM239" s="541"/>
      <c r="AN239" s="542"/>
      <c r="AO239" s="540"/>
      <c r="AP239" s="541"/>
      <c r="AQ239" s="541"/>
      <c r="AR239" s="542"/>
      <c r="AS239" s="540"/>
      <c r="AT239" s="541"/>
      <c r="AU239" s="541"/>
      <c r="AV239" s="542"/>
      <c r="AW239" s="540"/>
      <c r="AX239" s="541"/>
      <c r="AY239" s="541"/>
      <c r="AZ239" s="542"/>
      <c r="BG239" s="93"/>
      <c r="BH239" s="93"/>
      <c r="BI239" s="93"/>
      <c r="BJ239" s="176">
        <v>180</v>
      </c>
      <c r="BK239" s="164">
        <v>0</v>
      </c>
      <c r="BL239" s="165">
        <v>205.19</v>
      </c>
      <c r="BM239" s="165">
        <v>302.16000000000003</v>
      </c>
      <c r="BN239" s="165">
        <v>422.93</v>
      </c>
      <c r="BO239" s="165">
        <v>425.64</v>
      </c>
      <c r="BP239" s="165">
        <v>452.41</v>
      </c>
      <c r="BQ239" s="165">
        <v>377.26</v>
      </c>
      <c r="BR239" s="165">
        <v>458.06</v>
      </c>
      <c r="BS239" s="165">
        <v>697.85</v>
      </c>
      <c r="BT239" s="165">
        <v>991.97</v>
      </c>
      <c r="BU239" s="165">
        <v>1046.74</v>
      </c>
      <c r="BV239" s="165">
        <v>452.41</v>
      </c>
      <c r="BW239" s="165">
        <v>377.26</v>
      </c>
      <c r="BX239" s="165">
        <v>458.06</v>
      </c>
      <c r="BY239" s="165">
        <v>697.85</v>
      </c>
      <c r="BZ239" s="165">
        <v>991.97</v>
      </c>
      <c r="CA239" s="165">
        <v>1046.74</v>
      </c>
      <c r="CB239" s="176"/>
      <c r="CC239" s="126"/>
      <c r="CD239" s="126"/>
      <c r="CE239" s="143"/>
    </row>
    <row r="240" spans="1:83">
      <c r="A240" s="107"/>
      <c r="B240" s="107"/>
      <c r="C240" s="107"/>
      <c r="D240" s="107"/>
      <c r="E240" s="551"/>
      <c r="F240" s="552"/>
      <c r="G240" s="552"/>
      <c r="H240" s="553"/>
      <c r="I240" s="545"/>
      <c r="J240" s="546"/>
      <c r="K240" s="546"/>
      <c r="L240" s="547"/>
      <c r="M240" s="545"/>
      <c r="N240" s="546"/>
      <c r="O240" s="546"/>
      <c r="P240" s="547"/>
      <c r="Q240" s="545"/>
      <c r="R240" s="546"/>
      <c r="S240" s="546"/>
      <c r="T240" s="547"/>
      <c r="U240" s="545"/>
      <c r="V240" s="546"/>
      <c r="W240" s="546"/>
      <c r="X240" s="547"/>
      <c r="Y240" s="545"/>
      <c r="Z240" s="546"/>
      <c r="AA240" s="546"/>
      <c r="AB240" s="547"/>
      <c r="AC240" s="545"/>
      <c r="AD240" s="546"/>
      <c r="AE240" s="546"/>
      <c r="AF240" s="547"/>
      <c r="AG240" s="545"/>
      <c r="AH240" s="546"/>
      <c r="AI240" s="546"/>
      <c r="AJ240" s="547"/>
      <c r="AK240" s="545"/>
      <c r="AL240" s="546"/>
      <c r="AM240" s="546"/>
      <c r="AN240" s="547"/>
      <c r="AO240" s="545"/>
      <c r="AP240" s="546"/>
      <c r="AQ240" s="546"/>
      <c r="AR240" s="547"/>
      <c r="AS240" s="545"/>
      <c r="AT240" s="546"/>
      <c r="AU240" s="546"/>
      <c r="AV240" s="547"/>
      <c r="AW240" s="545"/>
      <c r="AX240" s="546"/>
      <c r="AY240" s="546"/>
      <c r="AZ240" s="547"/>
      <c r="BG240" s="93"/>
      <c r="BH240" s="93"/>
      <c r="BI240" s="93"/>
      <c r="BJ240" s="176">
        <v>181</v>
      </c>
      <c r="BK240" s="164">
        <v>0</v>
      </c>
      <c r="BL240" s="165">
        <v>206.35</v>
      </c>
      <c r="BM240" s="165">
        <v>303.92</v>
      </c>
      <c r="BN240" s="165">
        <v>425.37</v>
      </c>
      <c r="BO240" s="165">
        <v>428.08</v>
      </c>
      <c r="BP240" s="165">
        <v>455.03</v>
      </c>
      <c r="BQ240" s="165">
        <v>379.44</v>
      </c>
      <c r="BR240" s="165">
        <v>460.72</v>
      </c>
      <c r="BS240" s="165">
        <v>701.99</v>
      </c>
      <c r="BT240" s="165">
        <v>997.88</v>
      </c>
      <c r="BU240" s="165">
        <v>1052.94</v>
      </c>
      <c r="BV240" s="165">
        <v>455.03</v>
      </c>
      <c r="BW240" s="165">
        <v>379.44</v>
      </c>
      <c r="BX240" s="165">
        <v>460.72</v>
      </c>
      <c r="BY240" s="165">
        <v>701.99</v>
      </c>
      <c r="BZ240" s="165">
        <v>997.88</v>
      </c>
      <c r="CA240" s="165">
        <v>1052.94</v>
      </c>
      <c r="CB240" s="176"/>
      <c r="CC240" s="126"/>
      <c r="CD240" s="126"/>
      <c r="CE240" s="143"/>
    </row>
    <row r="241" spans="1:83">
      <c r="A241" s="107"/>
      <c r="B241" s="107"/>
      <c r="C241" s="107"/>
      <c r="D241" s="107"/>
      <c r="E241" s="548"/>
      <c r="F241" s="549"/>
      <c r="G241" s="549"/>
      <c r="H241" s="550"/>
      <c r="I241" s="540"/>
      <c r="J241" s="541"/>
      <c r="K241" s="541"/>
      <c r="L241" s="542"/>
      <c r="M241" s="540"/>
      <c r="N241" s="541"/>
      <c r="O241" s="541"/>
      <c r="P241" s="542"/>
      <c r="Q241" s="540"/>
      <c r="R241" s="541"/>
      <c r="S241" s="541"/>
      <c r="T241" s="542"/>
      <c r="U241" s="540"/>
      <c r="V241" s="541"/>
      <c r="W241" s="541"/>
      <c r="X241" s="542"/>
      <c r="Y241" s="540"/>
      <c r="Z241" s="541"/>
      <c r="AA241" s="541"/>
      <c r="AB241" s="542"/>
      <c r="AC241" s="540"/>
      <c r="AD241" s="541"/>
      <c r="AE241" s="541"/>
      <c r="AF241" s="542"/>
      <c r="AG241" s="540"/>
      <c r="AH241" s="541"/>
      <c r="AI241" s="541"/>
      <c r="AJ241" s="542"/>
      <c r="AK241" s="540"/>
      <c r="AL241" s="541"/>
      <c r="AM241" s="541"/>
      <c r="AN241" s="542"/>
      <c r="AO241" s="540"/>
      <c r="AP241" s="541"/>
      <c r="AQ241" s="541"/>
      <c r="AR241" s="542"/>
      <c r="AS241" s="540"/>
      <c r="AT241" s="541"/>
      <c r="AU241" s="541"/>
      <c r="AV241" s="542"/>
      <c r="AW241" s="540"/>
      <c r="AX241" s="541"/>
      <c r="AY241" s="541"/>
      <c r="AZ241" s="542"/>
      <c r="BG241" s="93"/>
      <c r="BH241" s="93"/>
      <c r="BI241" s="93"/>
      <c r="BJ241" s="176">
        <v>182</v>
      </c>
      <c r="BK241" s="164">
        <v>0</v>
      </c>
      <c r="BL241" s="165">
        <v>207.52</v>
      </c>
      <c r="BM241" s="165">
        <v>305.68</v>
      </c>
      <c r="BN241" s="165">
        <v>427.81</v>
      </c>
      <c r="BO241" s="165">
        <v>430.52</v>
      </c>
      <c r="BP241" s="165">
        <v>457.65</v>
      </c>
      <c r="BQ241" s="165">
        <v>381.61</v>
      </c>
      <c r="BR241" s="165">
        <v>463.38</v>
      </c>
      <c r="BS241" s="165">
        <v>706.12</v>
      </c>
      <c r="BT241" s="165">
        <v>1003.79</v>
      </c>
      <c r="BU241" s="165">
        <v>1059.1500000000001</v>
      </c>
      <c r="BV241" s="165">
        <v>457.65</v>
      </c>
      <c r="BW241" s="165">
        <v>381.61</v>
      </c>
      <c r="BX241" s="165">
        <v>463.38</v>
      </c>
      <c r="BY241" s="165">
        <v>706.12</v>
      </c>
      <c r="BZ241" s="165">
        <v>1003.79</v>
      </c>
      <c r="CA241" s="165">
        <v>1059.1500000000001</v>
      </c>
      <c r="CB241" s="176"/>
      <c r="CC241" s="126"/>
      <c r="CD241" s="126"/>
      <c r="CE241" s="143"/>
    </row>
    <row r="242" spans="1:83">
      <c r="A242" s="107"/>
      <c r="B242" s="107"/>
      <c r="C242" s="107"/>
      <c r="D242" s="107"/>
      <c r="E242" s="551"/>
      <c r="F242" s="552"/>
      <c r="G242" s="552"/>
      <c r="H242" s="553"/>
      <c r="I242" s="545"/>
      <c r="J242" s="546"/>
      <c r="K242" s="546"/>
      <c r="L242" s="547"/>
      <c r="M242" s="545"/>
      <c r="N242" s="546"/>
      <c r="O242" s="546"/>
      <c r="P242" s="547"/>
      <c r="Q242" s="545"/>
      <c r="R242" s="546"/>
      <c r="S242" s="546"/>
      <c r="T242" s="547"/>
      <c r="U242" s="545"/>
      <c r="V242" s="546"/>
      <c r="W242" s="546"/>
      <c r="X242" s="547"/>
      <c r="Y242" s="545"/>
      <c r="Z242" s="546"/>
      <c r="AA242" s="546"/>
      <c r="AB242" s="547"/>
      <c r="AC242" s="545"/>
      <c r="AD242" s="546"/>
      <c r="AE242" s="546"/>
      <c r="AF242" s="547"/>
      <c r="AG242" s="545"/>
      <c r="AH242" s="546"/>
      <c r="AI242" s="546"/>
      <c r="AJ242" s="547"/>
      <c r="AK242" s="545"/>
      <c r="AL242" s="546"/>
      <c r="AM242" s="546"/>
      <c r="AN242" s="547"/>
      <c r="AO242" s="545"/>
      <c r="AP242" s="546"/>
      <c r="AQ242" s="546"/>
      <c r="AR242" s="547"/>
      <c r="AS242" s="545"/>
      <c r="AT242" s="546"/>
      <c r="AU242" s="546"/>
      <c r="AV242" s="547"/>
      <c r="AW242" s="545"/>
      <c r="AX242" s="546"/>
      <c r="AY242" s="546"/>
      <c r="AZ242" s="547"/>
      <c r="BG242" s="93"/>
      <c r="BH242" s="93"/>
      <c r="BI242" s="93"/>
      <c r="BJ242" s="176">
        <v>183</v>
      </c>
      <c r="BK242" s="164">
        <v>0</v>
      </c>
      <c r="BL242" s="165">
        <v>208.69</v>
      </c>
      <c r="BM242" s="165">
        <v>307.44</v>
      </c>
      <c r="BN242" s="165">
        <v>430.26</v>
      </c>
      <c r="BO242" s="165">
        <v>432.96</v>
      </c>
      <c r="BP242" s="165">
        <v>460.28</v>
      </c>
      <c r="BQ242" s="165">
        <v>383.79</v>
      </c>
      <c r="BR242" s="165">
        <v>466.04</v>
      </c>
      <c r="BS242" s="165">
        <v>710.26</v>
      </c>
      <c r="BT242" s="165">
        <v>1009.69</v>
      </c>
      <c r="BU242" s="165">
        <v>1065.3599999999999</v>
      </c>
      <c r="BV242" s="165">
        <v>460.28</v>
      </c>
      <c r="BW242" s="165">
        <v>383.79</v>
      </c>
      <c r="BX242" s="165">
        <v>466.04</v>
      </c>
      <c r="BY242" s="165">
        <v>710.26</v>
      </c>
      <c r="BZ242" s="165">
        <v>1009.69</v>
      </c>
      <c r="CA242" s="165">
        <v>1065.3599999999999</v>
      </c>
      <c r="CB242" s="176"/>
      <c r="CC242" s="126"/>
      <c r="CD242" s="126"/>
      <c r="CE242" s="143"/>
    </row>
    <row r="243" spans="1:83">
      <c r="A243" s="107"/>
      <c r="B243" s="107"/>
      <c r="C243" s="107"/>
      <c r="D243" s="107"/>
      <c r="E243" s="548"/>
      <c r="F243" s="549"/>
      <c r="G243" s="549"/>
      <c r="H243" s="550"/>
      <c r="I243" s="540"/>
      <c r="J243" s="541"/>
      <c r="K243" s="541"/>
      <c r="L243" s="542"/>
      <c r="M243" s="540"/>
      <c r="N243" s="541"/>
      <c r="O243" s="541"/>
      <c r="P243" s="542"/>
      <c r="Q243" s="540"/>
      <c r="R243" s="541"/>
      <c r="S243" s="541"/>
      <c r="T243" s="542"/>
      <c r="U243" s="540"/>
      <c r="V243" s="541"/>
      <c r="W243" s="541"/>
      <c r="X243" s="542"/>
      <c r="Y243" s="540"/>
      <c r="Z243" s="541"/>
      <c r="AA243" s="541"/>
      <c r="AB243" s="542"/>
      <c r="AC243" s="540"/>
      <c r="AD243" s="541"/>
      <c r="AE243" s="541"/>
      <c r="AF243" s="542"/>
      <c r="AG243" s="540"/>
      <c r="AH243" s="541"/>
      <c r="AI243" s="541"/>
      <c r="AJ243" s="542"/>
      <c r="AK243" s="540"/>
      <c r="AL243" s="541"/>
      <c r="AM243" s="541"/>
      <c r="AN243" s="542"/>
      <c r="AO243" s="540"/>
      <c r="AP243" s="541"/>
      <c r="AQ243" s="541"/>
      <c r="AR243" s="542"/>
      <c r="AS243" s="540"/>
      <c r="AT243" s="541"/>
      <c r="AU243" s="541"/>
      <c r="AV243" s="542"/>
      <c r="AW243" s="540"/>
      <c r="AX243" s="541"/>
      <c r="AY243" s="541"/>
      <c r="AZ243" s="542"/>
      <c r="BG243" s="93"/>
      <c r="BH243" s="93"/>
      <c r="BI243" s="93"/>
      <c r="BJ243" s="176">
        <v>184</v>
      </c>
      <c r="BK243" s="164">
        <v>0</v>
      </c>
      <c r="BL243" s="165">
        <v>209.85</v>
      </c>
      <c r="BM243" s="165">
        <v>309.2</v>
      </c>
      <c r="BN243" s="165">
        <v>432.7</v>
      </c>
      <c r="BO243" s="165">
        <v>435.41</v>
      </c>
      <c r="BP243" s="165">
        <v>462.9</v>
      </c>
      <c r="BQ243" s="165">
        <v>385.97</v>
      </c>
      <c r="BR243" s="165">
        <v>468.7</v>
      </c>
      <c r="BS243" s="165">
        <v>714.39</v>
      </c>
      <c r="BT243" s="165">
        <v>1015.6</v>
      </c>
      <c r="BU243" s="165">
        <v>1071.56</v>
      </c>
      <c r="BV243" s="165">
        <v>462.9</v>
      </c>
      <c r="BW243" s="165">
        <v>385.97</v>
      </c>
      <c r="BX243" s="165">
        <v>468.7</v>
      </c>
      <c r="BY243" s="165">
        <v>714.39</v>
      </c>
      <c r="BZ243" s="165">
        <v>1015.6</v>
      </c>
      <c r="CA243" s="165">
        <v>1071.56</v>
      </c>
      <c r="CB243" s="176"/>
      <c r="CC243" s="126"/>
      <c r="CD243" s="126"/>
      <c r="CE243" s="143"/>
    </row>
    <row r="244" spans="1:83">
      <c r="A244" s="107"/>
      <c r="B244" s="107"/>
      <c r="C244" s="107"/>
      <c r="D244" s="107"/>
      <c r="E244" s="551"/>
      <c r="F244" s="552"/>
      <c r="G244" s="552"/>
      <c r="H244" s="553"/>
      <c r="I244" s="545"/>
      <c r="J244" s="546"/>
      <c r="K244" s="546"/>
      <c r="L244" s="547"/>
      <c r="M244" s="545"/>
      <c r="N244" s="546"/>
      <c r="O244" s="546"/>
      <c r="P244" s="547"/>
      <c r="Q244" s="545"/>
      <c r="R244" s="546"/>
      <c r="S244" s="546"/>
      <c r="T244" s="547"/>
      <c r="U244" s="545"/>
      <c r="V244" s="546"/>
      <c r="W244" s="546"/>
      <c r="X244" s="547"/>
      <c r="Y244" s="545"/>
      <c r="Z244" s="546"/>
      <c r="AA244" s="546"/>
      <c r="AB244" s="547"/>
      <c r="AC244" s="545"/>
      <c r="AD244" s="546"/>
      <c r="AE244" s="546"/>
      <c r="AF244" s="547"/>
      <c r="AG244" s="545"/>
      <c r="AH244" s="546"/>
      <c r="AI244" s="546"/>
      <c r="AJ244" s="547"/>
      <c r="AK244" s="545"/>
      <c r="AL244" s="546"/>
      <c r="AM244" s="546"/>
      <c r="AN244" s="547"/>
      <c r="AO244" s="545"/>
      <c r="AP244" s="546"/>
      <c r="AQ244" s="546"/>
      <c r="AR244" s="547"/>
      <c r="AS244" s="545"/>
      <c r="AT244" s="546"/>
      <c r="AU244" s="546"/>
      <c r="AV244" s="547"/>
      <c r="AW244" s="545"/>
      <c r="AX244" s="546"/>
      <c r="AY244" s="546"/>
      <c r="AZ244" s="547"/>
      <c r="BG244" s="93"/>
      <c r="BH244" s="93"/>
      <c r="BI244" s="93"/>
      <c r="BJ244" s="176">
        <v>185</v>
      </c>
      <c r="BK244" s="164">
        <v>0</v>
      </c>
      <c r="BL244" s="165">
        <v>211.02</v>
      </c>
      <c r="BM244" s="165">
        <v>310.95999999999998</v>
      </c>
      <c r="BN244" s="165">
        <v>435.14</v>
      </c>
      <c r="BO244" s="165">
        <v>437.85</v>
      </c>
      <c r="BP244" s="165">
        <v>465.52</v>
      </c>
      <c r="BQ244" s="165">
        <v>388.14</v>
      </c>
      <c r="BR244" s="165">
        <v>471.36</v>
      </c>
      <c r="BS244" s="165">
        <v>718.53</v>
      </c>
      <c r="BT244" s="165">
        <v>1021.51</v>
      </c>
      <c r="BU244" s="165">
        <v>1077.77</v>
      </c>
      <c r="BV244" s="165">
        <v>465.52</v>
      </c>
      <c r="BW244" s="165">
        <v>388.14</v>
      </c>
      <c r="BX244" s="165">
        <v>471.36</v>
      </c>
      <c r="BY244" s="165">
        <v>718.53</v>
      </c>
      <c r="BZ244" s="165">
        <v>1021.51</v>
      </c>
      <c r="CA244" s="165">
        <v>1077.77</v>
      </c>
      <c r="CB244" s="176"/>
      <c r="CC244" s="126"/>
      <c r="CD244" s="126"/>
      <c r="CE244" s="143"/>
    </row>
    <row r="245" spans="1:83">
      <c r="A245" s="107"/>
      <c r="B245" s="107"/>
      <c r="C245" s="107"/>
      <c r="D245" s="107"/>
      <c r="E245" s="548"/>
      <c r="F245" s="549"/>
      <c r="G245" s="549"/>
      <c r="H245" s="550"/>
      <c r="I245" s="540"/>
      <c r="J245" s="541"/>
      <c r="K245" s="541"/>
      <c r="L245" s="542"/>
      <c r="M245" s="540"/>
      <c r="N245" s="541"/>
      <c r="O245" s="541"/>
      <c r="P245" s="542"/>
      <c r="Q245" s="540"/>
      <c r="R245" s="541"/>
      <c r="S245" s="541"/>
      <c r="T245" s="542"/>
      <c r="U245" s="540"/>
      <c r="V245" s="541"/>
      <c r="W245" s="541"/>
      <c r="X245" s="542"/>
      <c r="Y245" s="540"/>
      <c r="Z245" s="541"/>
      <c r="AA245" s="541"/>
      <c r="AB245" s="542"/>
      <c r="AC245" s="540"/>
      <c r="AD245" s="541"/>
      <c r="AE245" s="541"/>
      <c r="AF245" s="542"/>
      <c r="AG245" s="540"/>
      <c r="AH245" s="541"/>
      <c r="AI245" s="541"/>
      <c r="AJ245" s="542"/>
      <c r="AK245" s="540"/>
      <c r="AL245" s="541"/>
      <c r="AM245" s="541"/>
      <c r="AN245" s="542"/>
      <c r="AO245" s="540"/>
      <c r="AP245" s="541"/>
      <c r="AQ245" s="541"/>
      <c r="AR245" s="542"/>
      <c r="AS245" s="540"/>
      <c r="AT245" s="541"/>
      <c r="AU245" s="541"/>
      <c r="AV245" s="542"/>
      <c r="AW245" s="540"/>
      <c r="AX245" s="541"/>
      <c r="AY245" s="541"/>
      <c r="AZ245" s="542"/>
      <c r="BG245" s="93"/>
      <c r="BH245" s="93"/>
      <c r="BI245" s="93"/>
      <c r="BJ245" s="176">
        <v>186</v>
      </c>
      <c r="BK245" s="164">
        <v>0</v>
      </c>
      <c r="BL245" s="165">
        <v>212.19</v>
      </c>
      <c r="BM245" s="165">
        <v>312.72000000000003</v>
      </c>
      <c r="BN245" s="165">
        <v>437.59</v>
      </c>
      <c r="BO245" s="165">
        <v>440.29</v>
      </c>
      <c r="BP245" s="165">
        <v>468.15</v>
      </c>
      <c r="BQ245" s="165">
        <v>390.32</v>
      </c>
      <c r="BR245" s="165">
        <v>474.02</v>
      </c>
      <c r="BS245" s="165">
        <v>722.66</v>
      </c>
      <c r="BT245" s="165">
        <v>1027.42</v>
      </c>
      <c r="BU245" s="165">
        <v>1083.98</v>
      </c>
      <c r="BV245" s="165">
        <v>468.15</v>
      </c>
      <c r="BW245" s="165">
        <v>390.32</v>
      </c>
      <c r="BX245" s="165">
        <v>474.02</v>
      </c>
      <c r="BY245" s="165">
        <v>722.66</v>
      </c>
      <c r="BZ245" s="165">
        <v>1027.42</v>
      </c>
      <c r="CA245" s="165">
        <v>1083.98</v>
      </c>
      <c r="CB245" s="176"/>
      <c r="CC245" s="126"/>
      <c r="CD245" s="126"/>
      <c r="CE245" s="143"/>
    </row>
    <row r="246" spans="1:83">
      <c r="A246" s="107"/>
      <c r="B246" s="107"/>
      <c r="C246" s="107"/>
      <c r="D246" s="107"/>
      <c r="E246" s="551"/>
      <c r="F246" s="552"/>
      <c r="G246" s="552"/>
      <c r="H246" s="553"/>
      <c r="I246" s="545"/>
      <c r="J246" s="546"/>
      <c r="K246" s="546"/>
      <c r="L246" s="547"/>
      <c r="M246" s="545"/>
      <c r="N246" s="546"/>
      <c r="O246" s="546"/>
      <c r="P246" s="547"/>
      <c r="Q246" s="545"/>
      <c r="R246" s="546"/>
      <c r="S246" s="546"/>
      <c r="T246" s="547"/>
      <c r="U246" s="545"/>
      <c r="V246" s="546"/>
      <c r="W246" s="546"/>
      <c r="X246" s="547"/>
      <c r="Y246" s="545"/>
      <c r="Z246" s="546"/>
      <c r="AA246" s="546"/>
      <c r="AB246" s="547"/>
      <c r="AC246" s="545"/>
      <c r="AD246" s="546"/>
      <c r="AE246" s="546"/>
      <c r="AF246" s="547"/>
      <c r="AG246" s="545"/>
      <c r="AH246" s="546"/>
      <c r="AI246" s="546"/>
      <c r="AJ246" s="547"/>
      <c r="AK246" s="545"/>
      <c r="AL246" s="546"/>
      <c r="AM246" s="546"/>
      <c r="AN246" s="547"/>
      <c r="AO246" s="545"/>
      <c r="AP246" s="546"/>
      <c r="AQ246" s="546"/>
      <c r="AR246" s="547"/>
      <c r="AS246" s="545"/>
      <c r="AT246" s="546"/>
      <c r="AU246" s="546"/>
      <c r="AV246" s="547"/>
      <c r="AW246" s="545"/>
      <c r="AX246" s="546"/>
      <c r="AY246" s="546"/>
      <c r="AZ246" s="547"/>
      <c r="BG246" s="93"/>
      <c r="BH246" s="93"/>
      <c r="BI246" s="93"/>
      <c r="BJ246" s="176">
        <v>187</v>
      </c>
      <c r="BK246" s="164">
        <v>0</v>
      </c>
      <c r="BL246" s="165">
        <v>213.35</v>
      </c>
      <c r="BM246" s="165">
        <v>314.48</v>
      </c>
      <c r="BN246" s="165">
        <v>440.03</v>
      </c>
      <c r="BO246" s="165">
        <v>442.74</v>
      </c>
      <c r="BP246" s="165">
        <v>470.77</v>
      </c>
      <c r="BQ246" s="165">
        <v>392.5</v>
      </c>
      <c r="BR246" s="165">
        <v>476.68</v>
      </c>
      <c r="BS246" s="165">
        <v>726.8</v>
      </c>
      <c r="BT246" s="165">
        <v>1033.33</v>
      </c>
      <c r="BU246" s="165">
        <v>1090.18</v>
      </c>
      <c r="BV246" s="165">
        <v>470.77</v>
      </c>
      <c r="BW246" s="165">
        <v>392.5</v>
      </c>
      <c r="BX246" s="165">
        <v>476.68</v>
      </c>
      <c r="BY246" s="165">
        <v>726.8</v>
      </c>
      <c r="BZ246" s="165">
        <v>1033.33</v>
      </c>
      <c r="CA246" s="165">
        <v>1090.18</v>
      </c>
      <c r="CB246" s="176"/>
      <c r="CC246" s="126"/>
      <c r="CD246" s="126"/>
      <c r="CE246" s="143"/>
    </row>
    <row r="247" spans="1:83">
      <c r="A247" s="107"/>
      <c r="B247" s="107"/>
      <c r="C247" s="107"/>
      <c r="D247" s="107"/>
      <c r="E247" s="548"/>
      <c r="F247" s="549"/>
      <c r="G247" s="549"/>
      <c r="H247" s="550"/>
      <c r="I247" s="540"/>
      <c r="J247" s="541"/>
      <c r="K247" s="541"/>
      <c r="L247" s="542"/>
      <c r="M247" s="540"/>
      <c r="N247" s="541"/>
      <c r="O247" s="541"/>
      <c r="P247" s="542"/>
      <c r="Q247" s="540"/>
      <c r="R247" s="541"/>
      <c r="S247" s="541"/>
      <c r="T247" s="542"/>
      <c r="U247" s="540"/>
      <c r="V247" s="541"/>
      <c r="W247" s="541"/>
      <c r="X247" s="542"/>
      <c r="Y247" s="540"/>
      <c r="Z247" s="541"/>
      <c r="AA247" s="541"/>
      <c r="AB247" s="542"/>
      <c r="AC247" s="540"/>
      <c r="AD247" s="541"/>
      <c r="AE247" s="541"/>
      <c r="AF247" s="542"/>
      <c r="AG247" s="540"/>
      <c r="AH247" s="541"/>
      <c r="AI247" s="541"/>
      <c r="AJ247" s="542"/>
      <c r="AK247" s="540"/>
      <c r="AL247" s="541"/>
      <c r="AM247" s="541"/>
      <c r="AN247" s="542"/>
      <c r="AO247" s="540"/>
      <c r="AP247" s="541"/>
      <c r="AQ247" s="541"/>
      <c r="AR247" s="542"/>
      <c r="AS247" s="540"/>
      <c r="AT247" s="541"/>
      <c r="AU247" s="541"/>
      <c r="AV247" s="542"/>
      <c r="AW247" s="540"/>
      <c r="AX247" s="541"/>
      <c r="AY247" s="541"/>
      <c r="AZ247" s="542"/>
      <c r="BG247" s="93"/>
      <c r="BH247" s="93"/>
      <c r="BI247" s="93"/>
      <c r="BJ247" s="176">
        <v>188</v>
      </c>
      <c r="BK247" s="164">
        <v>0</v>
      </c>
      <c r="BL247" s="165">
        <v>214.52</v>
      </c>
      <c r="BM247" s="165">
        <v>316.24</v>
      </c>
      <c r="BN247" s="165">
        <v>442.47</v>
      </c>
      <c r="BO247" s="165">
        <v>445.18</v>
      </c>
      <c r="BP247" s="165">
        <v>473.39</v>
      </c>
      <c r="BQ247" s="165">
        <v>394.68</v>
      </c>
      <c r="BR247" s="165">
        <v>479.34</v>
      </c>
      <c r="BS247" s="165">
        <v>730.93</v>
      </c>
      <c r="BT247" s="165">
        <v>1039.24</v>
      </c>
      <c r="BU247" s="165">
        <v>1096.3900000000001</v>
      </c>
      <c r="BV247" s="165">
        <v>473.39</v>
      </c>
      <c r="BW247" s="165">
        <v>394.68</v>
      </c>
      <c r="BX247" s="165">
        <v>479.34</v>
      </c>
      <c r="BY247" s="165">
        <v>730.93</v>
      </c>
      <c r="BZ247" s="165">
        <v>1039.24</v>
      </c>
      <c r="CA247" s="165">
        <v>1096.3900000000001</v>
      </c>
      <c r="CB247" s="176"/>
      <c r="CC247" s="126"/>
      <c r="CD247" s="126"/>
      <c r="CE247" s="143"/>
    </row>
    <row r="248" spans="1:83">
      <c r="A248" s="107"/>
      <c r="B248" s="107"/>
      <c r="C248" s="107"/>
      <c r="D248" s="107"/>
      <c r="E248" s="551"/>
      <c r="F248" s="552"/>
      <c r="G248" s="552"/>
      <c r="H248" s="553"/>
      <c r="I248" s="545"/>
      <c r="J248" s="546"/>
      <c r="K248" s="546"/>
      <c r="L248" s="547"/>
      <c r="M248" s="545"/>
      <c r="N248" s="546"/>
      <c r="O248" s="546"/>
      <c r="P248" s="547"/>
      <c r="Q248" s="545"/>
      <c r="R248" s="546"/>
      <c r="S248" s="546"/>
      <c r="T248" s="547"/>
      <c r="U248" s="545"/>
      <c r="V248" s="546"/>
      <c r="W248" s="546"/>
      <c r="X248" s="547"/>
      <c r="Y248" s="545"/>
      <c r="Z248" s="546"/>
      <c r="AA248" s="546"/>
      <c r="AB248" s="547"/>
      <c r="AC248" s="545"/>
      <c r="AD248" s="546"/>
      <c r="AE248" s="546"/>
      <c r="AF248" s="547"/>
      <c r="AG248" s="545"/>
      <c r="AH248" s="546"/>
      <c r="AI248" s="546"/>
      <c r="AJ248" s="547"/>
      <c r="AK248" s="545"/>
      <c r="AL248" s="546"/>
      <c r="AM248" s="546"/>
      <c r="AN248" s="547"/>
      <c r="AO248" s="545"/>
      <c r="AP248" s="546"/>
      <c r="AQ248" s="546"/>
      <c r="AR248" s="547"/>
      <c r="AS248" s="545"/>
      <c r="AT248" s="546"/>
      <c r="AU248" s="546"/>
      <c r="AV248" s="547"/>
      <c r="AW248" s="545"/>
      <c r="AX248" s="546"/>
      <c r="AY248" s="546"/>
      <c r="AZ248" s="547"/>
      <c r="BG248" s="93"/>
      <c r="BH248" s="93"/>
      <c r="BI248" s="93"/>
      <c r="BJ248" s="176">
        <v>189</v>
      </c>
      <c r="BK248" s="164">
        <v>0</v>
      </c>
      <c r="BL248" s="165">
        <v>215.69</v>
      </c>
      <c r="BM248" s="165">
        <v>318</v>
      </c>
      <c r="BN248" s="165">
        <v>444.92</v>
      </c>
      <c r="BO248" s="165">
        <v>447.62</v>
      </c>
      <c r="BP248" s="165">
        <v>476.02</v>
      </c>
      <c r="BQ248" s="165">
        <v>396.85</v>
      </c>
      <c r="BR248" s="165">
        <v>481.99</v>
      </c>
      <c r="BS248" s="165">
        <v>735.07</v>
      </c>
      <c r="BT248" s="165">
        <v>1045.1500000000001</v>
      </c>
      <c r="BU248" s="165">
        <v>1102.5999999999999</v>
      </c>
      <c r="BV248" s="165">
        <v>476.02</v>
      </c>
      <c r="BW248" s="165">
        <v>396.85</v>
      </c>
      <c r="BX248" s="165">
        <v>481.99</v>
      </c>
      <c r="BY248" s="165">
        <v>735.07</v>
      </c>
      <c r="BZ248" s="165">
        <v>1045.1500000000001</v>
      </c>
      <c r="CA248" s="165">
        <v>1102.5999999999999</v>
      </c>
      <c r="CB248" s="176"/>
      <c r="CC248" s="126"/>
      <c r="CD248" s="126"/>
      <c r="CE248" s="143"/>
    </row>
    <row r="249" spans="1:83">
      <c r="A249" s="107"/>
      <c r="B249" s="107"/>
      <c r="C249" s="107"/>
      <c r="D249" s="107"/>
      <c r="E249" s="548"/>
      <c r="F249" s="549"/>
      <c r="G249" s="549"/>
      <c r="H249" s="550"/>
      <c r="I249" s="540"/>
      <c r="J249" s="541"/>
      <c r="K249" s="541"/>
      <c r="L249" s="542"/>
      <c r="M249" s="540"/>
      <c r="N249" s="541"/>
      <c r="O249" s="541"/>
      <c r="P249" s="542"/>
      <c r="Q249" s="540"/>
      <c r="R249" s="541"/>
      <c r="S249" s="541"/>
      <c r="T249" s="542"/>
      <c r="U249" s="540"/>
      <c r="V249" s="541"/>
      <c r="W249" s="541"/>
      <c r="X249" s="542"/>
      <c r="Y249" s="540"/>
      <c r="Z249" s="541"/>
      <c r="AA249" s="541"/>
      <c r="AB249" s="542"/>
      <c r="AC249" s="540"/>
      <c r="AD249" s="541"/>
      <c r="AE249" s="541"/>
      <c r="AF249" s="542"/>
      <c r="AG249" s="540"/>
      <c r="AH249" s="541"/>
      <c r="AI249" s="541"/>
      <c r="AJ249" s="542"/>
      <c r="AK249" s="540"/>
      <c r="AL249" s="541"/>
      <c r="AM249" s="541"/>
      <c r="AN249" s="542"/>
      <c r="AO249" s="540"/>
      <c r="AP249" s="541"/>
      <c r="AQ249" s="541"/>
      <c r="AR249" s="542"/>
      <c r="AS249" s="540"/>
      <c r="AT249" s="541"/>
      <c r="AU249" s="541"/>
      <c r="AV249" s="542"/>
      <c r="AW249" s="540"/>
      <c r="AX249" s="541"/>
      <c r="AY249" s="541"/>
      <c r="AZ249" s="542"/>
      <c r="BG249" s="93"/>
      <c r="BH249" s="93"/>
      <c r="BI249" s="93"/>
      <c r="BJ249" s="176">
        <v>190</v>
      </c>
      <c r="BK249" s="164">
        <v>0</v>
      </c>
      <c r="BL249" s="165">
        <v>216.85</v>
      </c>
      <c r="BM249" s="165">
        <v>319.76</v>
      </c>
      <c r="BN249" s="165">
        <v>447.36</v>
      </c>
      <c r="BO249" s="165">
        <v>450.07</v>
      </c>
      <c r="BP249" s="165">
        <v>478.64</v>
      </c>
      <c r="BQ249" s="165">
        <v>399.03</v>
      </c>
      <c r="BR249" s="165">
        <v>484.65</v>
      </c>
      <c r="BS249" s="165">
        <v>739.2</v>
      </c>
      <c r="BT249" s="165">
        <v>1051.06</v>
      </c>
      <c r="BU249" s="165">
        <v>1108.8</v>
      </c>
      <c r="BV249" s="165">
        <v>478.64</v>
      </c>
      <c r="BW249" s="165">
        <v>399.03</v>
      </c>
      <c r="BX249" s="165">
        <v>484.65</v>
      </c>
      <c r="BY249" s="165">
        <v>739.2</v>
      </c>
      <c r="BZ249" s="165">
        <v>1051.06</v>
      </c>
      <c r="CA249" s="165">
        <v>1108.8</v>
      </c>
      <c r="CB249" s="176"/>
      <c r="CC249" s="126"/>
      <c r="CD249" s="126"/>
      <c r="CE249" s="143"/>
    </row>
    <row r="250" spans="1:83">
      <c r="A250" s="107"/>
      <c r="B250" s="107"/>
      <c r="C250" s="107"/>
      <c r="D250" s="107"/>
      <c r="E250" s="551"/>
      <c r="F250" s="552"/>
      <c r="G250" s="552"/>
      <c r="H250" s="553"/>
      <c r="I250" s="545"/>
      <c r="J250" s="546"/>
      <c r="K250" s="546"/>
      <c r="L250" s="547"/>
      <c r="M250" s="545"/>
      <c r="N250" s="546"/>
      <c r="O250" s="546"/>
      <c r="P250" s="547"/>
      <c r="Q250" s="545"/>
      <c r="R250" s="546"/>
      <c r="S250" s="546"/>
      <c r="T250" s="547"/>
      <c r="U250" s="545"/>
      <c r="V250" s="546"/>
      <c r="W250" s="546"/>
      <c r="X250" s="547"/>
      <c r="Y250" s="545"/>
      <c r="Z250" s="546"/>
      <c r="AA250" s="546"/>
      <c r="AB250" s="547"/>
      <c r="AC250" s="545"/>
      <c r="AD250" s="546"/>
      <c r="AE250" s="546"/>
      <c r="AF250" s="547"/>
      <c r="AG250" s="545"/>
      <c r="AH250" s="546"/>
      <c r="AI250" s="546"/>
      <c r="AJ250" s="547"/>
      <c r="AK250" s="545"/>
      <c r="AL250" s="546"/>
      <c r="AM250" s="546"/>
      <c r="AN250" s="547"/>
      <c r="AO250" s="545"/>
      <c r="AP250" s="546"/>
      <c r="AQ250" s="546"/>
      <c r="AR250" s="547"/>
      <c r="AS250" s="545"/>
      <c r="AT250" s="546"/>
      <c r="AU250" s="546"/>
      <c r="AV250" s="547"/>
      <c r="AW250" s="545"/>
      <c r="AX250" s="546"/>
      <c r="AY250" s="546"/>
      <c r="AZ250" s="547"/>
      <c r="BG250" s="93"/>
      <c r="BH250" s="93"/>
      <c r="BI250" s="93"/>
      <c r="BJ250" s="176">
        <v>191</v>
      </c>
      <c r="BK250" s="164">
        <v>0</v>
      </c>
      <c r="BL250" s="165">
        <v>218.02</v>
      </c>
      <c r="BM250" s="165">
        <v>321.52</v>
      </c>
      <c r="BN250" s="165">
        <v>449.8</v>
      </c>
      <c r="BO250" s="165">
        <v>452.51</v>
      </c>
      <c r="BP250" s="165">
        <v>481.26</v>
      </c>
      <c r="BQ250" s="165">
        <v>401.21</v>
      </c>
      <c r="BR250" s="165">
        <v>487.31</v>
      </c>
      <c r="BS250" s="165">
        <v>743.34</v>
      </c>
      <c r="BT250" s="165">
        <v>1056.96</v>
      </c>
      <c r="BU250" s="165">
        <v>1115.01</v>
      </c>
      <c r="BV250" s="165">
        <v>481.26</v>
      </c>
      <c r="BW250" s="165">
        <v>401.21</v>
      </c>
      <c r="BX250" s="165">
        <v>487.31</v>
      </c>
      <c r="BY250" s="165">
        <v>743.34</v>
      </c>
      <c r="BZ250" s="165">
        <v>1056.96</v>
      </c>
      <c r="CA250" s="165">
        <v>1115.01</v>
      </c>
      <c r="CB250" s="176"/>
      <c r="CC250" s="126"/>
      <c r="CD250" s="126"/>
      <c r="CE250" s="143"/>
    </row>
    <row r="251" spans="1:83">
      <c r="A251" s="107"/>
      <c r="B251" s="107"/>
      <c r="C251" s="107"/>
      <c r="D251" s="107"/>
      <c r="E251" s="548"/>
      <c r="F251" s="549"/>
      <c r="G251" s="549"/>
      <c r="H251" s="550"/>
      <c r="I251" s="540"/>
      <c r="J251" s="541"/>
      <c r="K251" s="541"/>
      <c r="L251" s="542"/>
      <c r="M251" s="540"/>
      <c r="N251" s="541"/>
      <c r="O251" s="541"/>
      <c r="P251" s="542"/>
      <c r="Q251" s="540"/>
      <c r="R251" s="541"/>
      <c r="S251" s="541"/>
      <c r="T251" s="542"/>
      <c r="U251" s="540"/>
      <c r="V251" s="541"/>
      <c r="W251" s="541"/>
      <c r="X251" s="542"/>
      <c r="Y251" s="540"/>
      <c r="Z251" s="541"/>
      <c r="AA251" s="541"/>
      <c r="AB251" s="542"/>
      <c r="AC251" s="540"/>
      <c r="AD251" s="541"/>
      <c r="AE251" s="541"/>
      <c r="AF251" s="542"/>
      <c r="AG251" s="540"/>
      <c r="AH251" s="541"/>
      <c r="AI251" s="541"/>
      <c r="AJ251" s="542"/>
      <c r="AK251" s="540"/>
      <c r="AL251" s="541"/>
      <c r="AM251" s="541"/>
      <c r="AN251" s="542"/>
      <c r="AO251" s="540"/>
      <c r="AP251" s="541"/>
      <c r="AQ251" s="541"/>
      <c r="AR251" s="542"/>
      <c r="AS251" s="540"/>
      <c r="AT251" s="541"/>
      <c r="AU251" s="541"/>
      <c r="AV251" s="542"/>
      <c r="AW251" s="540"/>
      <c r="AX251" s="541"/>
      <c r="AY251" s="541"/>
      <c r="AZ251" s="542"/>
      <c r="BG251" s="93"/>
      <c r="BH251" s="93"/>
      <c r="BI251" s="93"/>
      <c r="BJ251" s="176">
        <v>192</v>
      </c>
      <c r="BK251" s="164">
        <v>0</v>
      </c>
      <c r="BL251" s="165">
        <v>219.18</v>
      </c>
      <c r="BM251" s="165">
        <v>323.27999999999997</v>
      </c>
      <c r="BN251" s="165">
        <v>452.25</v>
      </c>
      <c r="BO251" s="165">
        <v>454.95</v>
      </c>
      <c r="BP251" s="165">
        <v>483.89</v>
      </c>
      <c r="BQ251" s="165">
        <v>403.38</v>
      </c>
      <c r="BR251" s="165">
        <v>489.97</v>
      </c>
      <c r="BS251" s="165">
        <v>747.48</v>
      </c>
      <c r="BT251" s="165">
        <v>1062.8699999999999</v>
      </c>
      <c r="BU251" s="165">
        <v>1121.22</v>
      </c>
      <c r="BV251" s="165">
        <v>483.89</v>
      </c>
      <c r="BW251" s="165">
        <v>403.38</v>
      </c>
      <c r="BX251" s="165">
        <v>489.97</v>
      </c>
      <c r="BY251" s="165">
        <v>747.48</v>
      </c>
      <c r="BZ251" s="165">
        <v>1062.8699999999999</v>
      </c>
      <c r="CA251" s="165">
        <v>1121.22</v>
      </c>
      <c r="CB251" s="176"/>
      <c r="CC251" s="126"/>
      <c r="CD251" s="126"/>
      <c r="CE251" s="143"/>
    </row>
    <row r="252" spans="1:83">
      <c r="A252" s="107"/>
      <c r="B252" s="107"/>
      <c r="C252" s="107"/>
      <c r="D252" s="107"/>
      <c r="E252" s="551"/>
      <c r="F252" s="552"/>
      <c r="G252" s="552"/>
      <c r="H252" s="553"/>
      <c r="I252" s="545"/>
      <c r="J252" s="546"/>
      <c r="K252" s="546"/>
      <c r="L252" s="547"/>
      <c r="M252" s="545"/>
      <c r="N252" s="546"/>
      <c r="O252" s="546"/>
      <c r="P252" s="547"/>
      <c r="Q252" s="545"/>
      <c r="R252" s="546"/>
      <c r="S252" s="546"/>
      <c r="T252" s="547"/>
      <c r="U252" s="545"/>
      <c r="V252" s="546"/>
      <c r="W252" s="546"/>
      <c r="X252" s="547"/>
      <c r="Y252" s="545"/>
      <c r="Z252" s="546"/>
      <c r="AA252" s="546"/>
      <c r="AB252" s="547"/>
      <c r="AC252" s="545"/>
      <c r="AD252" s="546"/>
      <c r="AE252" s="546"/>
      <c r="AF252" s="547"/>
      <c r="AG252" s="545"/>
      <c r="AH252" s="546"/>
      <c r="AI252" s="546"/>
      <c r="AJ252" s="547"/>
      <c r="AK252" s="545"/>
      <c r="AL252" s="546"/>
      <c r="AM252" s="546"/>
      <c r="AN252" s="547"/>
      <c r="AO252" s="545"/>
      <c r="AP252" s="546"/>
      <c r="AQ252" s="546"/>
      <c r="AR252" s="547"/>
      <c r="AS252" s="545"/>
      <c r="AT252" s="546"/>
      <c r="AU252" s="546"/>
      <c r="AV252" s="547"/>
      <c r="AW252" s="545"/>
      <c r="AX252" s="546"/>
      <c r="AY252" s="546"/>
      <c r="AZ252" s="547"/>
      <c r="BG252" s="93"/>
      <c r="BH252" s="93"/>
      <c r="BI252" s="93"/>
      <c r="BJ252" s="176">
        <v>193</v>
      </c>
      <c r="BK252" s="164">
        <v>0</v>
      </c>
      <c r="BL252" s="165">
        <v>220.35</v>
      </c>
      <c r="BM252" s="165">
        <v>325.02999999999997</v>
      </c>
      <c r="BN252" s="165">
        <v>454.69</v>
      </c>
      <c r="BO252" s="165">
        <v>457.4</v>
      </c>
      <c r="BP252" s="165">
        <v>486.51</v>
      </c>
      <c r="BQ252" s="165">
        <v>405.56</v>
      </c>
      <c r="BR252" s="165">
        <v>492.63</v>
      </c>
      <c r="BS252" s="165">
        <v>751.61</v>
      </c>
      <c r="BT252" s="165">
        <v>1068.78</v>
      </c>
      <c r="BU252" s="165">
        <v>1127.42</v>
      </c>
      <c r="BV252" s="165">
        <v>486.51</v>
      </c>
      <c r="BW252" s="165">
        <v>405.56</v>
      </c>
      <c r="BX252" s="165">
        <v>492.63</v>
      </c>
      <c r="BY252" s="165">
        <v>751.61</v>
      </c>
      <c r="BZ252" s="165">
        <v>1068.78</v>
      </c>
      <c r="CA252" s="165">
        <v>1127.42</v>
      </c>
      <c r="CB252" s="176"/>
      <c r="CC252" s="126"/>
      <c r="CD252" s="126"/>
      <c r="CE252" s="143"/>
    </row>
    <row r="253" spans="1:83">
      <c r="A253" s="107"/>
      <c r="B253" s="107"/>
      <c r="C253" s="107"/>
      <c r="D253" s="107"/>
      <c r="E253" s="548"/>
      <c r="F253" s="549"/>
      <c r="G253" s="549"/>
      <c r="H253" s="550"/>
      <c r="I253" s="540"/>
      <c r="J253" s="541"/>
      <c r="K253" s="541"/>
      <c r="L253" s="542"/>
      <c r="M253" s="540"/>
      <c r="N253" s="541"/>
      <c r="O253" s="541"/>
      <c r="P253" s="542"/>
      <c r="Q253" s="540"/>
      <c r="R253" s="541"/>
      <c r="S253" s="541"/>
      <c r="T253" s="542"/>
      <c r="U253" s="540"/>
      <c r="V253" s="541"/>
      <c r="W253" s="541"/>
      <c r="X253" s="542"/>
      <c r="Y253" s="540"/>
      <c r="Z253" s="541"/>
      <c r="AA253" s="541"/>
      <c r="AB253" s="542"/>
      <c r="AC253" s="540"/>
      <c r="AD253" s="541"/>
      <c r="AE253" s="541"/>
      <c r="AF253" s="542"/>
      <c r="AG253" s="540"/>
      <c r="AH253" s="541"/>
      <c r="AI253" s="541"/>
      <c r="AJ253" s="542"/>
      <c r="AK253" s="540"/>
      <c r="AL253" s="541"/>
      <c r="AM253" s="541"/>
      <c r="AN253" s="542"/>
      <c r="AO253" s="540"/>
      <c r="AP253" s="541"/>
      <c r="AQ253" s="541"/>
      <c r="AR253" s="542"/>
      <c r="AS253" s="540"/>
      <c r="AT253" s="541"/>
      <c r="AU253" s="541"/>
      <c r="AV253" s="542"/>
      <c r="AW253" s="540"/>
      <c r="AX253" s="541"/>
      <c r="AY253" s="541"/>
      <c r="AZ253" s="542"/>
      <c r="BG253" s="93"/>
      <c r="BH253" s="93"/>
      <c r="BI253" s="93"/>
      <c r="BJ253" s="176">
        <v>194</v>
      </c>
      <c r="BK253" s="164">
        <v>0</v>
      </c>
      <c r="BL253" s="165">
        <v>221.52</v>
      </c>
      <c r="BM253" s="165">
        <v>326.79000000000002</v>
      </c>
      <c r="BN253" s="165">
        <v>457.13</v>
      </c>
      <c r="BO253" s="165">
        <v>459.84</v>
      </c>
      <c r="BP253" s="165">
        <v>489.13</v>
      </c>
      <c r="BQ253" s="165">
        <v>407.74</v>
      </c>
      <c r="BR253" s="165">
        <v>495.29</v>
      </c>
      <c r="BS253" s="165">
        <v>755.75</v>
      </c>
      <c r="BT253" s="165">
        <v>1074.69</v>
      </c>
      <c r="BU253" s="165">
        <v>1133.6300000000001</v>
      </c>
      <c r="BV253" s="165">
        <v>489.13</v>
      </c>
      <c r="BW253" s="165">
        <v>407.74</v>
      </c>
      <c r="BX253" s="165">
        <v>495.29</v>
      </c>
      <c r="BY253" s="165">
        <v>755.75</v>
      </c>
      <c r="BZ253" s="165">
        <v>1074.69</v>
      </c>
      <c r="CA253" s="165">
        <v>1133.6300000000001</v>
      </c>
      <c r="CB253" s="176"/>
      <c r="CC253" s="126"/>
      <c r="CD253" s="126"/>
      <c r="CE253" s="143"/>
    </row>
    <row r="254" spans="1:83">
      <c r="A254" s="107"/>
      <c r="B254" s="107"/>
      <c r="C254" s="107"/>
      <c r="D254" s="107"/>
      <c r="E254" s="551"/>
      <c r="F254" s="552"/>
      <c r="G254" s="552"/>
      <c r="H254" s="553"/>
      <c r="I254" s="545"/>
      <c r="J254" s="546"/>
      <c r="K254" s="546"/>
      <c r="L254" s="547"/>
      <c r="M254" s="545"/>
      <c r="N254" s="546"/>
      <c r="O254" s="546"/>
      <c r="P254" s="547"/>
      <c r="Q254" s="545"/>
      <c r="R254" s="546"/>
      <c r="S254" s="546"/>
      <c r="T254" s="547"/>
      <c r="U254" s="545"/>
      <c r="V254" s="546"/>
      <c r="W254" s="546"/>
      <c r="X254" s="547"/>
      <c r="Y254" s="545"/>
      <c r="Z254" s="546"/>
      <c r="AA254" s="546"/>
      <c r="AB254" s="547"/>
      <c r="AC254" s="545"/>
      <c r="AD254" s="546"/>
      <c r="AE254" s="546"/>
      <c r="AF254" s="547"/>
      <c r="AG254" s="545"/>
      <c r="AH254" s="546"/>
      <c r="AI254" s="546"/>
      <c r="AJ254" s="547"/>
      <c r="AK254" s="545"/>
      <c r="AL254" s="546"/>
      <c r="AM254" s="546"/>
      <c r="AN254" s="547"/>
      <c r="AO254" s="545"/>
      <c r="AP254" s="546"/>
      <c r="AQ254" s="546"/>
      <c r="AR254" s="547"/>
      <c r="AS254" s="545"/>
      <c r="AT254" s="546"/>
      <c r="AU254" s="546"/>
      <c r="AV254" s="547"/>
      <c r="AW254" s="545"/>
      <c r="AX254" s="546"/>
      <c r="AY254" s="546"/>
      <c r="AZ254" s="547"/>
      <c r="BG254" s="93"/>
      <c r="BH254" s="93"/>
      <c r="BI254" s="93"/>
      <c r="BJ254" s="176">
        <v>195</v>
      </c>
      <c r="BK254" s="164">
        <v>0</v>
      </c>
      <c r="BL254" s="165">
        <v>222.68</v>
      </c>
      <c r="BM254" s="165">
        <v>328.55</v>
      </c>
      <c r="BN254" s="165">
        <v>459.58</v>
      </c>
      <c r="BO254" s="165">
        <v>462.28</v>
      </c>
      <c r="BP254" s="165">
        <v>491.76</v>
      </c>
      <c r="BQ254" s="165">
        <v>409.91</v>
      </c>
      <c r="BR254" s="165">
        <v>497.95</v>
      </c>
      <c r="BS254" s="165">
        <v>759.88</v>
      </c>
      <c r="BT254" s="165">
        <v>1080.5999999999999</v>
      </c>
      <c r="BU254" s="165">
        <v>1139.83</v>
      </c>
      <c r="BV254" s="165">
        <v>491.76</v>
      </c>
      <c r="BW254" s="165">
        <v>409.91</v>
      </c>
      <c r="BX254" s="165">
        <v>497.95</v>
      </c>
      <c r="BY254" s="165">
        <v>759.88</v>
      </c>
      <c r="BZ254" s="165">
        <v>1080.5999999999999</v>
      </c>
      <c r="CA254" s="165">
        <v>1139.83</v>
      </c>
      <c r="CB254" s="176"/>
      <c r="CC254" s="126"/>
      <c r="CD254" s="126"/>
      <c r="CE254" s="143"/>
    </row>
    <row r="255" spans="1:83">
      <c r="A255" s="107"/>
      <c r="B255" s="107"/>
      <c r="C255" s="107"/>
      <c r="D255" s="107"/>
      <c r="E255" s="548"/>
      <c r="F255" s="549"/>
      <c r="G255" s="549"/>
      <c r="H255" s="550"/>
      <c r="I255" s="540"/>
      <c r="J255" s="541"/>
      <c r="K255" s="541"/>
      <c r="L255" s="542"/>
      <c r="M255" s="540"/>
      <c r="N255" s="541"/>
      <c r="O255" s="541"/>
      <c r="P255" s="542"/>
      <c r="Q255" s="540"/>
      <c r="R255" s="541"/>
      <c r="S255" s="541"/>
      <c r="T255" s="542"/>
      <c r="U255" s="540"/>
      <c r="V255" s="541"/>
      <c r="W255" s="541"/>
      <c r="X255" s="542"/>
      <c r="Y255" s="540"/>
      <c r="Z255" s="541"/>
      <c r="AA255" s="541"/>
      <c r="AB255" s="542"/>
      <c r="AC255" s="540"/>
      <c r="AD255" s="541"/>
      <c r="AE255" s="541"/>
      <c r="AF255" s="542"/>
      <c r="AG255" s="540"/>
      <c r="AH255" s="541"/>
      <c r="AI255" s="541"/>
      <c r="AJ255" s="542"/>
      <c r="AK255" s="540"/>
      <c r="AL255" s="541"/>
      <c r="AM255" s="541"/>
      <c r="AN255" s="542"/>
      <c r="AO255" s="540"/>
      <c r="AP255" s="541"/>
      <c r="AQ255" s="541"/>
      <c r="AR255" s="542"/>
      <c r="AS255" s="540"/>
      <c r="AT255" s="541"/>
      <c r="AU255" s="541"/>
      <c r="AV255" s="542"/>
      <c r="AW255" s="540"/>
      <c r="AX255" s="541"/>
      <c r="AY255" s="541"/>
      <c r="AZ255" s="542"/>
      <c r="BG255" s="93"/>
      <c r="BH255" s="93"/>
      <c r="BI255" s="93"/>
      <c r="BJ255" s="176">
        <v>196</v>
      </c>
      <c r="BK255" s="164">
        <v>0</v>
      </c>
      <c r="BL255" s="165">
        <v>223.85</v>
      </c>
      <c r="BM255" s="165">
        <v>330.31</v>
      </c>
      <c r="BN255" s="165">
        <v>462.02</v>
      </c>
      <c r="BO255" s="165">
        <v>464.73</v>
      </c>
      <c r="BP255" s="165">
        <v>494.38</v>
      </c>
      <c r="BQ255" s="165">
        <v>412.09</v>
      </c>
      <c r="BR255" s="165">
        <v>500.61</v>
      </c>
      <c r="BS255" s="165">
        <v>764.02</v>
      </c>
      <c r="BT255" s="165">
        <v>1086.51</v>
      </c>
      <c r="BU255" s="165">
        <v>1146.04</v>
      </c>
      <c r="BV255" s="165">
        <v>494.38</v>
      </c>
      <c r="BW255" s="165">
        <v>412.09</v>
      </c>
      <c r="BX255" s="165">
        <v>500.61</v>
      </c>
      <c r="BY255" s="165">
        <v>764.02</v>
      </c>
      <c r="BZ255" s="165">
        <v>1086.51</v>
      </c>
      <c r="CA255" s="165">
        <v>1146.04</v>
      </c>
      <c r="CB255" s="176"/>
      <c r="CC255" s="126"/>
      <c r="CD255" s="126"/>
      <c r="CE255" s="143"/>
    </row>
    <row r="256" spans="1:83">
      <c r="A256" s="107"/>
      <c r="B256" s="107"/>
      <c r="C256" s="107"/>
      <c r="D256" s="107"/>
      <c r="E256" s="551"/>
      <c r="F256" s="552"/>
      <c r="G256" s="552"/>
      <c r="H256" s="553"/>
      <c r="I256" s="545"/>
      <c r="J256" s="546"/>
      <c r="K256" s="546"/>
      <c r="L256" s="547"/>
      <c r="M256" s="545"/>
      <c r="N256" s="546"/>
      <c r="O256" s="546"/>
      <c r="P256" s="547"/>
      <c r="Q256" s="545"/>
      <c r="R256" s="546"/>
      <c r="S256" s="546"/>
      <c r="T256" s="547"/>
      <c r="U256" s="545"/>
      <c r="V256" s="546"/>
      <c r="W256" s="546"/>
      <c r="X256" s="547"/>
      <c r="Y256" s="545"/>
      <c r="Z256" s="546"/>
      <c r="AA256" s="546"/>
      <c r="AB256" s="547"/>
      <c r="AC256" s="545"/>
      <c r="AD256" s="546"/>
      <c r="AE256" s="546"/>
      <c r="AF256" s="547"/>
      <c r="AG256" s="545"/>
      <c r="AH256" s="546"/>
      <c r="AI256" s="546"/>
      <c r="AJ256" s="547"/>
      <c r="AK256" s="545"/>
      <c r="AL256" s="546"/>
      <c r="AM256" s="546"/>
      <c r="AN256" s="547"/>
      <c r="AO256" s="545"/>
      <c r="AP256" s="546"/>
      <c r="AQ256" s="546"/>
      <c r="AR256" s="547"/>
      <c r="AS256" s="545"/>
      <c r="AT256" s="546"/>
      <c r="AU256" s="546"/>
      <c r="AV256" s="547"/>
      <c r="AW256" s="545"/>
      <c r="AX256" s="546"/>
      <c r="AY256" s="546"/>
      <c r="AZ256" s="547"/>
      <c r="BG256" s="93"/>
      <c r="BH256" s="93"/>
      <c r="BI256" s="93"/>
      <c r="BJ256" s="176">
        <v>197</v>
      </c>
      <c r="BK256" s="164">
        <v>0</v>
      </c>
      <c r="BL256" s="165">
        <v>225.02</v>
      </c>
      <c r="BM256" s="165">
        <v>332.07</v>
      </c>
      <c r="BN256" s="165">
        <v>464.46</v>
      </c>
      <c r="BO256" s="165">
        <v>467.17</v>
      </c>
      <c r="BP256" s="165">
        <v>497</v>
      </c>
      <c r="BQ256" s="165">
        <v>414.27</v>
      </c>
      <c r="BR256" s="165">
        <v>503.27</v>
      </c>
      <c r="BS256" s="165">
        <v>768.15</v>
      </c>
      <c r="BT256" s="165">
        <v>1092.42</v>
      </c>
      <c r="BU256" s="165">
        <v>1152.25</v>
      </c>
      <c r="BV256" s="165">
        <v>497</v>
      </c>
      <c r="BW256" s="165">
        <v>414.27</v>
      </c>
      <c r="BX256" s="165">
        <v>503.27</v>
      </c>
      <c r="BY256" s="165">
        <v>768.15</v>
      </c>
      <c r="BZ256" s="165">
        <v>1092.42</v>
      </c>
      <c r="CA256" s="165">
        <v>1152.25</v>
      </c>
      <c r="CB256" s="176"/>
      <c r="CC256" s="126"/>
      <c r="CD256" s="126"/>
      <c r="CE256" s="143"/>
    </row>
    <row r="257" spans="1:83">
      <c r="A257" s="107"/>
      <c r="B257" s="107"/>
      <c r="C257" s="107"/>
      <c r="D257" s="107"/>
      <c r="E257" s="548"/>
      <c r="F257" s="549"/>
      <c r="G257" s="549"/>
      <c r="H257" s="550"/>
      <c r="I257" s="540"/>
      <c r="J257" s="541"/>
      <c r="K257" s="541"/>
      <c r="L257" s="542"/>
      <c r="M257" s="540"/>
      <c r="N257" s="541"/>
      <c r="O257" s="541"/>
      <c r="P257" s="542"/>
      <c r="Q257" s="540"/>
      <c r="R257" s="541"/>
      <c r="S257" s="541"/>
      <c r="T257" s="542"/>
      <c r="U257" s="540"/>
      <c r="V257" s="541"/>
      <c r="W257" s="541"/>
      <c r="X257" s="542"/>
      <c r="Y257" s="540"/>
      <c r="Z257" s="541"/>
      <c r="AA257" s="541"/>
      <c r="AB257" s="542"/>
      <c r="AC257" s="540"/>
      <c r="AD257" s="541"/>
      <c r="AE257" s="541"/>
      <c r="AF257" s="542"/>
      <c r="AG257" s="540"/>
      <c r="AH257" s="541"/>
      <c r="AI257" s="541"/>
      <c r="AJ257" s="542"/>
      <c r="AK257" s="540"/>
      <c r="AL257" s="541"/>
      <c r="AM257" s="541"/>
      <c r="AN257" s="542"/>
      <c r="AO257" s="540"/>
      <c r="AP257" s="541"/>
      <c r="AQ257" s="541"/>
      <c r="AR257" s="542"/>
      <c r="AS257" s="540"/>
      <c r="AT257" s="541"/>
      <c r="AU257" s="541"/>
      <c r="AV257" s="542"/>
      <c r="AW257" s="540"/>
      <c r="AX257" s="541"/>
      <c r="AY257" s="541"/>
      <c r="AZ257" s="542"/>
      <c r="BG257" s="93"/>
      <c r="BH257" s="93"/>
      <c r="BI257" s="93"/>
      <c r="BJ257" s="176">
        <v>198</v>
      </c>
      <c r="BK257" s="164">
        <v>0</v>
      </c>
      <c r="BL257" s="165">
        <v>226.18</v>
      </c>
      <c r="BM257" s="165">
        <v>333.83</v>
      </c>
      <c r="BN257" s="165">
        <v>466.91</v>
      </c>
      <c r="BO257" s="165">
        <v>469.61</v>
      </c>
      <c r="BP257" s="165">
        <v>499.62</v>
      </c>
      <c r="BQ257" s="165">
        <v>416.44</v>
      </c>
      <c r="BR257" s="165">
        <v>505.93</v>
      </c>
      <c r="BS257" s="165">
        <v>772.29</v>
      </c>
      <c r="BT257" s="165">
        <v>1098.33</v>
      </c>
      <c r="BU257" s="165">
        <v>1158.45</v>
      </c>
      <c r="BV257" s="165">
        <v>499.62</v>
      </c>
      <c r="BW257" s="165">
        <v>416.44</v>
      </c>
      <c r="BX257" s="165">
        <v>505.93</v>
      </c>
      <c r="BY257" s="165">
        <v>772.29</v>
      </c>
      <c r="BZ257" s="165">
        <v>1098.33</v>
      </c>
      <c r="CA257" s="165">
        <v>1158.45</v>
      </c>
      <c r="CB257" s="176"/>
      <c r="CC257" s="126"/>
      <c r="CD257" s="126"/>
      <c r="CE257" s="143"/>
    </row>
    <row r="258" spans="1:83">
      <c r="A258" s="107"/>
      <c r="B258" s="107"/>
      <c r="C258" s="107"/>
      <c r="D258" s="107"/>
      <c r="E258" s="551"/>
      <c r="F258" s="552"/>
      <c r="G258" s="552"/>
      <c r="H258" s="553"/>
      <c r="I258" s="545"/>
      <c r="J258" s="546"/>
      <c r="K258" s="546"/>
      <c r="L258" s="547"/>
      <c r="M258" s="545"/>
      <c r="N258" s="546"/>
      <c r="O258" s="546"/>
      <c r="P258" s="547"/>
      <c r="Q258" s="545"/>
      <c r="R258" s="546"/>
      <c r="S258" s="546"/>
      <c r="T258" s="547"/>
      <c r="U258" s="545"/>
      <c r="V258" s="546"/>
      <c r="W258" s="546"/>
      <c r="X258" s="547"/>
      <c r="Y258" s="545"/>
      <c r="Z258" s="546"/>
      <c r="AA258" s="546"/>
      <c r="AB258" s="547"/>
      <c r="AC258" s="545"/>
      <c r="AD258" s="546"/>
      <c r="AE258" s="546"/>
      <c r="AF258" s="547"/>
      <c r="AG258" s="545"/>
      <c r="AH258" s="546"/>
      <c r="AI258" s="546"/>
      <c r="AJ258" s="547"/>
      <c r="AK258" s="545"/>
      <c r="AL258" s="546"/>
      <c r="AM258" s="546"/>
      <c r="AN258" s="547"/>
      <c r="AO258" s="545"/>
      <c r="AP258" s="546"/>
      <c r="AQ258" s="546"/>
      <c r="AR258" s="547"/>
      <c r="AS258" s="545"/>
      <c r="AT258" s="546"/>
      <c r="AU258" s="546"/>
      <c r="AV258" s="547"/>
      <c r="AW258" s="545"/>
      <c r="AX258" s="546"/>
      <c r="AY258" s="546"/>
      <c r="AZ258" s="547"/>
      <c r="BG258" s="93"/>
      <c r="BH258" s="93"/>
      <c r="BI258" s="93"/>
      <c r="BJ258" s="176">
        <v>199</v>
      </c>
      <c r="BK258" s="164">
        <v>0</v>
      </c>
      <c r="BL258" s="165">
        <v>227.35</v>
      </c>
      <c r="BM258" s="165">
        <v>335.59</v>
      </c>
      <c r="BN258" s="165">
        <v>469.35</v>
      </c>
      <c r="BO258" s="165">
        <v>472.06</v>
      </c>
      <c r="BP258" s="165">
        <v>502.25</v>
      </c>
      <c r="BQ258" s="165">
        <v>418.62</v>
      </c>
      <c r="BR258" s="165">
        <v>508.59</v>
      </c>
      <c r="BS258" s="165">
        <v>776.42</v>
      </c>
      <c r="BT258" s="165">
        <v>1104.24</v>
      </c>
      <c r="BU258" s="165">
        <v>1164.6600000000001</v>
      </c>
      <c r="BV258" s="165">
        <v>502.25</v>
      </c>
      <c r="BW258" s="165">
        <v>418.62</v>
      </c>
      <c r="BX258" s="165">
        <v>508.59</v>
      </c>
      <c r="BY258" s="165">
        <v>776.42</v>
      </c>
      <c r="BZ258" s="165">
        <v>1104.24</v>
      </c>
      <c r="CA258" s="165">
        <v>1164.6600000000001</v>
      </c>
      <c r="CB258" s="176"/>
      <c r="CC258" s="126"/>
      <c r="CD258" s="126"/>
      <c r="CE258" s="143"/>
    </row>
    <row r="259" spans="1:83">
      <c r="A259" s="107"/>
      <c r="B259" s="107"/>
      <c r="C259" s="107"/>
      <c r="D259" s="107"/>
      <c r="E259" s="548"/>
      <c r="F259" s="549"/>
      <c r="G259" s="549"/>
      <c r="H259" s="550"/>
      <c r="I259" s="540"/>
      <c r="J259" s="541"/>
      <c r="K259" s="541"/>
      <c r="L259" s="542"/>
      <c r="M259" s="540"/>
      <c r="N259" s="541"/>
      <c r="O259" s="541"/>
      <c r="P259" s="542"/>
      <c r="Q259" s="540"/>
      <c r="R259" s="541"/>
      <c r="S259" s="541"/>
      <c r="T259" s="542"/>
      <c r="U259" s="540"/>
      <c r="V259" s="541"/>
      <c r="W259" s="541"/>
      <c r="X259" s="542"/>
      <c r="Y259" s="540"/>
      <c r="Z259" s="541"/>
      <c r="AA259" s="541"/>
      <c r="AB259" s="542"/>
      <c r="AC259" s="540"/>
      <c r="AD259" s="541"/>
      <c r="AE259" s="541"/>
      <c r="AF259" s="542"/>
      <c r="AG259" s="540"/>
      <c r="AH259" s="541"/>
      <c r="AI259" s="541"/>
      <c r="AJ259" s="542"/>
      <c r="AK259" s="540"/>
      <c r="AL259" s="541"/>
      <c r="AM259" s="541"/>
      <c r="AN259" s="542"/>
      <c r="AO259" s="540"/>
      <c r="AP259" s="541"/>
      <c r="AQ259" s="541"/>
      <c r="AR259" s="542"/>
      <c r="AS259" s="540"/>
      <c r="AT259" s="541"/>
      <c r="AU259" s="541"/>
      <c r="AV259" s="542"/>
      <c r="AW259" s="540"/>
      <c r="AX259" s="541"/>
      <c r="AY259" s="541"/>
      <c r="AZ259" s="542"/>
      <c r="BG259" s="93"/>
      <c r="BH259" s="93"/>
      <c r="BI259" s="93"/>
      <c r="BJ259" s="176">
        <v>200</v>
      </c>
      <c r="BK259" s="164">
        <v>0</v>
      </c>
      <c r="BL259" s="165">
        <v>228.52</v>
      </c>
      <c r="BM259" s="165">
        <v>337.35</v>
      </c>
      <c r="BN259" s="165">
        <v>471.79</v>
      </c>
      <c r="BO259" s="165">
        <v>474.5</v>
      </c>
      <c r="BP259" s="165">
        <v>504.87</v>
      </c>
      <c r="BQ259" s="165">
        <v>420.8</v>
      </c>
      <c r="BR259" s="165">
        <v>511.25</v>
      </c>
      <c r="BS259" s="165">
        <v>780.56</v>
      </c>
      <c r="BT259" s="165">
        <v>1110.1400000000001</v>
      </c>
      <c r="BU259" s="165">
        <v>1170.8699999999999</v>
      </c>
      <c r="BV259" s="165">
        <v>504.87</v>
      </c>
      <c r="BW259" s="165">
        <v>420.8</v>
      </c>
      <c r="BX259" s="165">
        <v>511.25</v>
      </c>
      <c r="BY259" s="165">
        <v>780.56</v>
      </c>
      <c r="BZ259" s="165">
        <v>1110.1400000000001</v>
      </c>
      <c r="CA259" s="165">
        <v>1170.8699999999999</v>
      </c>
      <c r="CB259" s="176"/>
      <c r="CC259" s="126"/>
      <c r="CD259" s="126"/>
      <c r="CE259" s="143"/>
    </row>
    <row r="260" spans="1:83">
      <c r="A260" s="107"/>
      <c r="B260" s="107"/>
      <c r="C260" s="107"/>
      <c r="D260" s="107"/>
      <c r="E260" s="551"/>
      <c r="F260" s="552"/>
      <c r="G260" s="552"/>
      <c r="H260" s="553"/>
      <c r="I260" s="545"/>
      <c r="J260" s="546"/>
      <c r="K260" s="546"/>
      <c r="L260" s="547"/>
      <c r="M260" s="545"/>
      <c r="N260" s="546"/>
      <c r="O260" s="546"/>
      <c r="P260" s="547"/>
      <c r="Q260" s="545"/>
      <c r="R260" s="546"/>
      <c r="S260" s="546"/>
      <c r="T260" s="547"/>
      <c r="U260" s="545"/>
      <c r="V260" s="546"/>
      <c r="W260" s="546"/>
      <c r="X260" s="547"/>
      <c r="Y260" s="545"/>
      <c r="Z260" s="546"/>
      <c r="AA260" s="546"/>
      <c r="AB260" s="547"/>
      <c r="AC260" s="545"/>
      <c r="AD260" s="546"/>
      <c r="AE260" s="546"/>
      <c r="AF260" s="547"/>
      <c r="AG260" s="545"/>
      <c r="AH260" s="546"/>
      <c r="AI260" s="546"/>
      <c r="AJ260" s="547"/>
      <c r="AK260" s="545"/>
      <c r="AL260" s="546"/>
      <c r="AM260" s="546"/>
      <c r="AN260" s="547"/>
      <c r="AO260" s="545"/>
      <c r="AP260" s="546"/>
      <c r="AQ260" s="546"/>
      <c r="AR260" s="547"/>
      <c r="AS260" s="545"/>
      <c r="AT260" s="546"/>
      <c r="AU260" s="546"/>
      <c r="AV260" s="547"/>
      <c r="AW260" s="545"/>
      <c r="AX260" s="546"/>
      <c r="AY260" s="546"/>
      <c r="AZ260" s="547"/>
      <c r="BG260" s="93"/>
      <c r="BH260" s="93"/>
      <c r="BI260" s="93"/>
      <c r="BJ260" s="176">
        <v>201</v>
      </c>
      <c r="BK260" s="164">
        <v>0</v>
      </c>
      <c r="BL260" s="165">
        <v>229.68</v>
      </c>
      <c r="BM260" s="165">
        <v>339.11</v>
      </c>
      <c r="BN260" s="165">
        <v>474.24</v>
      </c>
      <c r="BO260" s="165">
        <v>476.94</v>
      </c>
      <c r="BP260" s="165">
        <v>507.49</v>
      </c>
      <c r="BQ260" s="165">
        <v>422.97</v>
      </c>
      <c r="BR260" s="165">
        <v>513.9</v>
      </c>
      <c r="BS260" s="165">
        <v>784.69</v>
      </c>
      <c r="BT260" s="165">
        <v>1116.05</v>
      </c>
      <c r="BU260" s="165">
        <v>1177.07</v>
      </c>
      <c r="BV260" s="165">
        <v>507.49</v>
      </c>
      <c r="BW260" s="165">
        <v>422.97</v>
      </c>
      <c r="BX260" s="165">
        <v>513.9</v>
      </c>
      <c r="BY260" s="165">
        <v>784.69</v>
      </c>
      <c r="BZ260" s="165">
        <v>1116.05</v>
      </c>
      <c r="CA260" s="165">
        <v>1177.07</v>
      </c>
      <c r="CB260" s="176"/>
      <c r="CC260" s="126"/>
      <c r="CD260" s="126"/>
      <c r="CE260" s="143"/>
    </row>
    <row r="261" spans="1:83">
      <c r="A261" s="107"/>
      <c r="B261" s="107"/>
      <c r="C261" s="107"/>
      <c r="D261" s="107"/>
      <c r="E261" s="548"/>
      <c r="F261" s="549"/>
      <c r="G261" s="549"/>
      <c r="H261" s="550"/>
      <c r="I261" s="540"/>
      <c r="J261" s="541"/>
      <c r="K261" s="541"/>
      <c r="L261" s="542"/>
      <c r="M261" s="540"/>
      <c r="N261" s="541"/>
      <c r="O261" s="541"/>
      <c r="P261" s="542"/>
      <c r="Q261" s="540"/>
      <c r="R261" s="541"/>
      <c r="S261" s="541"/>
      <c r="T261" s="542"/>
      <c r="U261" s="540"/>
      <c r="V261" s="541"/>
      <c r="W261" s="541"/>
      <c r="X261" s="542"/>
      <c r="Y261" s="540"/>
      <c r="Z261" s="541"/>
      <c r="AA261" s="541"/>
      <c r="AB261" s="542"/>
      <c r="AC261" s="540"/>
      <c r="AD261" s="541"/>
      <c r="AE261" s="541"/>
      <c r="AF261" s="542"/>
      <c r="AG261" s="540"/>
      <c r="AH261" s="541"/>
      <c r="AI261" s="541"/>
      <c r="AJ261" s="542"/>
      <c r="AK261" s="540"/>
      <c r="AL261" s="541"/>
      <c r="AM261" s="541"/>
      <c r="AN261" s="542"/>
      <c r="AO261" s="540"/>
      <c r="AP261" s="541"/>
      <c r="AQ261" s="541"/>
      <c r="AR261" s="542"/>
      <c r="AS261" s="540"/>
      <c r="AT261" s="541"/>
      <c r="AU261" s="541"/>
      <c r="AV261" s="542"/>
      <c r="AW261" s="540"/>
      <c r="AX261" s="541"/>
      <c r="AY261" s="541"/>
      <c r="AZ261" s="542"/>
      <c r="BG261" s="93"/>
      <c r="BH261" s="93"/>
      <c r="BI261" s="93"/>
      <c r="BJ261" s="176">
        <v>202</v>
      </c>
      <c r="BK261" s="164">
        <v>0</v>
      </c>
      <c r="BL261" s="165">
        <v>230.85</v>
      </c>
      <c r="BM261" s="165">
        <v>340.87</v>
      </c>
      <c r="BN261" s="165">
        <v>476.68</v>
      </c>
      <c r="BO261" s="165">
        <v>479.39</v>
      </c>
      <c r="BP261" s="165">
        <v>510.12</v>
      </c>
      <c r="BQ261" s="165">
        <v>425.15</v>
      </c>
      <c r="BR261" s="165">
        <v>516.55999999999995</v>
      </c>
      <c r="BS261" s="165">
        <v>788.83</v>
      </c>
      <c r="BT261" s="165">
        <v>1121.96</v>
      </c>
      <c r="BU261" s="165">
        <v>1183.28</v>
      </c>
      <c r="BV261" s="165">
        <v>510.12</v>
      </c>
      <c r="BW261" s="165">
        <v>425.15</v>
      </c>
      <c r="BX261" s="165">
        <v>516.55999999999995</v>
      </c>
      <c r="BY261" s="165">
        <v>788.83</v>
      </c>
      <c r="BZ261" s="165">
        <v>1121.96</v>
      </c>
      <c r="CA261" s="165">
        <v>1183.28</v>
      </c>
      <c r="CB261" s="176"/>
      <c r="CC261" s="126"/>
      <c r="CD261" s="126"/>
      <c r="CE261" s="143"/>
    </row>
    <row r="262" spans="1:83">
      <c r="A262" s="107"/>
      <c r="B262" s="107"/>
      <c r="C262" s="107"/>
      <c r="D262" s="107"/>
      <c r="E262" s="551"/>
      <c r="F262" s="552"/>
      <c r="G262" s="552"/>
      <c r="H262" s="553"/>
      <c r="I262" s="545"/>
      <c r="J262" s="546"/>
      <c r="K262" s="546"/>
      <c r="L262" s="547"/>
      <c r="M262" s="545"/>
      <c r="N262" s="546"/>
      <c r="O262" s="546"/>
      <c r="P262" s="547"/>
      <c r="Q262" s="545"/>
      <c r="R262" s="546"/>
      <c r="S262" s="546"/>
      <c r="T262" s="547"/>
      <c r="U262" s="545"/>
      <c r="V262" s="546"/>
      <c r="W262" s="546"/>
      <c r="X262" s="547"/>
      <c r="Y262" s="545"/>
      <c r="Z262" s="546"/>
      <c r="AA262" s="546"/>
      <c r="AB262" s="547"/>
      <c r="AC262" s="545"/>
      <c r="AD262" s="546"/>
      <c r="AE262" s="546"/>
      <c r="AF262" s="547"/>
      <c r="AG262" s="545"/>
      <c r="AH262" s="546"/>
      <c r="AI262" s="546"/>
      <c r="AJ262" s="547"/>
      <c r="AK262" s="545"/>
      <c r="AL262" s="546"/>
      <c r="AM262" s="546"/>
      <c r="AN262" s="547"/>
      <c r="AO262" s="545"/>
      <c r="AP262" s="546"/>
      <c r="AQ262" s="546"/>
      <c r="AR262" s="547"/>
      <c r="AS262" s="545"/>
      <c r="AT262" s="546"/>
      <c r="AU262" s="546"/>
      <c r="AV262" s="547"/>
      <c r="AW262" s="545"/>
      <c r="AX262" s="546"/>
      <c r="AY262" s="546"/>
      <c r="AZ262" s="547"/>
      <c r="BG262" s="93"/>
      <c r="BH262" s="93"/>
      <c r="BI262" s="93"/>
      <c r="BJ262" s="176">
        <v>203</v>
      </c>
      <c r="BK262" s="164">
        <v>0</v>
      </c>
      <c r="BL262" s="165">
        <v>232.02</v>
      </c>
      <c r="BM262" s="165">
        <v>342.63</v>
      </c>
      <c r="BN262" s="165">
        <v>479.12</v>
      </c>
      <c r="BO262" s="165">
        <v>481.83</v>
      </c>
      <c r="BP262" s="165">
        <v>512.74</v>
      </c>
      <c r="BQ262" s="165">
        <v>427.33</v>
      </c>
      <c r="BR262" s="165">
        <v>519.22</v>
      </c>
      <c r="BS262" s="165">
        <v>792.96</v>
      </c>
      <c r="BT262" s="165">
        <v>1127.8699999999999</v>
      </c>
      <c r="BU262" s="165">
        <v>1189.49</v>
      </c>
      <c r="BV262" s="165">
        <v>512.74</v>
      </c>
      <c r="BW262" s="165">
        <v>427.33</v>
      </c>
      <c r="BX262" s="165">
        <v>519.22</v>
      </c>
      <c r="BY262" s="165">
        <v>792.96</v>
      </c>
      <c r="BZ262" s="165">
        <v>1127.8699999999999</v>
      </c>
      <c r="CA262" s="165">
        <v>1189.49</v>
      </c>
      <c r="CB262" s="176"/>
      <c r="CC262" s="126"/>
      <c r="CD262" s="126"/>
      <c r="CE262" s="143"/>
    </row>
    <row r="263" spans="1:83">
      <c r="A263" s="107"/>
      <c r="B263" s="107"/>
      <c r="C263" s="107"/>
      <c r="D263" s="107"/>
      <c r="E263" s="548"/>
      <c r="F263" s="549"/>
      <c r="G263" s="549"/>
      <c r="H263" s="550"/>
      <c r="I263" s="540"/>
      <c r="J263" s="541"/>
      <c r="K263" s="541"/>
      <c r="L263" s="542"/>
      <c r="M263" s="540"/>
      <c r="N263" s="541"/>
      <c r="O263" s="541"/>
      <c r="P263" s="542"/>
      <c r="Q263" s="540"/>
      <c r="R263" s="541"/>
      <c r="S263" s="541"/>
      <c r="T263" s="542"/>
      <c r="U263" s="540"/>
      <c r="V263" s="541"/>
      <c r="W263" s="541"/>
      <c r="X263" s="542"/>
      <c r="Y263" s="540"/>
      <c r="Z263" s="541"/>
      <c r="AA263" s="541"/>
      <c r="AB263" s="542"/>
      <c r="AC263" s="540"/>
      <c r="AD263" s="541"/>
      <c r="AE263" s="541"/>
      <c r="AF263" s="542"/>
      <c r="AG263" s="540"/>
      <c r="AH263" s="541"/>
      <c r="AI263" s="541"/>
      <c r="AJ263" s="542"/>
      <c r="AK263" s="540"/>
      <c r="AL263" s="541"/>
      <c r="AM263" s="541"/>
      <c r="AN263" s="542"/>
      <c r="AO263" s="540"/>
      <c r="AP263" s="541"/>
      <c r="AQ263" s="541"/>
      <c r="AR263" s="542"/>
      <c r="AS263" s="540"/>
      <c r="AT263" s="541"/>
      <c r="AU263" s="541"/>
      <c r="AV263" s="542"/>
      <c r="AW263" s="540"/>
      <c r="AX263" s="541"/>
      <c r="AY263" s="541"/>
      <c r="AZ263" s="542"/>
      <c r="BG263" s="93"/>
      <c r="BH263" s="93"/>
      <c r="BI263" s="93"/>
      <c r="BJ263" s="176">
        <v>204</v>
      </c>
      <c r="BK263" s="164">
        <v>0</v>
      </c>
      <c r="BL263" s="165">
        <v>233.18</v>
      </c>
      <c r="BM263" s="165">
        <v>344.39</v>
      </c>
      <c r="BN263" s="165">
        <v>481.56</v>
      </c>
      <c r="BO263" s="165">
        <v>484.27</v>
      </c>
      <c r="BP263" s="165">
        <v>515.36</v>
      </c>
      <c r="BQ263" s="165">
        <v>429.5</v>
      </c>
      <c r="BR263" s="165">
        <v>521.88</v>
      </c>
      <c r="BS263" s="165">
        <v>797.1</v>
      </c>
      <c r="BT263" s="165">
        <v>1133.78</v>
      </c>
      <c r="BU263" s="165">
        <v>1195.69</v>
      </c>
      <c r="BV263" s="165">
        <v>515.36</v>
      </c>
      <c r="BW263" s="165">
        <v>429.5</v>
      </c>
      <c r="BX263" s="165">
        <v>521.88</v>
      </c>
      <c r="BY263" s="165">
        <v>797.1</v>
      </c>
      <c r="BZ263" s="165">
        <v>1133.78</v>
      </c>
      <c r="CA263" s="165">
        <v>1195.69</v>
      </c>
      <c r="CB263" s="176"/>
      <c r="CC263" s="126"/>
      <c r="CD263" s="126"/>
      <c r="CE263" s="143"/>
    </row>
    <row r="264" spans="1:83">
      <c r="A264" s="107"/>
      <c r="B264" s="107"/>
      <c r="C264" s="107"/>
      <c r="D264" s="107"/>
      <c r="E264" s="551"/>
      <c r="F264" s="552"/>
      <c r="G264" s="552"/>
      <c r="H264" s="553"/>
      <c r="I264" s="545"/>
      <c r="J264" s="546"/>
      <c r="K264" s="546"/>
      <c r="L264" s="547"/>
      <c r="M264" s="545"/>
      <c r="N264" s="546"/>
      <c r="O264" s="546"/>
      <c r="P264" s="547"/>
      <c r="Q264" s="545"/>
      <c r="R264" s="546"/>
      <c r="S264" s="546"/>
      <c r="T264" s="547"/>
      <c r="U264" s="545"/>
      <c r="V264" s="546"/>
      <c r="W264" s="546"/>
      <c r="X264" s="547"/>
      <c r="Y264" s="545"/>
      <c r="Z264" s="546"/>
      <c r="AA264" s="546"/>
      <c r="AB264" s="547"/>
      <c r="AC264" s="545"/>
      <c r="AD264" s="546"/>
      <c r="AE264" s="546"/>
      <c r="AF264" s="547"/>
      <c r="AG264" s="545"/>
      <c r="AH264" s="546"/>
      <c r="AI264" s="546"/>
      <c r="AJ264" s="547"/>
      <c r="AK264" s="545"/>
      <c r="AL264" s="546"/>
      <c r="AM264" s="546"/>
      <c r="AN264" s="547"/>
      <c r="AO264" s="545"/>
      <c r="AP264" s="546"/>
      <c r="AQ264" s="546"/>
      <c r="AR264" s="547"/>
      <c r="AS264" s="545"/>
      <c r="AT264" s="546"/>
      <c r="AU264" s="546"/>
      <c r="AV264" s="547"/>
      <c r="AW264" s="545"/>
      <c r="AX264" s="546"/>
      <c r="AY264" s="546"/>
      <c r="AZ264" s="547"/>
      <c r="BG264" s="93"/>
      <c r="BH264" s="93"/>
      <c r="BI264" s="93"/>
      <c r="BJ264" s="176">
        <v>205</v>
      </c>
      <c r="BK264" s="164">
        <v>0</v>
      </c>
      <c r="BL264" s="165">
        <v>234.35</v>
      </c>
      <c r="BM264" s="165">
        <v>346.14</v>
      </c>
      <c r="BN264" s="165">
        <v>484.01</v>
      </c>
      <c r="BO264" s="165">
        <v>486.72</v>
      </c>
      <c r="BP264" s="165">
        <v>517.99</v>
      </c>
      <c r="BQ264" s="165">
        <v>431.68</v>
      </c>
      <c r="BR264" s="165">
        <v>524.54</v>
      </c>
      <c r="BS264" s="165">
        <v>801.23</v>
      </c>
      <c r="BT264" s="165">
        <v>1139.69</v>
      </c>
      <c r="BU264" s="165">
        <v>1201.9000000000001</v>
      </c>
      <c r="BV264" s="165">
        <v>517.99</v>
      </c>
      <c r="BW264" s="165">
        <v>431.68</v>
      </c>
      <c r="BX264" s="165">
        <v>524.54</v>
      </c>
      <c r="BY264" s="165">
        <v>801.23</v>
      </c>
      <c r="BZ264" s="165">
        <v>1139.69</v>
      </c>
      <c r="CA264" s="165">
        <v>1201.9000000000001</v>
      </c>
      <c r="CB264" s="176"/>
      <c r="CC264" s="126"/>
      <c r="CD264" s="126"/>
      <c r="CE264" s="143"/>
    </row>
    <row r="265" spans="1:83">
      <c r="A265" s="107"/>
      <c r="B265" s="107"/>
      <c r="C265" s="107"/>
      <c r="D265" s="107"/>
      <c r="E265" s="548"/>
      <c r="F265" s="549"/>
      <c r="G265" s="549"/>
      <c r="H265" s="550"/>
      <c r="I265" s="540"/>
      <c r="J265" s="541"/>
      <c r="K265" s="541"/>
      <c r="L265" s="542"/>
      <c r="M265" s="540"/>
      <c r="N265" s="541"/>
      <c r="O265" s="541"/>
      <c r="P265" s="542"/>
      <c r="Q265" s="540"/>
      <c r="R265" s="541"/>
      <c r="S265" s="541"/>
      <c r="T265" s="542"/>
      <c r="U265" s="540"/>
      <c r="V265" s="541"/>
      <c r="W265" s="541"/>
      <c r="X265" s="542"/>
      <c r="Y265" s="540"/>
      <c r="Z265" s="541"/>
      <c r="AA265" s="541"/>
      <c r="AB265" s="542"/>
      <c r="AC265" s="540"/>
      <c r="AD265" s="541"/>
      <c r="AE265" s="541"/>
      <c r="AF265" s="542"/>
      <c r="AG265" s="540"/>
      <c r="AH265" s="541"/>
      <c r="AI265" s="541"/>
      <c r="AJ265" s="542"/>
      <c r="AK265" s="540"/>
      <c r="AL265" s="541"/>
      <c r="AM265" s="541"/>
      <c r="AN265" s="542"/>
      <c r="AO265" s="540"/>
      <c r="AP265" s="541"/>
      <c r="AQ265" s="541"/>
      <c r="AR265" s="542"/>
      <c r="AS265" s="540"/>
      <c r="AT265" s="541"/>
      <c r="AU265" s="541"/>
      <c r="AV265" s="542"/>
      <c r="AW265" s="540"/>
      <c r="AX265" s="541"/>
      <c r="AY265" s="541"/>
      <c r="AZ265" s="542"/>
      <c r="BG265" s="93"/>
      <c r="BH265" s="93"/>
      <c r="BI265" s="93"/>
      <c r="BJ265" s="176">
        <v>206</v>
      </c>
      <c r="BK265" s="164">
        <v>0</v>
      </c>
      <c r="BL265" s="165">
        <v>235.51</v>
      </c>
      <c r="BM265" s="165">
        <v>347.9</v>
      </c>
      <c r="BN265" s="165">
        <v>486.45</v>
      </c>
      <c r="BO265" s="165">
        <v>489.16</v>
      </c>
      <c r="BP265" s="165">
        <v>520.61</v>
      </c>
      <c r="BQ265" s="165">
        <v>433.86</v>
      </c>
      <c r="BR265" s="165">
        <v>527.20000000000005</v>
      </c>
      <c r="BS265" s="165">
        <v>805.37</v>
      </c>
      <c r="BT265" s="165">
        <v>1145.5999999999999</v>
      </c>
      <c r="BU265" s="165">
        <v>1208.0999999999999</v>
      </c>
      <c r="BV265" s="165">
        <v>520.61</v>
      </c>
      <c r="BW265" s="165">
        <v>433.86</v>
      </c>
      <c r="BX265" s="165">
        <v>527.20000000000005</v>
      </c>
      <c r="BY265" s="165">
        <v>805.37</v>
      </c>
      <c r="BZ265" s="165">
        <v>1145.5999999999999</v>
      </c>
      <c r="CA265" s="165">
        <v>1208.0999999999999</v>
      </c>
      <c r="CB265" s="176"/>
      <c r="CC265" s="126"/>
      <c r="CD265" s="126"/>
      <c r="CE265" s="143"/>
    </row>
    <row r="266" spans="1:83">
      <c r="A266" s="107"/>
      <c r="B266" s="107"/>
      <c r="C266" s="107"/>
      <c r="D266" s="107"/>
      <c r="E266" s="551"/>
      <c r="F266" s="552"/>
      <c r="G266" s="552"/>
      <c r="H266" s="553"/>
      <c r="I266" s="545"/>
      <c r="J266" s="546"/>
      <c r="K266" s="546"/>
      <c r="L266" s="547"/>
      <c r="M266" s="545"/>
      <c r="N266" s="546"/>
      <c r="O266" s="546"/>
      <c r="P266" s="547"/>
      <c r="Q266" s="545"/>
      <c r="R266" s="546"/>
      <c r="S266" s="546"/>
      <c r="T266" s="547"/>
      <c r="U266" s="545"/>
      <c r="V266" s="546"/>
      <c r="W266" s="546"/>
      <c r="X266" s="547"/>
      <c r="Y266" s="545"/>
      <c r="Z266" s="546"/>
      <c r="AA266" s="546"/>
      <c r="AB266" s="547"/>
      <c r="AC266" s="545"/>
      <c r="AD266" s="546"/>
      <c r="AE266" s="546"/>
      <c r="AF266" s="547"/>
      <c r="AG266" s="545"/>
      <c r="AH266" s="546"/>
      <c r="AI266" s="546"/>
      <c r="AJ266" s="547"/>
      <c r="AK266" s="545"/>
      <c r="AL266" s="546"/>
      <c r="AM266" s="546"/>
      <c r="AN266" s="547"/>
      <c r="AO266" s="545"/>
      <c r="AP266" s="546"/>
      <c r="AQ266" s="546"/>
      <c r="AR266" s="547"/>
      <c r="AS266" s="545"/>
      <c r="AT266" s="546"/>
      <c r="AU266" s="546"/>
      <c r="AV266" s="547"/>
      <c r="AW266" s="545"/>
      <c r="AX266" s="546"/>
      <c r="AY266" s="546"/>
      <c r="AZ266" s="547"/>
      <c r="BG266" s="93"/>
      <c r="BH266" s="93"/>
      <c r="BI266" s="93"/>
      <c r="BJ266" s="176">
        <v>207</v>
      </c>
      <c r="BK266" s="164">
        <v>0</v>
      </c>
      <c r="BL266" s="165">
        <v>236.68</v>
      </c>
      <c r="BM266" s="165">
        <v>349.66</v>
      </c>
      <c r="BN266" s="165">
        <v>488.89</v>
      </c>
      <c r="BO266" s="165">
        <v>491.6</v>
      </c>
      <c r="BP266" s="165">
        <v>523.23</v>
      </c>
      <c r="BQ266" s="165">
        <v>436.03</v>
      </c>
      <c r="BR266" s="165">
        <v>529.86</v>
      </c>
      <c r="BS266" s="165">
        <v>809.5</v>
      </c>
      <c r="BT266" s="165">
        <v>1151.51</v>
      </c>
      <c r="BU266" s="165">
        <v>1214.31</v>
      </c>
      <c r="BV266" s="165">
        <v>523.23</v>
      </c>
      <c r="BW266" s="165">
        <v>436.03</v>
      </c>
      <c r="BX266" s="165">
        <v>529.86</v>
      </c>
      <c r="BY266" s="165">
        <v>809.5</v>
      </c>
      <c r="BZ266" s="165">
        <v>1151.51</v>
      </c>
      <c r="CA266" s="165">
        <v>1214.31</v>
      </c>
      <c r="CB266" s="176"/>
      <c r="CC266" s="126"/>
      <c r="CD266" s="126"/>
      <c r="CE266" s="143"/>
    </row>
    <row r="267" spans="1:83">
      <c r="A267" s="107"/>
      <c r="B267" s="107"/>
      <c r="C267" s="107"/>
      <c r="D267" s="107"/>
      <c r="E267" s="548"/>
      <c r="F267" s="549"/>
      <c r="G267" s="549"/>
      <c r="H267" s="550"/>
      <c r="I267" s="540"/>
      <c r="J267" s="541"/>
      <c r="K267" s="541"/>
      <c r="L267" s="542"/>
      <c r="M267" s="540"/>
      <c r="N267" s="541"/>
      <c r="O267" s="541"/>
      <c r="P267" s="542"/>
      <c r="Q267" s="540"/>
      <c r="R267" s="541"/>
      <c r="S267" s="541"/>
      <c r="T267" s="542"/>
      <c r="U267" s="540"/>
      <c r="V267" s="541"/>
      <c r="W267" s="541"/>
      <c r="X267" s="542"/>
      <c r="Y267" s="540"/>
      <c r="Z267" s="541"/>
      <c r="AA267" s="541"/>
      <c r="AB267" s="542"/>
      <c r="AC267" s="540"/>
      <c r="AD267" s="541"/>
      <c r="AE267" s="541"/>
      <c r="AF267" s="542"/>
      <c r="AG267" s="540"/>
      <c r="AH267" s="541"/>
      <c r="AI267" s="541"/>
      <c r="AJ267" s="542"/>
      <c r="AK267" s="540"/>
      <c r="AL267" s="541"/>
      <c r="AM267" s="541"/>
      <c r="AN267" s="542"/>
      <c r="AO267" s="540"/>
      <c r="AP267" s="541"/>
      <c r="AQ267" s="541"/>
      <c r="AR267" s="542"/>
      <c r="AS267" s="540"/>
      <c r="AT267" s="541"/>
      <c r="AU267" s="541"/>
      <c r="AV267" s="542"/>
      <c r="AW267" s="540"/>
      <c r="AX267" s="541"/>
      <c r="AY267" s="541"/>
      <c r="AZ267" s="542"/>
      <c r="BG267" s="93"/>
      <c r="BH267" s="93"/>
      <c r="BI267" s="93"/>
      <c r="BJ267" s="176">
        <v>208</v>
      </c>
      <c r="BK267" s="164">
        <v>0</v>
      </c>
      <c r="BL267" s="165">
        <v>237.85</v>
      </c>
      <c r="BM267" s="165">
        <v>351.42</v>
      </c>
      <c r="BN267" s="165">
        <v>491.34</v>
      </c>
      <c r="BO267" s="165">
        <v>494.04</v>
      </c>
      <c r="BP267" s="165">
        <v>525.86</v>
      </c>
      <c r="BQ267" s="165">
        <v>438.21</v>
      </c>
      <c r="BR267" s="165">
        <v>532.52</v>
      </c>
      <c r="BS267" s="165">
        <v>813.64</v>
      </c>
      <c r="BT267" s="165">
        <v>1157.4100000000001</v>
      </c>
      <c r="BU267" s="165">
        <v>1220.52</v>
      </c>
      <c r="BV267" s="165">
        <v>525.86</v>
      </c>
      <c r="BW267" s="165">
        <v>438.21</v>
      </c>
      <c r="BX267" s="165">
        <v>532.52</v>
      </c>
      <c r="BY267" s="165">
        <v>813.64</v>
      </c>
      <c r="BZ267" s="165">
        <v>1157.4100000000001</v>
      </c>
      <c r="CA267" s="165">
        <v>1220.52</v>
      </c>
      <c r="CB267" s="176"/>
      <c r="CC267" s="126"/>
      <c r="CD267" s="126"/>
      <c r="CE267" s="143"/>
    </row>
    <row r="268" spans="1:83">
      <c r="A268" s="107"/>
      <c r="B268" s="107"/>
      <c r="C268" s="107"/>
      <c r="D268" s="107"/>
      <c r="E268" s="551"/>
      <c r="F268" s="552"/>
      <c r="G268" s="552"/>
      <c r="H268" s="553"/>
      <c r="I268" s="545"/>
      <c r="J268" s="546"/>
      <c r="K268" s="546"/>
      <c r="L268" s="547"/>
      <c r="M268" s="545"/>
      <c r="N268" s="546"/>
      <c r="O268" s="546"/>
      <c r="P268" s="547"/>
      <c r="Q268" s="545"/>
      <c r="R268" s="546"/>
      <c r="S268" s="546"/>
      <c r="T268" s="547"/>
      <c r="U268" s="545"/>
      <c r="V268" s="546"/>
      <c r="W268" s="546"/>
      <c r="X268" s="547"/>
      <c r="Y268" s="545"/>
      <c r="Z268" s="546"/>
      <c r="AA268" s="546"/>
      <c r="AB268" s="547"/>
      <c r="AC268" s="545"/>
      <c r="AD268" s="546"/>
      <c r="AE268" s="546"/>
      <c r="AF268" s="547"/>
      <c r="AG268" s="545"/>
      <c r="AH268" s="546"/>
      <c r="AI268" s="546"/>
      <c r="AJ268" s="547"/>
      <c r="AK268" s="545"/>
      <c r="AL268" s="546"/>
      <c r="AM268" s="546"/>
      <c r="AN268" s="547"/>
      <c r="AO268" s="545"/>
      <c r="AP268" s="546"/>
      <c r="AQ268" s="546"/>
      <c r="AR268" s="547"/>
      <c r="AS268" s="545"/>
      <c r="AT268" s="546"/>
      <c r="AU268" s="546"/>
      <c r="AV268" s="547"/>
      <c r="AW268" s="545"/>
      <c r="AX268" s="546"/>
      <c r="AY268" s="546"/>
      <c r="AZ268" s="547"/>
      <c r="BG268" s="93"/>
      <c r="BH268" s="93"/>
      <c r="BI268" s="93"/>
      <c r="BJ268" s="176">
        <v>209</v>
      </c>
      <c r="BK268" s="164">
        <v>0</v>
      </c>
      <c r="BL268" s="165">
        <v>239.01</v>
      </c>
      <c r="BM268" s="165">
        <v>353.18</v>
      </c>
      <c r="BN268" s="165">
        <v>493.78</v>
      </c>
      <c r="BO268" s="165">
        <v>496.49</v>
      </c>
      <c r="BP268" s="165">
        <v>528.48</v>
      </c>
      <c r="BQ268" s="165">
        <v>440.39</v>
      </c>
      <c r="BR268" s="165">
        <v>535.17999999999995</v>
      </c>
      <c r="BS268" s="165">
        <v>817.77</v>
      </c>
      <c r="BT268" s="165">
        <v>1163.32</v>
      </c>
      <c r="BU268" s="165">
        <v>1226.72</v>
      </c>
      <c r="BV268" s="165">
        <v>528.48</v>
      </c>
      <c r="BW268" s="165">
        <v>440.39</v>
      </c>
      <c r="BX268" s="165">
        <v>535.17999999999995</v>
      </c>
      <c r="BY268" s="165">
        <v>817.77</v>
      </c>
      <c r="BZ268" s="165">
        <v>1163.32</v>
      </c>
      <c r="CA268" s="165">
        <v>1226.72</v>
      </c>
      <c r="CB268" s="176"/>
      <c r="CC268" s="126"/>
      <c r="CD268" s="126"/>
      <c r="CE268" s="143"/>
    </row>
    <row r="269" spans="1:83">
      <c r="A269" s="107"/>
      <c r="B269" s="107"/>
      <c r="C269" s="107"/>
      <c r="D269" s="107"/>
      <c r="E269" s="548"/>
      <c r="F269" s="549"/>
      <c r="G269" s="549"/>
      <c r="H269" s="550"/>
      <c r="I269" s="540"/>
      <c r="J269" s="541"/>
      <c r="K269" s="541"/>
      <c r="L269" s="542"/>
      <c r="M269" s="540"/>
      <c r="N269" s="541"/>
      <c r="O269" s="541"/>
      <c r="P269" s="542"/>
      <c r="Q269" s="540"/>
      <c r="R269" s="541"/>
      <c r="S269" s="541"/>
      <c r="T269" s="542"/>
      <c r="U269" s="540"/>
      <c r="V269" s="541"/>
      <c r="W269" s="541"/>
      <c r="X269" s="542"/>
      <c r="Y269" s="540"/>
      <c r="Z269" s="541"/>
      <c r="AA269" s="541"/>
      <c r="AB269" s="542"/>
      <c r="AC269" s="540"/>
      <c r="AD269" s="541"/>
      <c r="AE269" s="541"/>
      <c r="AF269" s="542"/>
      <c r="AG269" s="540"/>
      <c r="AH269" s="541"/>
      <c r="AI269" s="541"/>
      <c r="AJ269" s="542"/>
      <c r="AK269" s="540"/>
      <c r="AL269" s="541"/>
      <c r="AM269" s="541"/>
      <c r="AN269" s="542"/>
      <c r="AO269" s="540"/>
      <c r="AP269" s="541"/>
      <c r="AQ269" s="541"/>
      <c r="AR269" s="542"/>
      <c r="AS269" s="540"/>
      <c r="AT269" s="541"/>
      <c r="AU269" s="541"/>
      <c r="AV269" s="542"/>
      <c r="AW269" s="540"/>
      <c r="AX269" s="541"/>
      <c r="AY269" s="541"/>
      <c r="AZ269" s="542"/>
      <c r="BG269" s="93"/>
      <c r="BH269" s="93"/>
      <c r="BI269" s="93"/>
      <c r="BJ269" s="176">
        <v>210</v>
      </c>
      <c r="BK269" s="164">
        <v>0</v>
      </c>
      <c r="BL269" s="165">
        <v>240.18</v>
      </c>
      <c r="BM269" s="165">
        <v>354.94</v>
      </c>
      <c r="BN269" s="165">
        <v>496.22</v>
      </c>
      <c r="BO269" s="165">
        <v>498.93</v>
      </c>
      <c r="BP269" s="165">
        <v>531.1</v>
      </c>
      <c r="BQ269" s="165">
        <v>442.56</v>
      </c>
      <c r="BR269" s="165">
        <v>537.84</v>
      </c>
      <c r="BS269" s="165">
        <v>821.91</v>
      </c>
      <c r="BT269" s="165">
        <v>1169.23</v>
      </c>
      <c r="BU269" s="165">
        <v>1232.93</v>
      </c>
      <c r="BV269" s="165">
        <v>531.1</v>
      </c>
      <c r="BW269" s="165">
        <v>442.56</v>
      </c>
      <c r="BX269" s="165">
        <v>537.84</v>
      </c>
      <c r="BY269" s="165">
        <v>821.91</v>
      </c>
      <c r="BZ269" s="165">
        <v>1169.23</v>
      </c>
      <c r="CA269" s="165">
        <v>1232.93</v>
      </c>
      <c r="CB269" s="176"/>
      <c r="CC269" s="126"/>
      <c r="CD269" s="126"/>
      <c r="CE269" s="143"/>
    </row>
    <row r="270" spans="1:83">
      <c r="A270" s="107"/>
      <c r="B270" s="107"/>
      <c r="C270" s="107"/>
      <c r="D270" s="107"/>
      <c r="E270" s="551"/>
      <c r="F270" s="552"/>
      <c r="G270" s="552"/>
      <c r="H270" s="553"/>
      <c r="I270" s="545"/>
      <c r="J270" s="546"/>
      <c r="K270" s="546"/>
      <c r="L270" s="547"/>
      <c r="M270" s="545"/>
      <c r="N270" s="546"/>
      <c r="O270" s="546"/>
      <c r="P270" s="547"/>
      <c r="Q270" s="545"/>
      <c r="R270" s="546"/>
      <c r="S270" s="546"/>
      <c r="T270" s="547"/>
      <c r="U270" s="545"/>
      <c r="V270" s="546"/>
      <c r="W270" s="546"/>
      <c r="X270" s="547"/>
      <c r="Y270" s="545"/>
      <c r="Z270" s="546"/>
      <c r="AA270" s="546"/>
      <c r="AB270" s="547"/>
      <c r="AC270" s="545"/>
      <c r="AD270" s="546"/>
      <c r="AE270" s="546"/>
      <c r="AF270" s="547"/>
      <c r="AG270" s="545"/>
      <c r="AH270" s="546"/>
      <c r="AI270" s="546"/>
      <c r="AJ270" s="547"/>
      <c r="AK270" s="545"/>
      <c r="AL270" s="546"/>
      <c r="AM270" s="546"/>
      <c r="AN270" s="547"/>
      <c r="AO270" s="545"/>
      <c r="AP270" s="546"/>
      <c r="AQ270" s="546"/>
      <c r="AR270" s="547"/>
      <c r="AS270" s="545"/>
      <c r="AT270" s="546"/>
      <c r="AU270" s="546"/>
      <c r="AV270" s="547"/>
      <c r="AW270" s="545"/>
      <c r="AX270" s="546"/>
      <c r="AY270" s="546"/>
      <c r="AZ270" s="547"/>
      <c r="BG270" s="93"/>
      <c r="BH270" s="93"/>
      <c r="BI270" s="93"/>
      <c r="BJ270" s="176">
        <v>211</v>
      </c>
      <c r="BK270" s="164">
        <v>0</v>
      </c>
      <c r="BL270" s="165">
        <v>241.35</v>
      </c>
      <c r="BM270" s="165">
        <v>356.7</v>
      </c>
      <c r="BN270" s="165">
        <v>498.67</v>
      </c>
      <c r="BO270" s="165">
        <v>501.37</v>
      </c>
      <c r="BP270" s="165">
        <v>533.73</v>
      </c>
      <c r="BQ270" s="165">
        <v>444.74</v>
      </c>
      <c r="BR270" s="165">
        <v>540.5</v>
      </c>
      <c r="BS270" s="165">
        <v>826.04</v>
      </c>
      <c r="BT270" s="165">
        <v>1175.1400000000001</v>
      </c>
      <c r="BU270" s="165">
        <v>1239.1400000000001</v>
      </c>
      <c r="BV270" s="165">
        <v>533.73</v>
      </c>
      <c r="BW270" s="165">
        <v>444.74</v>
      </c>
      <c r="BX270" s="165">
        <v>540.5</v>
      </c>
      <c r="BY270" s="165">
        <v>826.04</v>
      </c>
      <c r="BZ270" s="165">
        <v>1175.1400000000001</v>
      </c>
      <c r="CA270" s="165">
        <v>1239.1400000000001</v>
      </c>
      <c r="CB270" s="176"/>
      <c r="CC270" s="126"/>
      <c r="CD270" s="126"/>
      <c r="CE270" s="143"/>
    </row>
    <row r="271" spans="1:83">
      <c r="A271" s="107"/>
      <c r="B271" s="107"/>
      <c r="C271" s="107"/>
      <c r="D271" s="107"/>
      <c r="E271" s="548"/>
      <c r="F271" s="549"/>
      <c r="G271" s="549"/>
      <c r="H271" s="550"/>
      <c r="I271" s="540"/>
      <c r="J271" s="541"/>
      <c r="K271" s="541"/>
      <c r="L271" s="542"/>
      <c r="M271" s="540"/>
      <c r="N271" s="541"/>
      <c r="O271" s="541"/>
      <c r="P271" s="542"/>
      <c r="Q271" s="540"/>
      <c r="R271" s="541"/>
      <c r="S271" s="541"/>
      <c r="T271" s="542"/>
      <c r="U271" s="540"/>
      <c r="V271" s="541"/>
      <c r="W271" s="541"/>
      <c r="X271" s="542"/>
      <c r="Y271" s="540"/>
      <c r="Z271" s="541"/>
      <c r="AA271" s="541"/>
      <c r="AB271" s="542"/>
      <c r="AC271" s="540"/>
      <c r="AD271" s="541"/>
      <c r="AE271" s="541"/>
      <c r="AF271" s="542"/>
      <c r="AG271" s="540"/>
      <c r="AH271" s="541"/>
      <c r="AI271" s="541"/>
      <c r="AJ271" s="542"/>
      <c r="AK271" s="540"/>
      <c r="AL271" s="541"/>
      <c r="AM271" s="541"/>
      <c r="AN271" s="542"/>
      <c r="AO271" s="540"/>
      <c r="AP271" s="541"/>
      <c r="AQ271" s="541"/>
      <c r="AR271" s="542"/>
      <c r="AS271" s="540"/>
      <c r="AT271" s="541"/>
      <c r="AU271" s="541"/>
      <c r="AV271" s="542"/>
      <c r="AW271" s="540"/>
      <c r="AX271" s="541"/>
      <c r="AY271" s="541"/>
      <c r="AZ271" s="542"/>
      <c r="BG271" s="93"/>
      <c r="BH271" s="93"/>
      <c r="BI271" s="93"/>
      <c r="BJ271" s="176">
        <v>212</v>
      </c>
      <c r="BK271" s="164">
        <v>0</v>
      </c>
      <c r="BL271" s="165">
        <v>242.51</v>
      </c>
      <c r="BM271" s="165">
        <v>358.46</v>
      </c>
      <c r="BN271" s="165">
        <v>501.11</v>
      </c>
      <c r="BO271" s="165">
        <v>503.82</v>
      </c>
      <c r="BP271" s="165">
        <v>536.35</v>
      </c>
      <c r="BQ271" s="165">
        <v>446.92</v>
      </c>
      <c r="BR271" s="165">
        <v>543.16</v>
      </c>
      <c r="BS271" s="165">
        <v>830.18</v>
      </c>
      <c r="BT271" s="165">
        <v>1181.05</v>
      </c>
      <c r="BU271" s="165">
        <v>1245.3399999999999</v>
      </c>
      <c r="BV271" s="165">
        <v>536.35</v>
      </c>
      <c r="BW271" s="165">
        <v>446.92</v>
      </c>
      <c r="BX271" s="165">
        <v>543.16</v>
      </c>
      <c r="BY271" s="165">
        <v>830.18</v>
      </c>
      <c r="BZ271" s="165">
        <v>1181.05</v>
      </c>
      <c r="CA271" s="165">
        <v>1245.3399999999999</v>
      </c>
      <c r="CB271" s="176"/>
      <c r="CC271" s="126"/>
      <c r="CD271" s="126"/>
      <c r="CE271" s="143"/>
    </row>
    <row r="272" spans="1:83">
      <c r="A272" s="107"/>
      <c r="B272" s="107"/>
      <c r="C272" s="107"/>
      <c r="D272" s="107"/>
      <c r="E272" s="551"/>
      <c r="F272" s="552"/>
      <c r="G272" s="552"/>
      <c r="H272" s="553"/>
      <c r="I272" s="545"/>
      <c r="J272" s="546"/>
      <c r="K272" s="546"/>
      <c r="L272" s="547"/>
      <c r="M272" s="545"/>
      <c r="N272" s="546"/>
      <c r="O272" s="546"/>
      <c r="P272" s="547"/>
      <c r="Q272" s="545"/>
      <c r="R272" s="546"/>
      <c r="S272" s="546"/>
      <c r="T272" s="547"/>
      <c r="U272" s="545"/>
      <c r="V272" s="546"/>
      <c r="W272" s="546"/>
      <c r="X272" s="547"/>
      <c r="Y272" s="545"/>
      <c r="Z272" s="546"/>
      <c r="AA272" s="546"/>
      <c r="AB272" s="547"/>
      <c r="AC272" s="545"/>
      <c r="AD272" s="546"/>
      <c r="AE272" s="546"/>
      <c r="AF272" s="547"/>
      <c r="AG272" s="545"/>
      <c r="AH272" s="546"/>
      <c r="AI272" s="546"/>
      <c r="AJ272" s="547"/>
      <c r="AK272" s="545"/>
      <c r="AL272" s="546"/>
      <c r="AM272" s="546"/>
      <c r="AN272" s="547"/>
      <c r="AO272" s="545"/>
      <c r="AP272" s="546"/>
      <c r="AQ272" s="546"/>
      <c r="AR272" s="547"/>
      <c r="AS272" s="545"/>
      <c r="AT272" s="546"/>
      <c r="AU272" s="546"/>
      <c r="AV272" s="547"/>
      <c r="AW272" s="545"/>
      <c r="AX272" s="546"/>
      <c r="AY272" s="546"/>
      <c r="AZ272" s="547"/>
      <c r="BG272" s="93"/>
      <c r="BH272" s="93"/>
      <c r="BI272" s="93"/>
      <c r="BJ272" s="176">
        <v>213</v>
      </c>
      <c r="BK272" s="164">
        <v>0</v>
      </c>
      <c r="BL272" s="165">
        <v>243.68</v>
      </c>
      <c r="BM272" s="165">
        <v>360.22</v>
      </c>
      <c r="BN272" s="165">
        <v>503.55</v>
      </c>
      <c r="BO272" s="165">
        <v>506.26</v>
      </c>
      <c r="BP272" s="165">
        <v>538.97</v>
      </c>
      <c r="BQ272" s="165">
        <v>449.1</v>
      </c>
      <c r="BR272" s="165">
        <v>545.82000000000005</v>
      </c>
      <c r="BS272" s="165">
        <v>834.31</v>
      </c>
      <c r="BT272" s="165">
        <v>1186.96</v>
      </c>
      <c r="BU272" s="165">
        <v>1251.55</v>
      </c>
      <c r="BV272" s="165">
        <v>538.97</v>
      </c>
      <c r="BW272" s="165">
        <v>449.1</v>
      </c>
      <c r="BX272" s="165">
        <v>545.82000000000005</v>
      </c>
      <c r="BY272" s="165">
        <v>834.31</v>
      </c>
      <c r="BZ272" s="165">
        <v>1186.96</v>
      </c>
      <c r="CA272" s="165">
        <v>1251.55</v>
      </c>
      <c r="CB272" s="176"/>
      <c r="CC272" s="126"/>
      <c r="CD272" s="126"/>
      <c r="CE272" s="143"/>
    </row>
    <row r="273" spans="1:83">
      <c r="A273" s="107"/>
      <c r="B273" s="107"/>
      <c r="C273" s="107"/>
      <c r="D273" s="107"/>
      <c r="E273" s="548"/>
      <c r="F273" s="549"/>
      <c r="G273" s="549"/>
      <c r="H273" s="550"/>
      <c r="I273" s="540"/>
      <c r="J273" s="541"/>
      <c r="K273" s="541"/>
      <c r="L273" s="542"/>
      <c r="M273" s="540"/>
      <c r="N273" s="541"/>
      <c r="O273" s="541"/>
      <c r="P273" s="542"/>
      <c r="Q273" s="540"/>
      <c r="R273" s="541"/>
      <c r="S273" s="541"/>
      <c r="T273" s="542"/>
      <c r="U273" s="540"/>
      <c r="V273" s="541"/>
      <c r="W273" s="541"/>
      <c r="X273" s="542"/>
      <c r="Y273" s="540"/>
      <c r="Z273" s="541"/>
      <c r="AA273" s="541"/>
      <c r="AB273" s="542"/>
      <c r="AC273" s="540"/>
      <c r="AD273" s="541"/>
      <c r="AE273" s="541"/>
      <c r="AF273" s="542"/>
      <c r="AG273" s="540"/>
      <c r="AH273" s="541"/>
      <c r="AI273" s="541"/>
      <c r="AJ273" s="542"/>
      <c r="AK273" s="540"/>
      <c r="AL273" s="541"/>
      <c r="AM273" s="541"/>
      <c r="AN273" s="542"/>
      <c r="AO273" s="540"/>
      <c r="AP273" s="541"/>
      <c r="AQ273" s="541"/>
      <c r="AR273" s="542"/>
      <c r="AS273" s="540"/>
      <c r="AT273" s="541"/>
      <c r="AU273" s="541"/>
      <c r="AV273" s="542"/>
      <c r="AW273" s="540"/>
      <c r="AX273" s="541"/>
      <c r="AY273" s="541"/>
      <c r="AZ273" s="542"/>
      <c r="BG273" s="93"/>
      <c r="BH273" s="93"/>
      <c r="BI273" s="93"/>
      <c r="BJ273" s="176">
        <v>214</v>
      </c>
      <c r="BK273" s="164">
        <v>0</v>
      </c>
      <c r="BL273" s="165">
        <v>244.85</v>
      </c>
      <c r="BM273" s="165">
        <v>361.98</v>
      </c>
      <c r="BN273" s="165">
        <v>506</v>
      </c>
      <c r="BO273" s="165">
        <v>508.7</v>
      </c>
      <c r="BP273" s="165">
        <v>541.6</v>
      </c>
      <c r="BQ273" s="165">
        <v>451.27</v>
      </c>
      <c r="BR273" s="165">
        <v>548.47</v>
      </c>
      <c r="BS273" s="165">
        <v>838.45</v>
      </c>
      <c r="BT273" s="165">
        <v>1192.8699999999999</v>
      </c>
      <c r="BU273" s="165">
        <v>1257.76</v>
      </c>
      <c r="BV273" s="165">
        <v>541.6</v>
      </c>
      <c r="BW273" s="165">
        <v>451.27</v>
      </c>
      <c r="BX273" s="165">
        <v>548.47</v>
      </c>
      <c r="BY273" s="165">
        <v>838.45</v>
      </c>
      <c r="BZ273" s="165">
        <v>1192.8699999999999</v>
      </c>
      <c r="CA273" s="165">
        <v>1257.76</v>
      </c>
      <c r="CB273" s="176"/>
      <c r="CC273" s="126"/>
      <c r="CD273" s="126"/>
      <c r="CE273" s="143"/>
    </row>
    <row r="274" spans="1:83">
      <c r="A274" s="107"/>
      <c r="B274" s="107"/>
      <c r="C274" s="107"/>
      <c r="D274" s="107"/>
      <c r="E274" s="551"/>
      <c r="F274" s="552"/>
      <c r="G274" s="552"/>
      <c r="H274" s="553"/>
      <c r="I274" s="545"/>
      <c r="J274" s="546"/>
      <c r="K274" s="546"/>
      <c r="L274" s="547"/>
      <c r="M274" s="545"/>
      <c r="N274" s="546"/>
      <c r="O274" s="546"/>
      <c r="P274" s="547"/>
      <c r="Q274" s="545"/>
      <c r="R274" s="546"/>
      <c r="S274" s="546"/>
      <c r="T274" s="547"/>
      <c r="U274" s="545"/>
      <c r="V274" s="546"/>
      <c r="W274" s="546"/>
      <c r="X274" s="547"/>
      <c r="Y274" s="545"/>
      <c r="Z274" s="546"/>
      <c r="AA274" s="546"/>
      <c r="AB274" s="547"/>
      <c r="AC274" s="545"/>
      <c r="AD274" s="546"/>
      <c r="AE274" s="546"/>
      <c r="AF274" s="547"/>
      <c r="AG274" s="545"/>
      <c r="AH274" s="546"/>
      <c r="AI274" s="546"/>
      <c r="AJ274" s="547"/>
      <c r="AK274" s="545"/>
      <c r="AL274" s="546"/>
      <c r="AM274" s="546"/>
      <c r="AN274" s="547"/>
      <c r="AO274" s="545"/>
      <c r="AP274" s="546"/>
      <c r="AQ274" s="546"/>
      <c r="AR274" s="547"/>
      <c r="AS274" s="545"/>
      <c r="AT274" s="546"/>
      <c r="AU274" s="546"/>
      <c r="AV274" s="547"/>
      <c r="AW274" s="545"/>
      <c r="AX274" s="546"/>
      <c r="AY274" s="546"/>
      <c r="AZ274" s="547"/>
      <c r="BG274" s="93"/>
      <c r="BH274" s="93"/>
      <c r="BI274" s="93"/>
      <c r="BJ274" s="176">
        <v>215</v>
      </c>
      <c r="BK274" s="164">
        <v>0</v>
      </c>
      <c r="BL274" s="165">
        <v>246.01</v>
      </c>
      <c r="BM274" s="165">
        <v>363.74</v>
      </c>
      <c r="BN274" s="165">
        <v>508.44</v>
      </c>
      <c r="BO274" s="165">
        <v>511.15</v>
      </c>
      <c r="BP274" s="165">
        <v>544.22</v>
      </c>
      <c r="BQ274" s="165">
        <v>453.45</v>
      </c>
      <c r="BR274" s="165">
        <v>551.13</v>
      </c>
      <c r="BS274" s="165">
        <v>842.58</v>
      </c>
      <c r="BT274" s="165">
        <v>1198.78</v>
      </c>
      <c r="BU274" s="165">
        <v>1263.96</v>
      </c>
      <c r="BV274" s="165">
        <v>544.22</v>
      </c>
      <c r="BW274" s="165">
        <v>453.45</v>
      </c>
      <c r="BX274" s="165">
        <v>551.13</v>
      </c>
      <c r="BY274" s="165">
        <v>842.58</v>
      </c>
      <c r="BZ274" s="165">
        <v>1198.78</v>
      </c>
      <c r="CA274" s="165">
        <v>1263.96</v>
      </c>
      <c r="CB274" s="176"/>
      <c r="CC274" s="126"/>
      <c r="CD274" s="126"/>
      <c r="CE274" s="143"/>
    </row>
    <row r="275" spans="1:83">
      <c r="A275" s="107"/>
      <c r="B275" s="107"/>
      <c r="C275" s="107"/>
      <c r="D275" s="107"/>
      <c r="E275" s="548"/>
      <c r="F275" s="549"/>
      <c r="G275" s="549"/>
      <c r="H275" s="550"/>
      <c r="I275" s="540"/>
      <c r="J275" s="541"/>
      <c r="K275" s="541"/>
      <c r="L275" s="542"/>
      <c r="M275" s="540"/>
      <c r="N275" s="541"/>
      <c r="O275" s="541"/>
      <c r="P275" s="542"/>
      <c r="Q275" s="540"/>
      <c r="R275" s="541"/>
      <c r="S275" s="541"/>
      <c r="T275" s="542"/>
      <c r="U275" s="540"/>
      <c r="V275" s="541"/>
      <c r="W275" s="541"/>
      <c r="X275" s="542"/>
      <c r="Y275" s="540"/>
      <c r="Z275" s="541"/>
      <c r="AA275" s="541"/>
      <c r="AB275" s="542"/>
      <c r="AC275" s="540"/>
      <c r="AD275" s="541"/>
      <c r="AE275" s="541"/>
      <c r="AF275" s="542"/>
      <c r="AG275" s="540"/>
      <c r="AH275" s="541"/>
      <c r="AI275" s="541"/>
      <c r="AJ275" s="542"/>
      <c r="AK275" s="540"/>
      <c r="AL275" s="541"/>
      <c r="AM275" s="541"/>
      <c r="AN275" s="542"/>
      <c r="AO275" s="540"/>
      <c r="AP275" s="541"/>
      <c r="AQ275" s="541"/>
      <c r="AR275" s="542"/>
      <c r="AS275" s="540"/>
      <c r="AT275" s="541"/>
      <c r="AU275" s="541"/>
      <c r="AV275" s="542"/>
      <c r="AW275" s="540"/>
      <c r="AX275" s="541"/>
      <c r="AY275" s="541"/>
      <c r="AZ275" s="542"/>
      <c r="BG275" s="93"/>
      <c r="BH275" s="93"/>
      <c r="BI275" s="93"/>
      <c r="BJ275" s="176">
        <v>216</v>
      </c>
      <c r="BK275" s="164">
        <v>0</v>
      </c>
      <c r="BL275" s="165">
        <v>247.18</v>
      </c>
      <c r="BM275" s="165">
        <v>365.5</v>
      </c>
      <c r="BN275" s="165">
        <v>510.88</v>
      </c>
      <c r="BO275" s="165">
        <v>513.59</v>
      </c>
      <c r="BP275" s="165">
        <v>546.84</v>
      </c>
      <c r="BQ275" s="165">
        <v>455.63</v>
      </c>
      <c r="BR275" s="165">
        <v>553.79</v>
      </c>
      <c r="BS275" s="165">
        <v>846.72</v>
      </c>
      <c r="BT275" s="165">
        <v>1204.68</v>
      </c>
      <c r="BU275" s="165">
        <v>1270.17</v>
      </c>
      <c r="BV275" s="165">
        <v>546.84</v>
      </c>
      <c r="BW275" s="165">
        <v>455.63</v>
      </c>
      <c r="BX275" s="165">
        <v>553.79</v>
      </c>
      <c r="BY275" s="165">
        <v>846.72</v>
      </c>
      <c r="BZ275" s="165">
        <v>1204.68</v>
      </c>
      <c r="CA275" s="165">
        <v>1270.17</v>
      </c>
      <c r="CB275" s="176"/>
      <c r="CC275" s="126"/>
      <c r="CD275" s="126"/>
      <c r="CE275" s="143"/>
    </row>
    <row r="276" spans="1:83">
      <c r="A276" s="107"/>
      <c r="B276" s="107"/>
      <c r="C276" s="107"/>
      <c r="D276" s="107"/>
      <c r="E276" s="551"/>
      <c r="F276" s="552"/>
      <c r="G276" s="552"/>
      <c r="H276" s="553"/>
      <c r="I276" s="545"/>
      <c r="J276" s="546"/>
      <c r="K276" s="546"/>
      <c r="L276" s="547"/>
      <c r="M276" s="545"/>
      <c r="N276" s="546"/>
      <c r="O276" s="546"/>
      <c r="P276" s="547"/>
      <c r="Q276" s="545"/>
      <c r="R276" s="546"/>
      <c r="S276" s="546"/>
      <c r="T276" s="547"/>
      <c r="U276" s="545"/>
      <c r="V276" s="546"/>
      <c r="W276" s="546"/>
      <c r="X276" s="547"/>
      <c r="Y276" s="545"/>
      <c r="Z276" s="546"/>
      <c r="AA276" s="546"/>
      <c r="AB276" s="547"/>
      <c r="AC276" s="545"/>
      <c r="AD276" s="546"/>
      <c r="AE276" s="546"/>
      <c r="AF276" s="547"/>
      <c r="AG276" s="545"/>
      <c r="AH276" s="546"/>
      <c r="AI276" s="546"/>
      <c r="AJ276" s="547"/>
      <c r="AK276" s="545"/>
      <c r="AL276" s="546"/>
      <c r="AM276" s="546"/>
      <c r="AN276" s="547"/>
      <c r="AO276" s="545"/>
      <c r="AP276" s="546"/>
      <c r="AQ276" s="546"/>
      <c r="AR276" s="547"/>
      <c r="AS276" s="545"/>
      <c r="AT276" s="546"/>
      <c r="AU276" s="546"/>
      <c r="AV276" s="547"/>
      <c r="AW276" s="545"/>
      <c r="AX276" s="546"/>
      <c r="AY276" s="546"/>
      <c r="AZ276" s="547"/>
      <c r="BG276" s="93"/>
      <c r="BH276" s="93"/>
      <c r="BI276" s="93"/>
      <c r="BJ276" s="176">
        <v>217</v>
      </c>
      <c r="BK276" s="164">
        <v>0</v>
      </c>
      <c r="BL276" s="165">
        <v>248.34</v>
      </c>
      <c r="BM276" s="165">
        <v>367.26</v>
      </c>
      <c r="BN276" s="165">
        <v>513.33000000000004</v>
      </c>
      <c r="BO276" s="165">
        <v>516.03</v>
      </c>
      <c r="BP276" s="165">
        <v>549.47</v>
      </c>
      <c r="BQ276" s="165">
        <v>457.8</v>
      </c>
      <c r="BR276" s="165">
        <v>556.45000000000005</v>
      </c>
      <c r="BS276" s="165">
        <v>850.86</v>
      </c>
      <c r="BT276" s="165">
        <v>1210.5899999999999</v>
      </c>
      <c r="BU276" s="165">
        <v>1276.3800000000001</v>
      </c>
      <c r="BV276" s="165">
        <v>549.47</v>
      </c>
      <c r="BW276" s="165">
        <v>457.8</v>
      </c>
      <c r="BX276" s="165">
        <v>556.45000000000005</v>
      </c>
      <c r="BY276" s="165">
        <v>850.86</v>
      </c>
      <c r="BZ276" s="165">
        <v>1210.5899999999999</v>
      </c>
      <c r="CA276" s="165">
        <v>1276.3800000000001</v>
      </c>
      <c r="CB276" s="176"/>
      <c r="CC276" s="126"/>
      <c r="CD276" s="126"/>
      <c r="CE276" s="143"/>
    </row>
    <row r="277" spans="1:83">
      <c r="A277" s="107"/>
      <c r="B277" s="107"/>
      <c r="C277" s="107"/>
      <c r="D277" s="107"/>
      <c r="E277" s="548"/>
      <c r="F277" s="549"/>
      <c r="G277" s="549"/>
      <c r="H277" s="550"/>
      <c r="I277" s="540"/>
      <c r="J277" s="541"/>
      <c r="K277" s="541"/>
      <c r="L277" s="542"/>
      <c r="M277" s="540"/>
      <c r="N277" s="541"/>
      <c r="O277" s="541"/>
      <c r="P277" s="542"/>
      <c r="Q277" s="540"/>
      <c r="R277" s="541"/>
      <c r="S277" s="541"/>
      <c r="T277" s="542"/>
      <c r="U277" s="540"/>
      <c r="V277" s="541"/>
      <c r="W277" s="541"/>
      <c r="X277" s="542"/>
      <c r="Y277" s="540"/>
      <c r="Z277" s="541"/>
      <c r="AA277" s="541"/>
      <c r="AB277" s="542"/>
      <c r="AC277" s="540"/>
      <c r="AD277" s="541"/>
      <c r="AE277" s="541"/>
      <c r="AF277" s="542"/>
      <c r="AG277" s="540"/>
      <c r="AH277" s="541"/>
      <c r="AI277" s="541"/>
      <c r="AJ277" s="542"/>
      <c r="AK277" s="540"/>
      <c r="AL277" s="541"/>
      <c r="AM277" s="541"/>
      <c r="AN277" s="542"/>
      <c r="AO277" s="540"/>
      <c r="AP277" s="541"/>
      <c r="AQ277" s="541"/>
      <c r="AR277" s="542"/>
      <c r="AS277" s="540"/>
      <c r="AT277" s="541"/>
      <c r="AU277" s="541"/>
      <c r="AV277" s="542"/>
      <c r="AW277" s="540"/>
      <c r="AX277" s="541"/>
      <c r="AY277" s="541"/>
      <c r="AZ277" s="542"/>
      <c r="BG277" s="93"/>
      <c r="BH277" s="93"/>
      <c r="BI277" s="93"/>
      <c r="BJ277" s="176">
        <v>218</v>
      </c>
      <c r="BK277" s="164">
        <v>0</v>
      </c>
      <c r="BL277" s="165">
        <v>249.51</v>
      </c>
      <c r="BM277" s="165">
        <v>369.01</v>
      </c>
      <c r="BN277" s="165">
        <v>515.77</v>
      </c>
      <c r="BO277" s="165">
        <v>518.48</v>
      </c>
      <c r="BP277" s="165">
        <v>552.09</v>
      </c>
      <c r="BQ277" s="165">
        <v>459.98</v>
      </c>
      <c r="BR277" s="165">
        <v>559.11</v>
      </c>
      <c r="BS277" s="165">
        <v>854.99</v>
      </c>
      <c r="BT277" s="165">
        <v>1216.5</v>
      </c>
      <c r="BU277" s="165">
        <v>1282.58</v>
      </c>
      <c r="BV277" s="165">
        <v>552.09</v>
      </c>
      <c r="BW277" s="165">
        <v>459.98</v>
      </c>
      <c r="BX277" s="165">
        <v>559.11</v>
      </c>
      <c r="BY277" s="165">
        <v>854.99</v>
      </c>
      <c r="BZ277" s="165">
        <v>1216.5</v>
      </c>
      <c r="CA277" s="165">
        <v>1282.58</v>
      </c>
      <c r="CB277" s="176"/>
      <c r="CC277" s="126"/>
      <c r="CD277" s="126"/>
      <c r="CE277" s="143"/>
    </row>
    <row r="278" spans="1:83">
      <c r="A278" s="107"/>
      <c r="B278" s="107"/>
      <c r="C278" s="107"/>
      <c r="D278" s="107"/>
      <c r="E278" s="551"/>
      <c r="F278" s="552"/>
      <c r="G278" s="552"/>
      <c r="H278" s="553"/>
      <c r="I278" s="545"/>
      <c r="J278" s="546"/>
      <c r="K278" s="546"/>
      <c r="L278" s="547"/>
      <c r="M278" s="545"/>
      <c r="N278" s="546"/>
      <c r="O278" s="546"/>
      <c r="P278" s="547"/>
      <c r="Q278" s="545"/>
      <c r="R278" s="546"/>
      <c r="S278" s="546"/>
      <c r="T278" s="547"/>
      <c r="U278" s="545"/>
      <c r="V278" s="546"/>
      <c r="W278" s="546"/>
      <c r="X278" s="547"/>
      <c r="Y278" s="545"/>
      <c r="Z278" s="546"/>
      <c r="AA278" s="546"/>
      <c r="AB278" s="547"/>
      <c r="AC278" s="545"/>
      <c r="AD278" s="546"/>
      <c r="AE278" s="546"/>
      <c r="AF278" s="547"/>
      <c r="AG278" s="545"/>
      <c r="AH278" s="546"/>
      <c r="AI278" s="546"/>
      <c r="AJ278" s="547"/>
      <c r="AK278" s="545"/>
      <c r="AL278" s="546"/>
      <c r="AM278" s="546"/>
      <c r="AN278" s="547"/>
      <c r="AO278" s="545"/>
      <c r="AP278" s="546"/>
      <c r="AQ278" s="546"/>
      <c r="AR278" s="547"/>
      <c r="AS278" s="545"/>
      <c r="AT278" s="546"/>
      <c r="AU278" s="546"/>
      <c r="AV278" s="547"/>
      <c r="AW278" s="545"/>
      <c r="AX278" s="546"/>
      <c r="AY278" s="546"/>
      <c r="AZ278" s="547"/>
      <c r="BG278" s="93"/>
      <c r="BH278" s="93"/>
      <c r="BI278" s="93"/>
      <c r="BJ278" s="176">
        <v>219</v>
      </c>
      <c r="BK278" s="164">
        <v>0</v>
      </c>
      <c r="BL278" s="165">
        <v>250.68</v>
      </c>
      <c r="BM278" s="165">
        <v>370.77</v>
      </c>
      <c r="BN278" s="165">
        <v>518.21</v>
      </c>
      <c r="BO278" s="165">
        <v>520.91999999999996</v>
      </c>
      <c r="BP278" s="165">
        <v>554.71</v>
      </c>
      <c r="BQ278" s="165">
        <v>462.16</v>
      </c>
      <c r="BR278" s="165">
        <v>561.77</v>
      </c>
      <c r="BS278" s="165">
        <v>859.13</v>
      </c>
      <c r="BT278" s="165">
        <v>1222.4100000000001</v>
      </c>
      <c r="BU278" s="165">
        <v>1288.79</v>
      </c>
      <c r="BV278" s="165">
        <v>554.71</v>
      </c>
      <c r="BW278" s="165">
        <v>462.16</v>
      </c>
      <c r="BX278" s="165">
        <v>561.77</v>
      </c>
      <c r="BY278" s="165">
        <v>859.13</v>
      </c>
      <c r="BZ278" s="165">
        <v>1222.4100000000001</v>
      </c>
      <c r="CA278" s="165">
        <v>1288.79</v>
      </c>
      <c r="CB278" s="176"/>
      <c r="CC278" s="126"/>
      <c r="CD278" s="126"/>
      <c r="CE278" s="143"/>
    </row>
    <row r="279" spans="1:83">
      <c r="A279" s="107"/>
      <c r="B279" s="107"/>
      <c r="C279" s="107"/>
      <c r="D279" s="107"/>
      <c r="E279" s="548"/>
      <c r="F279" s="549"/>
      <c r="G279" s="549"/>
      <c r="H279" s="550"/>
      <c r="I279" s="540"/>
      <c r="J279" s="541"/>
      <c r="K279" s="541"/>
      <c r="L279" s="542"/>
      <c r="M279" s="540"/>
      <c r="N279" s="541"/>
      <c r="O279" s="541"/>
      <c r="P279" s="542"/>
      <c r="Q279" s="540"/>
      <c r="R279" s="541"/>
      <c r="S279" s="541"/>
      <c r="T279" s="542"/>
      <c r="U279" s="540"/>
      <c r="V279" s="541"/>
      <c r="W279" s="541"/>
      <c r="X279" s="542"/>
      <c r="Y279" s="540"/>
      <c r="Z279" s="541"/>
      <c r="AA279" s="541"/>
      <c r="AB279" s="542"/>
      <c r="AC279" s="540"/>
      <c r="AD279" s="541"/>
      <c r="AE279" s="541"/>
      <c r="AF279" s="542"/>
      <c r="AG279" s="540"/>
      <c r="AH279" s="541"/>
      <c r="AI279" s="541"/>
      <c r="AJ279" s="542"/>
      <c r="AK279" s="540"/>
      <c r="AL279" s="541"/>
      <c r="AM279" s="541"/>
      <c r="AN279" s="542"/>
      <c r="AO279" s="540"/>
      <c r="AP279" s="541"/>
      <c r="AQ279" s="541"/>
      <c r="AR279" s="542"/>
      <c r="AS279" s="540"/>
      <c r="AT279" s="541"/>
      <c r="AU279" s="541"/>
      <c r="AV279" s="542"/>
      <c r="AW279" s="540"/>
      <c r="AX279" s="541"/>
      <c r="AY279" s="541"/>
      <c r="AZ279" s="542"/>
      <c r="BG279" s="93"/>
      <c r="BH279" s="93"/>
      <c r="BI279" s="93"/>
      <c r="BJ279" s="176">
        <v>220</v>
      </c>
      <c r="BK279" s="164">
        <v>0</v>
      </c>
      <c r="BL279" s="165">
        <v>251.84</v>
      </c>
      <c r="BM279" s="165">
        <v>372.53</v>
      </c>
      <c r="BN279" s="165">
        <v>520.66</v>
      </c>
      <c r="BO279" s="165">
        <v>523.36</v>
      </c>
      <c r="BP279" s="165">
        <v>557.34</v>
      </c>
      <c r="BQ279" s="165">
        <v>464.33</v>
      </c>
      <c r="BR279" s="165">
        <v>564.42999999999995</v>
      </c>
      <c r="BS279" s="165">
        <v>863.26</v>
      </c>
      <c r="BT279" s="165">
        <v>1228.32</v>
      </c>
      <c r="BU279" s="165">
        <v>1294.99</v>
      </c>
      <c r="BV279" s="165">
        <v>557.34</v>
      </c>
      <c r="BW279" s="165">
        <v>464.33</v>
      </c>
      <c r="BX279" s="165">
        <v>564.42999999999995</v>
      </c>
      <c r="BY279" s="165">
        <v>863.26</v>
      </c>
      <c r="BZ279" s="165">
        <v>1228.32</v>
      </c>
      <c r="CA279" s="165">
        <v>1294.99</v>
      </c>
      <c r="CB279" s="176"/>
      <c r="CC279" s="126"/>
      <c r="CD279" s="126"/>
      <c r="CE279" s="143"/>
    </row>
    <row r="280" spans="1:83">
      <c r="A280" s="107"/>
      <c r="B280" s="107"/>
      <c r="C280" s="107"/>
      <c r="D280" s="107"/>
      <c r="E280" s="551"/>
      <c r="F280" s="552"/>
      <c r="G280" s="552"/>
      <c r="H280" s="553"/>
      <c r="I280" s="545"/>
      <c r="J280" s="546"/>
      <c r="K280" s="546"/>
      <c r="L280" s="547"/>
      <c r="M280" s="545"/>
      <c r="N280" s="546"/>
      <c r="O280" s="546"/>
      <c r="P280" s="547"/>
      <c r="Q280" s="545"/>
      <c r="R280" s="546"/>
      <c r="S280" s="546"/>
      <c r="T280" s="547"/>
      <c r="U280" s="545"/>
      <c r="V280" s="546"/>
      <c r="W280" s="546"/>
      <c r="X280" s="547"/>
      <c r="Y280" s="545"/>
      <c r="Z280" s="546"/>
      <c r="AA280" s="546"/>
      <c r="AB280" s="547"/>
      <c r="AC280" s="545"/>
      <c r="AD280" s="546"/>
      <c r="AE280" s="546"/>
      <c r="AF280" s="547"/>
      <c r="AG280" s="545"/>
      <c r="AH280" s="546"/>
      <c r="AI280" s="546"/>
      <c r="AJ280" s="547"/>
      <c r="AK280" s="545"/>
      <c r="AL280" s="546"/>
      <c r="AM280" s="546"/>
      <c r="AN280" s="547"/>
      <c r="AO280" s="545"/>
      <c r="AP280" s="546"/>
      <c r="AQ280" s="546"/>
      <c r="AR280" s="547"/>
      <c r="AS280" s="545"/>
      <c r="AT280" s="546"/>
      <c r="AU280" s="546"/>
      <c r="AV280" s="547"/>
      <c r="AW280" s="545"/>
      <c r="AX280" s="546"/>
      <c r="AY280" s="546"/>
      <c r="AZ280" s="547"/>
      <c r="BG280" s="93"/>
      <c r="BH280" s="93"/>
      <c r="BI280" s="93"/>
      <c r="BJ280" s="176">
        <v>221</v>
      </c>
      <c r="BK280" s="164">
        <v>0</v>
      </c>
      <c r="BL280" s="165">
        <v>253.01</v>
      </c>
      <c r="BM280" s="165">
        <v>374.29</v>
      </c>
      <c r="BN280" s="165">
        <v>523.1</v>
      </c>
      <c r="BO280" s="165">
        <v>525.80999999999995</v>
      </c>
      <c r="BP280" s="165">
        <v>559.96</v>
      </c>
      <c r="BQ280" s="165">
        <v>466.51</v>
      </c>
      <c r="BR280" s="165">
        <v>567.09</v>
      </c>
      <c r="BS280" s="165">
        <v>867.4</v>
      </c>
      <c r="BT280" s="165">
        <v>1234.23</v>
      </c>
      <c r="BU280" s="165">
        <v>1301.2</v>
      </c>
      <c r="BV280" s="165">
        <v>559.96</v>
      </c>
      <c r="BW280" s="165">
        <v>466.51</v>
      </c>
      <c r="BX280" s="165">
        <v>567.09</v>
      </c>
      <c r="BY280" s="165">
        <v>867.4</v>
      </c>
      <c r="BZ280" s="165">
        <v>1234.23</v>
      </c>
      <c r="CA280" s="165">
        <v>1301.2</v>
      </c>
      <c r="CB280" s="176"/>
      <c r="CC280" s="126"/>
      <c r="CD280" s="126"/>
      <c r="CE280" s="143"/>
    </row>
    <row r="281" spans="1:83">
      <c r="A281" s="107"/>
      <c r="B281" s="107"/>
      <c r="C281" s="107"/>
      <c r="D281" s="107"/>
      <c r="E281" s="548"/>
      <c r="F281" s="549"/>
      <c r="G281" s="549"/>
      <c r="H281" s="550"/>
      <c r="I281" s="540"/>
      <c r="J281" s="541"/>
      <c r="K281" s="541"/>
      <c r="L281" s="542"/>
      <c r="M281" s="540"/>
      <c r="N281" s="541"/>
      <c r="O281" s="541"/>
      <c r="P281" s="542"/>
      <c r="Q281" s="540"/>
      <c r="R281" s="541"/>
      <c r="S281" s="541"/>
      <c r="T281" s="542"/>
      <c r="U281" s="540"/>
      <c r="V281" s="541"/>
      <c r="W281" s="541"/>
      <c r="X281" s="542"/>
      <c r="Y281" s="540"/>
      <c r="Z281" s="541"/>
      <c r="AA281" s="541"/>
      <c r="AB281" s="542"/>
      <c r="AC281" s="540"/>
      <c r="AD281" s="541"/>
      <c r="AE281" s="541"/>
      <c r="AF281" s="542"/>
      <c r="AG281" s="540"/>
      <c r="AH281" s="541"/>
      <c r="AI281" s="541"/>
      <c r="AJ281" s="542"/>
      <c r="AK281" s="540"/>
      <c r="AL281" s="541"/>
      <c r="AM281" s="541"/>
      <c r="AN281" s="542"/>
      <c r="AO281" s="540"/>
      <c r="AP281" s="541"/>
      <c r="AQ281" s="541"/>
      <c r="AR281" s="542"/>
      <c r="AS281" s="540"/>
      <c r="AT281" s="541"/>
      <c r="AU281" s="541"/>
      <c r="AV281" s="542"/>
      <c r="AW281" s="540"/>
      <c r="AX281" s="541"/>
      <c r="AY281" s="541"/>
      <c r="AZ281" s="542"/>
      <c r="BG281" s="93"/>
      <c r="BH281" s="93"/>
      <c r="BI281" s="93"/>
      <c r="BJ281" s="176">
        <v>222</v>
      </c>
      <c r="BK281" s="164">
        <v>0</v>
      </c>
      <c r="BL281" s="165">
        <v>254.18</v>
      </c>
      <c r="BM281" s="165">
        <v>376.05</v>
      </c>
      <c r="BN281" s="165">
        <v>525.54</v>
      </c>
      <c r="BO281" s="165">
        <v>528.25</v>
      </c>
      <c r="BP281" s="165">
        <v>562.58000000000004</v>
      </c>
      <c r="BQ281" s="165">
        <v>468.69</v>
      </c>
      <c r="BR281" s="165">
        <v>569.75</v>
      </c>
      <c r="BS281" s="165">
        <v>871.53</v>
      </c>
      <c r="BT281" s="165">
        <v>1240.1400000000001</v>
      </c>
      <c r="BU281" s="165">
        <v>1307.4100000000001</v>
      </c>
      <c r="BV281" s="165">
        <v>562.58000000000004</v>
      </c>
      <c r="BW281" s="165">
        <v>468.69</v>
      </c>
      <c r="BX281" s="165">
        <v>569.75</v>
      </c>
      <c r="BY281" s="165">
        <v>871.53</v>
      </c>
      <c r="BZ281" s="165">
        <v>1240.1400000000001</v>
      </c>
      <c r="CA281" s="165">
        <v>1307.4100000000001</v>
      </c>
      <c r="CB281" s="176"/>
      <c r="CC281" s="126"/>
      <c r="CD281" s="126"/>
      <c r="CE281" s="143"/>
    </row>
    <row r="282" spans="1:83">
      <c r="A282" s="107"/>
      <c r="B282" s="107"/>
      <c r="C282" s="107"/>
      <c r="D282" s="107"/>
      <c r="E282" s="551"/>
      <c r="F282" s="552"/>
      <c r="G282" s="552"/>
      <c r="H282" s="553"/>
      <c r="I282" s="545"/>
      <c r="J282" s="546"/>
      <c r="K282" s="546"/>
      <c r="L282" s="547"/>
      <c r="M282" s="545"/>
      <c r="N282" s="546"/>
      <c r="O282" s="546"/>
      <c r="P282" s="547"/>
      <c r="Q282" s="545"/>
      <c r="R282" s="546"/>
      <c r="S282" s="546"/>
      <c r="T282" s="547"/>
      <c r="U282" s="545"/>
      <c r="V282" s="546"/>
      <c r="W282" s="546"/>
      <c r="X282" s="547"/>
      <c r="Y282" s="545"/>
      <c r="Z282" s="546"/>
      <c r="AA282" s="546"/>
      <c r="AB282" s="547"/>
      <c r="AC282" s="545"/>
      <c r="AD282" s="546"/>
      <c r="AE282" s="546"/>
      <c r="AF282" s="547"/>
      <c r="AG282" s="545"/>
      <c r="AH282" s="546"/>
      <c r="AI282" s="546"/>
      <c r="AJ282" s="547"/>
      <c r="AK282" s="545"/>
      <c r="AL282" s="546"/>
      <c r="AM282" s="546"/>
      <c r="AN282" s="547"/>
      <c r="AO282" s="545"/>
      <c r="AP282" s="546"/>
      <c r="AQ282" s="546"/>
      <c r="AR282" s="547"/>
      <c r="AS282" s="545"/>
      <c r="AT282" s="546"/>
      <c r="AU282" s="546"/>
      <c r="AV282" s="547"/>
      <c r="AW282" s="545"/>
      <c r="AX282" s="546"/>
      <c r="AY282" s="546"/>
      <c r="AZ282" s="547"/>
      <c r="BG282" s="93"/>
      <c r="BH282" s="93"/>
      <c r="BI282" s="93"/>
      <c r="BJ282" s="176">
        <v>223</v>
      </c>
      <c r="BK282" s="164">
        <v>0</v>
      </c>
      <c r="BL282" s="165">
        <v>255.34</v>
      </c>
      <c r="BM282" s="165">
        <v>377.81</v>
      </c>
      <c r="BN282" s="165">
        <v>527.99</v>
      </c>
      <c r="BO282" s="165">
        <v>530.69000000000005</v>
      </c>
      <c r="BP282" s="165">
        <v>565.20000000000005</v>
      </c>
      <c r="BQ282" s="165">
        <v>470.86</v>
      </c>
      <c r="BR282" s="165">
        <v>572.41</v>
      </c>
      <c r="BS282" s="165">
        <v>875.67</v>
      </c>
      <c r="BT282" s="165">
        <v>1246.05</v>
      </c>
      <c r="BU282" s="165">
        <v>1313.61</v>
      </c>
      <c r="BV282" s="165">
        <v>565.20000000000005</v>
      </c>
      <c r="BW282" s="165">
        <v>470.86</v>
      </c>
      <c r="BX282" s="165">
        <v>572.41</v>
      </c>
      <c r="BY282" s="165">
        <v>875.67</v>
      </c>
      <c r="BZ282" s="165">
        <v>1246.05</v>
      </c>
      <c r="CA282" s="165">
        <v>1313.61</v>
      </c>
      <c r="CB282" s="176"/>
      <c r="CC282" s="126"/>
      <c r="CD282" s="126"/>
      <c r="CE282" s="143"/>
    </row>
    <row r="283" spans="1:83">
      <c r="A283" s="107"/>
      <c r="B283" s="107"/>
      <c r="C283" s="107"/>
      <c r="D283" s="107"/>
      <c r="E283" s="548"/>
      <c r="F283" s="549"/>
      <c r="G283" s="549"/>
      <c r="H283" s="550"/>
      <c r="I283" s="540"/>
      <c r="J283" s="541"/>
      <c r="K283" s="541"/>
      <c r="L283" s="542"/>
      <c r="M283" s="540"/>
      <c r="N283" s="541"/>
      <c r="O283" s="541"/>
      <c r="P283" s="542"/>
      <c r="Q283" s="540"/>
      <c r="R283" s="541"/>
      <c r="S283" s="541"/>
      <c r="T283" s="542"/>
      <c r="U283" s="540"/>
      <c r="V283" s="541"/>
      <c r="W283" s="541"/>
      <c r="X283" s="542"/>
      <c r="Y283" s="540"/>
      <c r="Z283" s="541"/>
      <c r="AA283" s="541"/>
      <c r="AB283" s="542"/>
      <c r="AC283" s="540"/>
      <c r="AD283" s="541"/>
      <c r="AE283" s="541"/>
      <c r="AF283" s="542"/>
      <c r="AG283" s="540"/>
      <c r="AH283" s="541"/>
      <c r="AI283" s="541"/>
      <c r="AJ283" s="542"/>
      <c r="AK283" s="540"/>
      <c r="AL283" s="541"/>
      <c r="AM283" s="541"/>
      <c r="AN283" s="542"/>
      <c r="AO283" s="540"/>
      <c r="AP283" s="541"/>
      <c r="AQ283" s="541"/>
      <c r="AR283" s="542"/>
      <c r="AS283" s="540"/>
      <c r="AT283" s="541"/>
      <c r="AU283" s="541"/>
      <c r="AV283" s="542"/>
      <c r="AW283" s="540"/>
      <c r="AX283" s="541"/>
      <c r="AY283" s="541"/>
      <c r="AZ283" s="542"/>
      <c r="BG283" s="93"/>
      <c r="BH283" s="93"/>
      <c r="BI283" s="93"/>
      <c r="BJ283" s="176">
        <v>224</v>
      </c>
      <c r="BK283" s="164">
        <v>0</v>
      </c>
      <c r="BL283" s="165">
        <v>256.51</v>
      </c>
      <c r="BM283" s="165">
        <v>379.57</v>
      </c>
      <c r="BN283" s="165">
        <v>530.42999999999995</v>
      </c>
      <c r="BO283" s="165">
        <v>533.14</v>
      </c>
      <c r="BP283" s="165">
        <v>567.83000000000004</v>
      </c>
      <c r="BQ283" s="165">
        <v>473.04</v>
      </c>
      <c r="BR283" s="165">
        <v>575.07000000000005</v>
      </c>
      <c r="BS283" s="165">
        <v>879.8</v>
      </c>
      <c r="BT283" s="165">
        <v>1251.96</v>
      </c>
      <c r="BU283" s="165">
        <v>1319.82</v>
      </c>
      <c r="BV283" s="165">
        <v>567.83000000000004</v>
      </c>
      <c r="BW283" s="165">
        <v>473.04</v>
      </c>
      <c r="BX283" s="165">
        <v>575.07000000000005</v>
      </c>
      <c r="BY283" s="165">
        <v>879.8</v>
      </c>
      <c r="BZ283" s="165">
        <v>1251.96</v>
      </c>
      <c r="CA283" s="165">
        <v>1319.82</v>
      </c>
      <c r="CB283" s="176"/>
      <c r="CC283" s="126"/>
      <c r="CD283" s="126"/>
      <c r="CE283" s="143"/>
    </row>
    <row r="284" spans="1:83">
      <c r="A284" s="107"/>
      <c r="B284" s="107"/>
      <c r="C284" s="107"/>
      <c r="D284" s="107"/>
      <c r="E284" s="551"/>
      <c r="F284" s="552"/>
      <c r="G284" s="552"/>
      <c r="H284" s="553"/>
      <c r="I284" s="545"/>
      <c r="J284" s="546"/>
      <c r="K284" s="546"/>
      <c r="L284" s="547"/>
      <c r="M284" s="545"/>
      <c r="N284" s="546"/>
      <c r="O284" s="546"/>
      <c r="P284" s="547"/>
      <c r="Q284" s="545"/>
      <c r="R284" s="546"/>
      <c r="S284" s="546"/>
      <c r="T284" s="547"/>
      <c r="U284" s="545"/>
      <c r="V284" s="546"/>
      <c r="W284" s="546"/>
      <c r="X284" s="547"/>
      <c r="Y284" s="545"/>
      <c r="Z284" s="546"/>
      <c r="AA284" s="546"/>
      <c r="AB284" s="547"/>
      <c r="AC284" s="545"/>
      <c r="AD284" s="546"/>
      <c r="AE284" s="546"/>
      <c r="AF284" s="547"/>
      <c r="AG284" s="545"/>
      <c r="AH284" s="546"/>
      <c r="AI284" s="546"/>
      <c r="AJ284" s="547"/>
      <c r="AK284" s="545"/>
      <c r="AL284" s="546"/>
      <c r="AM284" s="546"/>
      <c r="AN284" s="547"/>
      <c r="AO284" s="545"/>
      <c r="AP284" s="546"/>
      <c r="AQ284" s="546"/>
      <c r="AR284" s="547"/>
      <c r="AS284" s="545"/>
      <c r="AT284" s="546"/>
      <c r="AU284" s="546"/>
      <c r="AV284" s="547"/>
      <c r="AW284" s="545"/>
      <c r="AX284" s="546"/>
      <c r="AY284" s="546"/>
      <c r="AZ284" s="547"/>
      <c r="BG284" s="93"/>
      <c r="BH284" s="93"/>
      <c r="BI284" s="93"/>
      <c r="BJ284" s="176">
        <v>225</v>
      </c>
      <c r="BK284" s="164">
        <v>0</v>
      </c>
      <c r="BL284" s="165">
        <v>257.68</v>
      </c>
      <c r="BM284" s="165">
        <v>381.33</v>
      </c>
      <c r="BN284" s="165">
        <v>532.87</v>
      </c>
      <c r="BO284" s="165">
        <v>535.58000000000004</v>
      </c>
      <c r="BP284" s="165">
        <v>570.45000000000005</v>
      </c>
      <c r="BQ284" s="165">
        <v>475.22</v>
      </c>
      <c r="BR284" s="165">
        <v>577.73</v>
      </c>
      <c r="BS284" s="165">
        <v>883.94</v>
      </c>
      <c r="BT284" s="165">
        <v>1257.8599999999999</v>
      </c>
      <c r="BU284" s="165">
        <v>1326.03</v>
      </c>
      <c r="BV284" s="165">
        <v>570.45000000000005</v>
      </c>
      <c r="BW284" s="165">
        <v>475.22</v>
      </c>
      <c r="BX284" s="165">
        <v>577.73</v>
      </c>
      <c r="BY284" s="165">
        <v>883.94</v>
      </c>
      <c r="BZ284" s="165">
        <v>1257.8599999999999</v>
      </c>
      <c r="CA284" s="165">
        <v>1326.03</v>
      </c>
      <c r="CB284" s="176"/>
      <c r="CC284" s="126"/>
      <c r="CD284" s="126"/>
      <c r="CE284" s="143"/>
    </row>
    <row r="285" spans="1:83">
      <c r="A285" s="107"/>
      <c r="B285" s="107"/>
      <c r="C285" s="107"/>
      <c r="D285" s="107"/>
      <c r="E285" s="548"/>
      <c r="F285" s="549"/>
      <c r="G285" s="549"/>
      <c r="H285" s="550"/>
      <c r="I285" s="540"/>
      <c r="J285" s="541"/>
      <c r="K285" s="541"/>
      <c r="L285" s="542"/>
      <c r="M285" s="540"/>
      <c r="N285" s="541"/>
      <c r="O285" s="541"/>
      <c r="P285" s="542"/>
      <c r="Q285" s="540"/>
      <c r="R285" s="541"/>
      <c r="S285" s="541"/>
      <c r="T285" s="542"/>
      <c r="U285" s="540"/>
      <c r="V285" s="541"/>
      <c r="W285" s="541"/>
      <c r="X285" s="542"/>
      <c r="Y285" s="540"/>
      <c r="Z285" s="541"/>
      <c r="AA285" s="541"/>
      <c r="AB285" s="542"/>
      <c r="AC285" s="540"/>
      <c r="AD285" s="541"/>
      <c r="AE285" s="541"/>
      <c r="AF285" s="542"/>
      <c r="AG285" s="540"/>
      <c r="AH285" s="541"/>
      <c r="AI285" s="541"/>
      <c r="AJ285" s="542"/>
      <c r="AK285" s="540"/>
      <c r="AL285" s="541"/>
      <c r="AM285" s="541"/>
      <c r="AN285" s="542"/>
      <c r="AO285" s="540"/>
      <c r="AP285" s="541"/>
      <c r="AQ285" s="541"/>
      <c r="AR285" s="542"/>
      <c r="AS285" s="540"/>
      <c r="AT285" s="541"/>
      <c r="AU285" s="541"/>
      <c r="AV285" s="542"/>
      <c r="AW285" s="540"/>
      <c r="AX285" s="541"/>
      <c r="AY285" s="541"/>
      <c r="AZ285" s="542"/>
      <c r="BG285" s="93"/>
      <c r="BH285" s="93"/>
      <c r="BI285" s="93"/>
      <c r="BJ285" s="176">
        <v>226</v>
      </c>
      <c r="BK285" s="164">
        <v>0</v>
      </c>
      <c r="BL285" s="165">
        <v>258.83999999999997</v>
      </c>
      <c r="BM285" s="165">
        <v>383.09</v>
      </c>
      <c r="BN285" s="165">
        <v>535.32000000000005</v>
      </c>
      <c r="BO285" s="165">
        <v>538.02</v>
      </c>
      <c r="BP285" s="165">
        <v>573.07000000000005</v>
      </c>
      <c r="BQ285" s="165">
        <v>477.39</v>
      </c>
      <c r="BR285" s="165">
        <v>580.38</v>
      </c>
      <c r="BS285" s="165">
        <v>888.07</v>
      </c>
      <c r="BT285" s="165">
        <v>1263.77</v>
      </c>
      <c r="BU285" s="165">
        <v>1332.23</v>
      </c>
      <c r="BV285" s="165">
        <v>573.07000000000005</v>
      </c>
      <c r="BW285" s="165">
        <v>477.39</v>
      </c>
      <c r="BX285" s="165">
        <v>580.38</v>
      </c>
      <c r="BY285" s="165">
        <v>888.07</v>
      </c>
      <c r="BZ285" s="165">
        <v>1263.77</v>
      </c>
      <c r="CA285" s="165">
        <v>1332.23</v>
      </c>
      <c r="CB285" s="176"/>
      <c r="CC285" s="126"/>
      <c r="CD285" s="126"/>
      <c r="CE285" s="143"/>
    </row>
    <row r="286" spans="1:83">
      <c r="A286" s="107"/>
      <c r="B286" s="107"/>
      <c r="C286" s="107"/>
      <c r="D286" s="107"/>
      <c r="E286" s="551"/>
      <c r="F286" s="552"/>
      <c r="G286" s="552"/>
      <c r="H286" s="553"/>
      <c r="I286" s="545"/>
      <c r="J286" s="546"/>
      <c r="K286" s="546"/>
      <c r="L286" s="547"/>
      <c r="M286" s="545"/>
      <c r="N286" s="546"/>
      <c r="O286" s="546"/>
      <c r="P286" s="547"/>
      <c r="Q286" s="545"/>
      <c r="R286" s="546"/>
      <c r="S286" s="546"/>
      <c r="T286" s="547"/>
      <c r="U286" s="545"/>
      <c r="V286" s="546"/>
      <c r="W286" s="546"/>
      <c r="X286" s="547"/>
      <c r="Y286" s="545"/>
      <c r="Z286" s="546"/>
      <c r="AA286" s="546"/>
      <c r="AB286" s="547"/>
      <c r="AC286" s="545"/>
      <c r="AD286" s="546"/>
      <c r="AE286" s="546"/>
      <c r="AF286" s="547"/>
      <c r="AG286" s="545"/>
      <c r="AH286" s="546"/>
      <c r="AI286" s="546"/>
      <c r="AJ286" s="547"/>
      <c r="AK286" s="545"/>
      <c r="AL286" s="546"/>
      <c r="AM286" s="546"/>
      <c r="AN286" s="547"/>
      <c r="AO286" s="545"/>
      <c r="AP286" s="546"/>
      <c r="AQ286" s="546"/>
      <c r="AR286" s="547"/>
      <c r="AS286" s="545"/>
      <c r="AT286" s="546"/>
      <c r="AU286" s="546"/>
      <c r="AV286" s="547"/>
      <c r="AW286" s="545"/>
      <c r="AX286" s="546"/>
      <c r="AY286" s="546"/>
      <c r="AZ286" s="547"/>
      <c r="BG286" s="93"/>
      <c r="BH286" s="93"/>
      <c r="BI286" s="93"/>
      <c r="BJ286" s="176">
        <v>227</v>
      </c>
      <c r="BK286" s="164">
        <v>0</v>
      </c>
      <c r="BL286" s="165">
        <v>260.01</v>
      </c>
      <c r="BM286" s="165">
        <v>384.85</v>
      </c>
      <c r="BN286" s="165">
        <v>537.76</v>
      </c>
      <c r="BO286" s="165">
        <v>540.47</v>
      </c>
      <c r="BP286" s="165">
        <v>575.70000000000005</v>
      </c>
      <c r="BQ286" s="165">
        <v>479.57</v>
      </c>
      <c r="BR286" s="165">
        <v>583.04</v>
      </c>
      <c r="BS286" s="165">
        <v>892.21</v>
      </c>
      <c r="BT286" s="165">
        <v>1269.68</v>
      </c>
      <c r="BU286" s="165">
        <v>1338.44</v>
      </c>
      <c r="BV286" s="165">
        <v>575.70000000000005</v>
      </c>
      <c r="BW286" s="165">
        <v>479.57</v>
      </c>
      <c r="BX286" s="165">
        <v>583.04</v>
      </c>
      <c r="BY286" s="165">
        <v>892.21</v>
      </c>
      <c r="BZ286" s="165">
        <v>1269.68</v>
      </c>
      <c r="CA286" s="165">
        <v>1338.44</v>
      </c>
      <c r="CB286" s="176"/>
      <c r="CC286" s="126"/>
      <c r="CD286" s="126"/>
      <c r="CE286" s="143"/>
    </row>
    <row r="287" spans="1:83">
      <c r="A287" s="107"/>
      <c r="B287" s="107"/>
      <c r="C287" s="107"/>
      <c r="D287" s="107"/>
      <c r="E287" s="548"/>
      <c r="F287" s="549"/>
      <c r="G287" s="549"/>
      <c r="H287" s="550"/>
      <c r="I287" s="540"/>
      <c r="J287" s="541"/>
      <c r="K287" s="541"/>
      <c r="L287" s="542"/>
      <c r="M287" s="540"/>
      <c r="N287" s="541"/>
      <c r="O287" s="541"/>
      <c r="P287" s="542"/>
      <c r="Q287" s="540"/>
      <c r="R287" s="541"/>
      <c r="S287" s="541"/>
      <c r="T287" s="542"/>
      <c r="U287" s="540"/>
      <c r="V287" s="541"/>
      <c r="W287" s="541"/>
      <c r="X287" s="542"/>
      <c r="Y287" s="540"/>
      <c r="Z287" s="541"/>
      <c r="AA287" s="541"/>
      <c r="AB287" s="542"/>
      <c r="AC287" s="540"/>
      <c r="AD287" s="541"/>
      <c r="AE287" s="541"/>
      <c r="AF287" s="542"/>
      <c r="AG287" s="540"/>
      <c r="AH287" s="541"/>
      <c r="AI287" s="541"/>
      <c r="AJ287" s="542"/>
      <c r="AK287" s="540"/>
      <c r="AL287" s="541"/>
      <c r="AM287" s="541"/>
      <c r="AN287" s="542"/>
      <c r="AO287" s="540"/>
      <c r="AP287" s="541"/>
      <c r="AQ287" s="541"/>
      <c r="AR287" s="542"/>
      <c r="AS287" s="540"/>
      <c r="AT287" s="541"/>
      <c r="AU287" s="541"/>
      <c r="AV287" s="542"/>
      <c r="AW287" s="540"/>
      <c r="AX287" s="541"/>
      <c r="AY287" s="541"/>
      <c r="AZ287" s="542"/>
      <c r="BG287" s="93"/>
      <c r="BH287" s="93"/>
      <c r="BI287" s="93"/>
      <c r="BJ287" s="176">
        <v>228</v>
      </c>
      <c r="BK287" s="164">
        <v>0</v>
      </c>
      <c r="BL287" s="165">
        <v>261.18</v>
      </c>
      <c r="BM287" s="165">
        <v>386.61</v>
      </c>
      <c r="BN287" s="165">
        <v>540.20000000000005</v>
      </c>
      <c r="BO287" s="165">
        <v>542.91</v>
      </c>
      <c r="BP287" s="165">
        <v>578.32000000000005</v>
      </c>
      <c r="BQ287" s="165">
        <v>481.75</v>
      </c>
      <c r="BR287" s="165">
        <v>585.70000000000005</v>
      </c>
      <c r="BS287" s="165">
        <v>896.34</v>
      </c>
      <c r="BT287" s="165">
        <v>1275.5899999999999</v>
      </c>
      <c r="BU287" s="165">
        <v>1344.65</v>
      </c>
      <c r="BV287" s="165">
        <v>578.32000000000005</v>
      </c>
      <c r="BW287" s="165">
        <v>481.75</v>
      </c>
      <c r="BX287" s="165">
        <v>585.70000000000005</v>
      </c>
      <c r="BY287" s="165">
        <v>896.34</v>
      </c>
      <c r="BZ287" s="165">
        <v>1275.5899999999999</v>
      </c>
      <c r="CA287" s="165">
        <v>1344.65</v>
      </c>
      <c r="CB287" s="176"/>
      <c r="CC287" s="126"/>
      <c r="CD287" s="126"/>
      <c r="CE287" s="143"/>
    </row>
    <row r="288" spans="1:83">
      <c r="A288" s="107"/>
      <c r="B288" s="107"/>
      <c r="C288" s="107"/>
      <c r="D288" s="107"/>
      <c r="E288" s="551"/>
      <c r="F288" s="552"/>
      <c r="G288" s="552"/>
      <c r="H288" s="553"/>
      <c r="I288" s="545"/>
      <c r="J288" s="546"/>
      <c r="K288" s="546"/>
      <c r="L288" s="547"/>
      <c r="M288" s="545"/>
      <c r="N288" s="546"/>
      <c r="O288" s="546"/>
      <c r="P288" s="547"/>
      <c r="Q288" s="545"/>
      <c r="R288" s="546"/>
      <c r="S288" s="546"/>
      <c r="T288" s="547"/>
      <c r="U288" s="545"/>
      <c r="V288" s="546"/>
      <c r="W288" s="546"/>
      <c r="X288" s="547"/>
      <c r="Y288" s="545"/>
      <c r="Z288" s="546"/>
      <c r="AA288" s="546"/>
      <c r="AB288" s="547"/>
      <c r="AC288" s="545"/>
      <c r="AD288" s="546"/>
      <c r="AE288" s="546"/>
      <c r="AF288" s="547"/>
      <c r="AG288" s="545"/>
      <c r="AH288" s="546"/>
      <c r="AI288" s="546"/>
      <c r="AJ288" s="547"/>
      <c r="AK288" s="545"/>
      <c r="AL288" s="546"/>
      <c r="AM288" s="546"/>
      <c r="AN288" s="547"/>
      <c r="AO288" s="545"/>
      <c r="AP288" s="546"/>
      <c r="AQ288" s="546"/>
      <c r="AR288" s="547"/>
      <c r="AS288" s="545"/>
      <c r="AT288" s="546"/>
      <c r="AU288" s="546"/>
      <c r="AV288" s="547"/>
      <c r="AW288" s="545"/>
      <c r="AX288" s="546"/>
      <c r="AY288" s="546"/>
      <c r="AZ288" s="547"/>
      <c r="BG288" s="93"/>
      <c r="BH288" s="93"/>
      <c r="BI288" s="93"/>
      <c r="BJ288" s="176">
        <v>229</v>
      </c>
      <c r="BK288" s="164">
        <v>0</v>
      </c>
      <c r="BL288" s="165">
        <v>262.33999999999997</v>
      </c>
      <c r="BM288" s="165">
        <v>388.37</v>
      </c>
      <c r="BN288" s="165">
        <v>542.64</v>
      </c>
      <c r="BO288" s="165">
        <v>545.35</v>
      </c>
      <c r="BP288" s="165">
        <v>580.94000000000005</v>
      </c>
      <c r="BQ288" s="165">
        <v>483.92</v>
      </c>
      <c r="BR288" s="165">
        <v>588.36</v>
      </c>
      <c r="BS288" s="165">
        <v>900.48</v>
      </c>
      <c r="BT288" s="165">
        <v>1281.5</v>
      </c>
      <c r="BU288" s="165">
        <v>1350.85</v>
      </c>
      <c r="BV288" s="165">
        <v>580.94000000000005</v>
      </c>
      <c r="BW288" s="165">
        <v>483.92</v>
      </c>
      <c r="BX288" s="165">
        <v>588.36</v>
      </c>
      <c r="BY288" s="165">
        <v>900.48</v>
      </c>
      <c r="BZ288" s="165">
        <v>1281.5</v>
      </c>
      <c r="CA288" s="165">
        <v>1350.85</v>
      </c>
      <c r="CB288" s="176"/>
      <c r="CC288" s="126"/>
      <c r="CD288" s="126"/>
      <c r="CE288" s="143"/>
    </row>
    <row r="289" spans="1:83">
      <c r="A289" s="107"/>
      <c r="B289" s="107"/>
      <c r="C289" s="107"/>
      <c r="D289" s="107"/>
      <c r="E289" s="548"/>
      <c r="F289" s="549"/>
      <c r="G289" s="549"/>
      <c r="H289" s="550"/>
      <c r="I289" s="540"/>
      <c r="J289" s="541"/>
      <c r="K289" s="541"/>
      <c r="L289" s="542"/>
      <c r="M289" s="540"/>
      <c r="N289" s="541"/>
      <c r="O289" s="541"/>
      <c r="P289" s="542"/>
      <c r="Q289" s="540"/>
      <c r="R289" s="541"/>
      <c r="S289" s="541"/>
      <c r="T289" s="542"/>
      <c r="U289" s="540"/>
      <c r="V289" s="541"/>
      <c r="W289" s="541"/>
      <c r="X289" s="542"/>
      <c r="Y289" s="540"/>
      <c r="Z289" s="541"/>
      <c r="AA289" s="541"/>
      <c r="AB289" s="542"/>
      <c r="AC289" s="540"/>
      <c r="AD289" s="541"/>
      <c r="AE289" s="541"/>
      <c r="AF289" s="542"/>
      <c r="AG289" s="540"/>
      <c r="AH289" s="541"/>
      <c r="AI289" s="541"/>
      <c r="AJ289" s="542"/>
      <c r="AK289" s="540"/>
      <c r="AL289" s="541"/>
      <c r="AM289" s="541"/>
      <c r="AN289" s="542"/>
      <c r="AO289" s="540"/>
      <c r="AP289" s="541"/>
      <c r="AQ289" s="541"/>
      <c r="AR289" s="542"/>
      <c r="AS289" s="540"/>
      <c r="AT289" s="541"/>
      <c r="AU289" s="541"/>
      <c r="AV289" s="542"/>
      <c r="AW289" s="540"/>
      <c r="AX289" s="541"/>
      <c r="AY289" s="541"/>
      <c r="AZ289" s="542"/>
      <c r="BG289" s="93"/>
      <c r="BH289" s="93"/>
      <c r="BI289" s="93"/>
      <c r="BJ289" s="176">
        <v>230</v>
      </c>
      <c r="BK289" s="164">
        <v>0</v>
      </c>
      <c r="BL289" s="165">
        <v>263.51</v>
      </c>
      <c r="BM289" s="165">
        <v>390.12</v>
      </c>
      <c r="BN289" s="165">
        <v>545.09</v>
      </c>
      <c r="BO289" s="165">
        <v>547.79999999999995</v>
      </c>
      <c r="BP289" s="165">
        <v>583.57000000000005</v>
      </c>
      <c r="BQ289" s="165">
        <v>486.1</v>
      </c>
      <c r="BR289" s="165">
        <v>591.02</v>
      </c>
      <c r="BS289" s="165">
        <v>904.61</v>
      </c>
      <c r="BT289" s="165">
        <v>1287.4100000000001</v>
      </c>
      <c r="BU289" s="165">
        <v>1357.06</v>
      </c>
      <c r="BV289" s="165">
        <v>583.57000000000005</v>
      </c>
      <c r="BW289" s="165">
        <v>486.1</v>
      </c>
      <c r="BX289" s="165">
        <v>591.02</v>
      </c>
      <c r="BY289" s="165">
        <v>904.61</v>
      </c>
      <c r="BZ289" s="165">
        <v>1287.4100000000001</v>
      </c>
      <c r="CA289" s="165">
        <v>1357.06</v>
      </c>
      <c r="CB289" s="176"/>
      <c r="CC289" s="126"/>
      <c r="CD289" s="126"/>
      <c r="CE289" s="143"/>
    </row>
    <row r="290" spans="1:83">
      <c r="A290" s="107"/>
      <c r="B290" s="107"/>
      <c r="C290" s="107"/>
      <c r="D290" s="107"/>
      <c r="E290" s="551"/>
      <c r="F290" s="552"/>
      <c r="G290" s="552"/>
      <c r="H290" s="553"/>
      <c r="I290" s="545"/>
      <c r="J290" s="546"/>
      <c r="K290" s="546"/>
      <c r="L290" s="547"/>
      <c r="M290" s="545"/>
      <c r="N290" s="546"/>
      <c r="O290" s="546"/>
      <c r="P290" s="547"/>
      <c r="Q290" s="545"/>
      <c r="R290" s="546"/>
      <c r="S290" s="546"/>
      <c r="T290" s="547"/>
      <c r="U290" s="545"/>
      <c r="V290" s="546"/>
      <c r="W290" s="546"/>
      <c r="X290" s="547"/>
      <c r="Y290" s="545"/>
      <c r="Z290" s="546"/>
      <c r="AA290" s="546"/>
      <c r="AB290" s="547"/>
      <c r="AC290" s="545"/>
      <c r="AD290" s="546"/>
      <c r="AE290" s="546"/>
      <c r="AF290" s="547"/>
      <c r="AG290" s="545"/>
      <c r="AH290" s="546"/>
      <c r="AI290" s="546"/>
      <c r="AJ290" s="547"/>
      <c r="AK290" s="545"/>
      <c r="AL290" s="546"/>
      <c r="AM290" s="546"/>
      <c r="AN290" s="547"/>
      <c r="AO290" s="545"/>
      <c r="AP290" s="546"/>
      <c r="AQ290" s="546"/>
      <c r="AR290" s="547"/>
      <c r="AS290" s="545"/>
      <c r="AT290" s="546"/>
      <c r="AU290" s="546"/>
      <c r="AV290" s="547"/>
      <c r="AW290" s="545"/>
      <c r="AX290" s="546"/>
      <c r="AY290" s="546"/>
      <c r="AZ290" s="547"/>
      <c r="BG290" s="93"/>
      <c r="BH290" s="93"/>
      <c r="BI290" s="93"/>
      <c r="BJ290" s="176">
        <v>231</v>
      </c>
      <c r="BK290" s="164">
        <v>0</v>
      </c>
      <c r="BL290" s="165">
        <v>264.67</v>
      </c>
      <c r="BM290" s="165">
        <v>391.88</v>
      </c>
      <c r="BN290" s="165">
        <v>547.53</v>
      </c>
      <c r="BO290" s="165">
        <v>550.24</v>
      </c>
      <c r="BP290" s="165">
        <v>586.19000000000005</v>
      </c>
      <c r="BQ290" s="165">
        <v>488.28</v>
      </c>
      <c r="BR290" s="165">
        <v>593.67999999999995</v>
      </c>
      <c r="BS290" s="165">
        <v>908.75</v>
      </c>
      <c r="BT290" s="165">
        <v>1293.32</v>
      </c>
      <c r="BU290" s="165">
        <v>1363.26</v>
      </c>
      <c r="BV290" s="165">
        <v>586.19000000000005</v>
      </c>
      <c r="BW290" s="165">
        <v>488.28</v>
      </c>
      <c r="BX290" s="165">
        <v>593.67999999999995</v>
      </c>
      <c r="BY290" s="165">
        <v>908.75</v>
      </c>
      <c r="BZ290" s="165">
        <v>1293.32</v>
      </c>
      <c r="CA290" s="165">
        <v>1363.26</v>
      </c>
      <c r="CB290" s="176"/>
      <c r="CC290" s="126"/>
      <c r="CD290" s="126"/>
      <c r="CE290" s="143"/>
    </row>
    <row r="291" spans="1:83">
      <c r="A291" s="107"/>
      <c r="B291" s="107"/>
      <c r="C291" s="107"/>
      <c r="D291" s="107"/>
      <c r="E291" s="548"/>
      <c r="F291" s="549"/>
      <c r="G291" s="549"/>
      <c r="H291" s="550"/>
      <c r="I291" s="540"/>
      <c r="J291" s="541"/>
      <c r="K291" s="541"/>
      <c r="L291" s="542"/>
      <c r="M291" s="540"/>
      <c r="N291" s="541"/>
      <c r="O291" s="541"/>
      <c r="P291" s="542"/>
      <c r="Q291" s="540"/>
      <c r="R291" s="541"/>
      <c r="S291" s="541"/>
      <c r="T291" s="542"/>
      <c r="U291" s="540"/>
      <c r="V291" s="541"/>
      <c r="W291" s="541"/>
      <c r="X291" s="542"/>
      <c r="Y291" s="540"/>
      <c r="Z291" s="541"/>
      <c r="AA291" s="541"/>
      <c r="AB291" s="542"/>
      <c r="AC291" s="540"/>
      <c r="AD291" s="541"/>
      <c r="AE291" s="541"/>
      <c r="AF291" s="542"/>
      <c r="AG291" s="540"/>
      <c r="AH291" s="541"/>
      <c r="AI291" s="541"/>
      <c r="AJ291" s="542"/>
      <c r="AK291" s="540"/>
      <c r="AL291" s="541"/>
      <c r="AM291" s="541"/>
      <c r="AN291" s="542"/>
      <c r="AO291" s="540"/>
      <c r="AP291" s="541"/>
      <c r="AQ291" s="541"/>
      <c r="AR291" s="542"/>
      <c r="AS291" s="540"/>
      <c r="AT291" s="541"/>
      <c r="AU291" s="541"/>
      <c r="AV291" s="542"/>
      <c r="AW291" s="540"/>
      <c r="AX291" s="541"/>
      <c r="AY291" s="541"/>
      <c r="AZ291" s="542"/>
      <c r="BG291" s="93"/>
      <c r="BH291" s="93"/>
      <c r="BI291" s="93"/>
      <c r="BJ291" s="176">
        <v>232</v>
      </c>
      <c r="BK291" s="164">
        <v>0</v>
      </c>
      <c r="BL291" s="165">
        <v>265.83999999999997</v>
      </c>
      <c r="BM291" s="165">
        <v>393.64</v>
      </c>
      <c r="BN291" s="165">
        <v>549.97</v>
      </c>
      <c r="BO291" s="165">
        <v>552.67999999999995</v>
      </c>
      <c r="BP291" s="165">
        <v>588.80999999999995</v>
      </c>
      <c r="BQ291" s="165">
        <v>490.45</v>
      </c>
      <c r="BR291" s="165">
        <v>596.34</v>
      </c>
      <c r="BS291" s="165">
        <v>912.88</v>
      </c>
      <c r="BT291" s="165">
        <v>1299.23</v>
      </c>
      <c r="BU291" s="165">
        <v>1369.47</v>
      </c>
      <c r="BV291" s="165">
        <v>588.80999999999995</v>
      </c>
      <c r="BW291" s="165">
        <v>490.45</v>
      </c>
      <c r="BX291" s="165">
        <v>596.34</v>
      </c>
      <c r="BY291" s="165">
        <v>912.88</v>
      </c>
      <c r="BZ291" s="165">
        <v>1299.23</v>
      </c>
      <c r="CA291" s="165">
        <v>1369.47</v>
      </c>
      <c r="CB291" s="176"/>
      <c r="CC291" s="126"/>
      <c r="CD291" s="126"/>
      <c r="CE291" s="143"/>
    </row>
    <row r="292" spans="1:83">
      <c r="A292" s="107"/>
      <c r="B292" s="107"/>
      <c r="C292" s="107"/>
      <c r="D292" s="107"/>
      <c r="E292" s="551"/>
      <c r="F292" s="552"/>
      <c r="G292" s="552"/>
      <c r="H292" s="553"/>
      <c r="I292" s="545"/>
      <c r="J292" s="546"/>
      <c r="K292" s="546"/>
      <c r="L292" s="547"/>
      <c r="M292" s="545"/>
      <c r="N292" s="546"/>
      <c r="O292" s="546"/>
      <c r="P292" s="547"/>
      <c r="Q292" s="545"/>
      <c r="R292" s="546"/>
      <c r="S292" s="546"/>
      <c r="T292" s="547"/>
      <c r="U292" s="545"/>
      <c r="V292" s="546"/>
      <c r="W292" s="546"/>
      <c r="X292" s="547"/>
      <c r="Y292" s="545"/>
      <c r="Z292" s="546"/>
      <c r="AA292" s="546"/>
      <c r="AB292" s="547"/>
      <c r="AC292" s="545"/>
      <c r="AD292" s="546"/>
      <c r="AE292" s="546"/>
      <c r="AF292" s="547"/>
      <c r="AG292" s="545"/>
      <c r="AH292" s="546"/>
      <c r="AI292" s="546"/>
      <c r="AJ292" s="547"/>
      <c r="AK292" s="545"/>
      <c r="AL292" s="546"/>
      <c r="AM292" s="546"/>
      <c r="AN292" s="547"/>
      <c r="AO292" s="545"/>
      <c r="AP292" s="546"/>
      <c r="AQ292" s="546"/>
      <c r="AR292" s="547"/>
      <c r="AS292" s="545"/>
      <c r="AT292" s="546"/>
      <c r="AU292" s="546"/>
      <c r="AV292" s="547"/>
      <c r="AW292" s="545"/>
      <c r="AX292" s="546"/>
      <c r="AY292" s="546"/>
      <c r="AZ292" s="547"/>
      <c r="BG292" s="93"/>
      <c r="BH292" s="93"/>
      <c r="BI292" s="93"/>
      <c r="BJ292" s="176">
        <v>233</v>
      </c>
      <c r="BK292" s="164">
        <v>0</v>
      </c>
      <c r="BL292" s="165">
        <v>267.01</v>
      </c>
      <c r="BM292" s="165">
        <v>395.4</v>
      </c>
      <c r="BN292" s="165">
        <v>552.41999999999996</v>
      </c>
      <c r="BO292" s="165">
        <v>555.12</v>
      </c>
      <c r="BP292" s="165">
        <v>591.44000000000005</v>
      </c>
      <c r="BQ292" s="165">
        <v>492.63</v>
      </c>
      <c r="BR292" s="165">
        <v>599</v>
      </c>
      <c r="BS292" s="165">
        <v>917.02</v>
      </c>
      <c r="BT292" s="165">
        <v>1305.1300000000001</v>
      </c>
      <c r="BU292" s="165">
        <v>1375.68</v>
      </c>
      <c r="BV292" s="165">
        <v>591.44000000000005</v>
      </c>
      <c r="BW292" s="165">
        <v>492.63</v>
      </c>
      <c r="BX292" s="165">
        <v>599</v>
      </c>
      <c r="BY292" s="165">
        <v>917.02</v>
      </c>
      <c r="BZ292" s="165">
        <v>1305.1300000000001</v>
      </c>
      <c r="CA292" s="165">
        <v>1375.68</v>
      </c>
      <c r="CB292" s="176"/>
      <c r="CC292" s="126"/>
      <c r="CD292" s="126"/>
      <c r="CE292" s="143"/>
    </row>
    <row r="293" spans="1:83">
      <c r="A293" s="107"/>
      <c r="B293" s="107"/>
      <c r="C293" s="107"/>
      <c r="D293" s="107"/>
      <c r="E293" s="548"/>
      <c r="F293" s="549"/>
      <c r="G293" s="549"/>
      <c r="H293" s="550"/>
      <c r="I293" s="540"/>
      <c r="J293" s="541"/>
      <c r="K293" s="541"/>
      <c r="L293" s="542"/>
      <c r="M293" s="540"/>
      <c r="N293" s="541"/>
      <c r="O293" s="541"/>
      <c r="P293" s="542"/>
      <c r="Q293" s="540"/>
      <c r="R293" s="541"/>
      <c r="S293" s="541"/>
      <c r="T293" s="542"/>
      <c r="U293" s="540"/>
      <c r="V293" s="541"/>
      <c r="W293" s="541"/>
      <c r="X293" s="542"/>
      <c r="Y293" s="540"/>
      <c r="Z293" s="541"/>
      <c r="AA293" s="541"/>
      <c r="AB293" s="542"/>
      <c r="AC293" s="540"/>
      <c r="AD293" s="541"/>
      <c r="AE293" s="541"/>
      <c r="AF293" s="542"/>
      <c r="AG293" s="540"/>
      <c r="AH293" s="541"/>
      <c r="AI293" s="541"/>
      <c r="AJ293" s="542"/>
      <c r="AK293" s="540"/>
      <c r="AL293" s="541"/>
      <c r="AM293" s="541"/>
      <c r="AN293" s="542"/>
      <c r="AO293" s="540"/>
      <c r="AP293" s="541"/>
      <c r="AQ293" s="541"/>
      <c r="AR293" s="542"/>
      <c r="AS293" s="540"/>
      <c r="AT293" s="541"/>
      <c r="AU293" s="541"/>
      <c r="AV293" s="542"/>
      <c r="AW293" s="540"/>
      <c r="AX293" s="541"/>
      <c r="AY293" s="541"/>
      <c r="AZ293" s="542"/>
      <c r="BG293" s="93"/>
      <c r="BH293" s="93"/>
      <c r="BI293" s="93"/>
      <c r="BJ293" s="176">
        <v>234</v>
      </c>
      <c r="BK293" s="164">
        <v>0</v>
      </c>
      <c r="BL293" s="165">
        <v>268.17</v>
      </c>
      <c r="BM293" s="165">
        <v>397.16</v>
      </c>
      <c r="BN293" s="165">
        <v>554.86</v>
      </c>
      <c r="BO293" s="165">
        <v>557.57000000000005</v>
      </c>
      <c r="BP293" s="165">
        <v>594.05999999999995</v>
      </c>
      <c r="BQ293" s="165">
        <v>494.81</v>
      </c>
      <c r="BR293" s="165">
        <v>601.66</v>
      </c>
      <c r="BS293" s="165">
        <v>921.15</v>
      </c>
      <c r="BT293" s="165">
        <v>1311.04</v>
      </c>
      <c r="BU293" s="165">
        <v>1381.88</v>
      </c>
      <c r="BV293" s="165">
        <v>594.05999999999995</v>
      </c>
      <c r="BW293" s="165">
        <v>494.81</v>
      </c>
      <c r="BX293" s="165">
        <v>601.66</v>
      </c>
      <c r="BY293" s="165">
        <v>921.15</v>
      </c>
      <c r="BZ293" s="165">
        <v>1311.04</v>
      </c>
      <c r="CA293" s="165">
        <v>1381.88</v>
      </c>
      <c r="CB293" s="176"/>
      <c r="CC293" s="126"/>
      <c r="CD293" s="126"/>
      <c r="CE293" s="143"/>
    </row>
    <row r="294" spans="1:83">
      <c r="A294" s="107"/>
      <c r="B294" s="107"/>
      <c r="C294" s="107"/>
      <c r="D294" s="107"/>
      <c r="E294" s="551"/>
      <c r="F294" s="552"/>
      <c r="G294" s="552"/>
      <c r="H294" s="553"/>
      <c r="I294" s="545"/>
      <c r="J294" s="546"/>
      <c r="K294" s="546"/>
      <c r="L294" s="547"/>
      <c r="M294" s="545"/>
      <c r="N294" s="546"/>
      <c r="O294" s="546"/>
      <c r="P294" s="547"/>
      <c r="Q294" s="545"/>
      <c r="R294" s="546"/>
      <c r="S294" s="546"/>
      <c r="T294" s="547"/>
      <c r="U294" s="545"/>
      <c r="V294" s="546"/>
      <c r="W294" s="546"/>
      <c r="X294" s="547"/>
      <c r="Y294" s="545"/>
      <c r="Z294" s="546"/>
      <c r="AA294" s="546"/>
      <c r="AB294" s="547"/>
      <c r="AC294" s="545"/>
      <c r="AD294" s="546"/>
      <c r="AE294" s="546"/>
      <c r="AF294" s="547"/>
      <c r="AG294" s="545"/>
      <c r="AH294" s="546"/>
      <c r="AI294" s="546"/>
      <c r="AJ294" s="547"/>
      <c r="AK294" s="545"/>
      <c r="AL294" s="546"/>
      <c r="AM294" s="546"/>
      <c r="AN294" s="547"/>
      <c r="AO294" s="545"/>
      <c r="AP294" s="546"/>
      <c r="AQ294" s="546"/>
      <c r="AR294" s="547"/>
      <c r="AS294" s="545"/>
      <c r="AT294" s="546"/>
      <c r="AU294" s="546"/>
      <c r="AV294" s="547"/>
      <c r="AW294" s="545"/>
      <c r="AX294" s="546"/>
      <c r="AY294" s="546"/>
      <c r="AZ294" s="547"/>
      <c r="BG294" s="93"/>
      <c r="BH294" s="93"/>
      <c r="BI294" s="93"/>
      <c r="BJ294" s="176">
        <v>235</v>
      </c>
      <c r="BK294" s="164">
        <v>0</v>
      </c>
      <c r="BL294" s="165">
        <v>269.33999999999997</v>
      </c>
      <c r="BM294" s="165">
        <v>398.92</v>
      </c>
      <c r="BN294" s="165">
        <v>557.29999999999995</v>
      </c>
      <c r="BO294" s="165">
        <v>560.01</v>
      </c>
      <c r="BP294" s="165">
        <v>596.67999999999995</v>
      </c>
      <c r="BQ294" s="165">
        <v>496.98</v>
      </c>
      <c r="BR294" s="165">
        <v>604.32000000000005</v>
      </c>
      <c r="BS294" s="165">
        <v>925.29</v>
      </c>
      <c r="BT294" s="165">
        <v>1316.95</v>
      </c>
      <c r="BU294" s="165">
        <v>1388.09</v>
      </c>
      <c r="BV294" s="165">
        <v>596.67999999999995</v>
      </c>
      <c r="BW294" s="165">
        <v>496.98</v>
      </c>
      <c r="BX294" s="165">
        <v>604.32000000000005</v>
      </c>
      <c r="BY294" s="165">
        <v>925.29</v>
      </c>
      <c r="BZ294" s="165">
        <v>1316.95</v>
      </c>
      <c r="CA294" s="165">
        <v>1388.09</v>
      </c>
      <c r="CB294" s="176"/>
      <c r="CC294" s="126"/>
      <c r="CD294" s="126"/>
      <c r="CE294" s="143"/>
    </row>
    <row r="295" spans="1:83">
      <c r="A295" s="107"/>
      <c r="B295" s="107"/>
      <c r="C295" s="107"/>
      <c r="D295" s="107"/>
      <c r="E295" s="548"/>
      <c r="F295" s="549"/>
      <c r="G295" s="549"/>
      <c r="H295" s="550"/>
      <c r="I295" s="540"/>
      <c r="J295" s="541"/>
      <c r="K295" s="541"/>
      <c r="L295" s="542"/>
      <c r="M295" s="540"/>
      <c r="N295" s="541"/>
      <c r="O295" s="541"/>
      <c r="P295" s="542"/>
      <c r="Q295" s="540"/>
      <c r="R295" s="541"/>
      <c r="S295" s="541"/>
      <c r="T295" s="542"/>
      <c r="U295" s="540"/>
      <c r="V295" s="541"/>
      <c r="W295" s="541"/>
      <c r="X295" s="542"/>
      <c r="Y295" s="540"/>
      <c r="Z295" s="541"/>
      <c r="AA295" s="541"/>
      <c r="AB295" s="542"/>
      <c r="AC295" s="540"/>
      <c r="AD295" s="541"/>
      <c r="AE295" s="541"/>
      <c r="AF295" s="542"/>
      <c r="AG295" s="540"/>
      <c r="AH295" s="541"/>
      <c r="AI295" s="541"/>
      <c r="AJ295" s="542"/>
      <c r="AK295" s="540"/>
      <c r="AL295" s="541"/>
      <c r="AM295" s="541"/>
      <c r="AN295" s="542"/>
      <c r="AO295" s="540"/>
      <c r="AP295" s="541"/>
      <c r="AQ295" s="541"/>
      <c r="AR295" s="542"/>
      <c r="AS295" s="540"/>
      <c r="AT295" s="541"/>
      <c r="AU295" s="541"/>
      <c r="AV295" s="542"/>
      <c r="AW295" s="540"/>
      <c r="AX295" s="541"/>
      <c r="AY295" s="541"/>
      <c r="AZ295" s="542"/>
      <c r="BG295" s="93"/>
      <c r="BH295" s="93"/>
      <c r="BI295" s="93"/>
      <c r="BJ295" s="176">
        <v>236</v>
      </c>
      <c r="BK295" s="164">
        <v>0</v>
      </c>
      <c r="BL295" s="165">
        <v>270.51</v>
      </c>
      <c r="BM295" s="165">
        <v>400.68</v>
      </c>
      <c r="BN295" s="165">
        <v>559.75</v>
      </c>
      <c r="BO295" s="165">
        <v>562.45000000000005</v>
      </c>
      <c r="BP295" s="165">
        <v>599.30999999999995</v>
      </c>
      <c r="BQ295" s="165">
        <v>499.16</v>
      </c>
      <c r="BR295" s="165">
        <v>606.98</v>
      </c>
      <c r="BS295" s="165">
        <v>929.42</v>
      </c>
      <c r="BT295" s="165">
        <v>1322.86</v>
      </c>
      <c r="BU295" s="165">
        <v>1394.3</v>
      </c>
      <c r="BV295" s="165">
        <v>599.30999999999995</v>
      </c>
      <c r="BW295" s="165">
        <v>499.16</v>
      </c>
      <c r="BX295" s="165">
        <v>606.98</v>
      </c>
      <c r="BY295" s="165">
        <v>929.42</v>
      </c>
      <c r="BZ295" s="165">
        <v>1322.86</v>
      </c>
      <c r="CA295" s="165">
        <v>1394.3</v>
      </c>
      <c r="CB295" s="176"/>
      <c r="CC295" s="126"/>
      <c r="CD295" s="126"/>
      <c r="CE295" s="143"/>
    </row>
    <row r="296" spans="1:83">
      <c r="A296" s="107"/>
      <c r="B296" s="107"/>
      <c r="C296" s="107"/>
      <c r="D296" s="107"/>
      <c r="E296" s="551"/>
      <c r="F296" s="552"/>
      <c r="G296" s="552"/>
      <c r="H296" s="553"/>
      <c r="I296" s="545"/>
      <c r="J296" s="546"/>
      <c r="K296" s="546"/>
      <c r="L296" s="547"/>
      <c r="M296" s="545"/>
      <c r="N296" s="546"/>
      <c r="O296" s="546"/>
      <c r="P296" s="547"/>
      <c r="Q296" s="545"/>
      <c r="R296" s="546"/>
      <c r="S296" s="546"/>
      <c r="T296" s="547"/>
      <c r="U296" s="545"/>
      <c r="V296" s="546"/>
      <c r="W296" s="546"/>
      <c r="X296" s="547"/>
      <c r="Y296" s="545"/>
      <c r="Z296" s="546"/>
      <c r="AA296" s="546"/>
      <c r="AB296" s="547"/>
      <c r="AC296" s="545"/>
      <c r="AD296" s="546"/>
      <c r="AE296" s="546"/>
      <c r="AF296" s="547"/>
      <c r="AG296" s="545"/>
      <c r="AH296" s="546"/>
      <c r="AI296" s="546"/>
      <c r="AJ296" s="547"/>
      <c r="AK296" s="545"/>
      <c r="AL296" s="546"/>
      <c r="AM296" s="546"/>
      <c r="AN296" s="547"/>
      <c r="AO296" s="545"/>
      <c r="AP296" s="546"/>
      <c r="AQ296" s="546"/>
      <c r="AR296" s="547"/>
      <c r="AS296" s="545"/>
      <c r="AT296" s="546"/>
      <c r="AU296" s="546"/>
      <c r="AV296" s="547"/>
      <c r="AW296" s="545"/>
      <c r="AX296" s="546"/>
      <c r="AY296" s="546"/>
      <c r="AZ296" s="547"/>
      <c r="BG296" s="93"/>
      <c r="BH296" s="93"/>
      <c r="BI296" s="93"/>
      <c r="BJ296" s="176">
        <v>237</v>
      </c>
      <c r="BK296" s="164">
        <v>0</v>
      </c>
      <c r="BL296" s="165">
        <v>271.67</v>
      </c>
      <c r="BM296" s="165">
        <v>402.44</v>
      </c>
      <c r="BN296" s="165">
        <v>562.19000000000005</v>
      </c>
      <c r="BO296" s="165">
        <v>564.9</v>
      </c>
      <c r="BP296" s="165">
        <v>601.92999999999995</v>
      </c>
      <c r="BQ296" s="165">
        <v>501.34</v>
      </c>
      <c r="BR296" s="165">
        <v>609.64</v>
      </c>
      <c r="BS296" s="165">
        <v>933.56</v>
      </c>
      <c r="BT296" s="165">
        <v>1328.77</v>
      </c>
      <c r="BU296" s="165">
        <v>1400.5</v>
      </c>
      <c r="BV296" s="165">
        <v>601.92999999999995</v>
      </c>
      <c r="BW296" s="165">
        <v>501.34</v>
      </c>
      <c r="BX296" s="165">
        <v>609.64</v>
      </c>
      <c r="BY296" s="165">
        <v>933.56</v>
      </c>
      <c r="BZ296" s="165">
        <v>1328.77</v>
      </c>
      <c r="CA296" s="165">
        <v>1400.5</v>
      </c>
      <c r="CB296" s="176"/>
      <c r="CC296" s="126"/>
      <c r="CD296" s="126"/>
      <c r="CE296" s="143"/>
    </row>
    <row r="297" spans="1:83">
      <c r="A297" s="107"/>
      <c r="B297" s="107"/>
      <c r="C297" s="107"/>
      <c r="D297" s="107"/>
      <c r="E297" s="548"/>
      <c r="F297" s="549"/>
      <c r="G297" s="549"/>
      <c r="H297" s="550"/>
      <c r="I297" s="540"/>
      <c r="J297" s="541"/>
      <c r="K297" s="541"/>
      <c r="L297" s="542"/>
      <c r="M297" s="540"/>
      <c r="N297" s="541"/>
      <c r="O297" s="541"/>
      <c r="P297" s="542"/>
      <c r="Q297" s="540"/>
      <c r="R297" s="541"/>
      <c r="S297" s="541"/>
      <c r="T297" s="542"/>
      <c r="U297" s="540"/>
      <c r="V297" s="541"/>
      <c r="W297" s="541"/>
      <c r="X297" s="542"/>
      <c r="Y297" s="540"/>
      <c r="Z297" s="541"/>
      <c r="AA297" s="541"/>
      <c r="AB297" s="542"/>
      <c r="AC297" s="540"/>
      <c r="AD297" s="541"/>
      <c r="AE297" s="541"/>
      <c r="AF297" s="542"/>
      <c r="AG297" s="540"/>
      <c r="AH297" s="541"/>
      <c r="AI297" s="541"/>
      <c r="AJ297" s="542"/>
      <c r="AK297" s="540"/>
      <c r="AL297" s="541"/>
      <c r="AM297" s="541"/>
      <c r="AN297" s="542"/>
      <c r="AO297" s="540"/>
      <c r="AP297" s="541"/>
      <c r="AQ297" s="541"/>
      <c r="AR297" s="542"/>
      <c r="AS297" s="540"/>
      <c r="AT297" s="541"/>
      <c r="AU297" s="541"/>
      <c r="AV297" s="542"/>
      <c r="AW297" s="540"/>
      <c r="AX297" s="541"/>
      <c r="AY297" s="541"/>
      <c r="AZ297" s="542"/>
      <c r="BG297" s="93"/>
      <c r="BH297" s="93"/>
      <c r="BI297" s="93"/>
      <c r="BJ297" s="176">
        <v>238</v>
      </c>
      <c r="BK297" s="164">
        <v>0</v>
      </c>
      <c r="BL297" s="165">
        <v>272.83999999999997</v>
      </c>
      <c r="BM297" s="165">
        <v>404.2</v>
      </c>
      <c r="BN297" s="165">
        <v>564.63</v>
      </c>
      <c r="BO297" s="165">
        <v>567.34</v>
      </c>
      <c r="BP297" s="165">
        <v>604.54999999999995</v>
      </c>
      <c r="BQ297" s="165">
        <v>503.52</v>
      </c>
      <c r="BR297" s="165">
        <v>612.29999999999995</v>
      </c>
      <c r="BS297" s="165">
        <v>937.69</v>
      </c>
      <c r="BT297" s="165">
        <v>1334.68</v>
      </c>
      <c r="BU297" s="165">
        <v>1406.71</v>
      </c>
      <c r="BV297" s="165">
        <v>604.54999999999995</v>
      </c>
      <c r="BW297" s="165">
        <v>503.52</v>
      </c>
      <c r="BX297" s="165">
        <v>612.29999999999995</v>
      </c>
      <c r="BY297" s="165">
        <v>937.69</v>
      </c>
      <c r="BZ297" s="165">
        <v>1334.68</v>
      </c>
      <c r="CA297" s="165">
        <v>1406.71</v>
      </c>
      <c r="CB297" s="176"/>
      <c r="CC297" s="126"/>
      <c r="CD297" s="126"/>
      <c r="CE297" s="143"/>
    </row>
    <row r="298" spans="1:83">
      <c r="A298" s="107"/>
      <c r="B298" s="107"/>
      <c r="C298" s="107"/>
      <c r="D298" s="107"/>
      <c r="E298" s="551"/>
      <c r="F298" s="552"/>
      <c r="G298" s="552"/>
      <c r="H298" s="553"/>
      <c r="I298" s="545"/>
      <c r="J298" s="546"/>
      <c r="K298" s="546"/>
      <c r="L298" s="547"/>
      <c r="M298" s="545"/>
      <c r="N298" s="546"/>
      <c r="O298" s="546"/>
      <c r="P298" s="547"/>
      <c r="Q298" s="545"/>
      <c r="R298" s="546"/>
      <c r="S298" s="546"/>
      <c r="T298" s="547"/>
      <c r="U298" s="545"/>
      <c r="V298" s="546"/>
      <c r="W298" s="546"/>
      <c r="X298" s="547"/>
      <c r="Y298" s="545"/>
      <c r="Z298" s="546"/>
      <c r="AA298" s="546"/>
      <c r="AB298" s="547"/>
      <c r="AC298" s="545"/>
      <c r="AD298" s="546"/>
      <c r="AE298" s="546"/>
      <c r="AF298" s="547"/>
      <c r="AG298" s="545"/>
      <c r="AH298" s="546"/>
      <c r="AI298" s="546"/>
      <c r="AJ298" s="547"/>
      <c r="AK298" s="545"/>
      <c r="AL298" s="546"/>
      <c r="AM298" s="546"/>
      <c r="AN298" s="547"/>
      <c r="AO298" s="545"/>
      <c r="AP298" s="546"/>
      <c r="AQ298" s="546"/>
      <c r="AR298" s="547"/>
      <c r="AS298" s="545"/>
      <c r="AT298" s="546"/>
      <c r="AU298" s="546"/>
      <c r="AV298" s="547"/>
      <c r="AW298" s="545"/>
      <c r="AX298" s="546"/>
      <c r="AY298" s="546"/>
      <c r="AZ298" s="547"/>
      <c r="BG298" s="93"/>
      <c r="BH298" s="93"/>
      <c r="BI298" s="93"/>
      <c r="BJ298" s="176">
        <v>239</v>
      </c>
      <c r="BK298" s="164">
        <v>0</v>
      </c>
      <c r="BL298" s="165">
        <v>274.01</v>
      </c>
      <c r="BM298" s="165">
        <v>405.96</v>
      </c>
      <c r="BN298" s="165">
        <v>567.08000000000004</v>
      </c>
      <c r="BO298" s="165">
        <v>569.78</v>
      </c>
      <c r="BP298" s="165">
        <v>607.17999999999995</v>
      </c>
      <c r="BQ298" s="165">
        <v>505.69</v>
      </c>
      <c r="BR298" s="165">
        <v>614.95000000000005</v>
      </c>
      <c r="BS298" s="165">
        <v>941.83</v>
      </c>
      <c r="BT298" s="165">
        <v>1340.59</v>
      </c>
      <c r="BU298" s="165">
        <v>1412.92</v>
      </c>
      <c r="BV298" s="165">
        <v>607.17999999999995</v>
      </c>
      <c r="BW298" s="165">
        <v>505.69</v>
      </c>
      <c r="BX298" s="165">
        <v>614.95000000000005</v>
      </c>
      <c r="BY298" s="165">
        <v>941.83</v>
      </c>
      <c r="BZ298" s="165">
        <v>1340.59</v>
      </c>
      <c r="CA298" s="165">
        <v>1412.92</v>
      </c>
      <c r="CB298" s="176"/>
      <c r="CC298" s="126"/>
      <c r="CD298" s="126"/>
      <c r="CE298" s="143"/>
    </row>
    <row r="299" spans="1:83">
      <c r="A299" s="107"/>
      <c r="B299" s="107"/>
      <c r="C299" s="107"/>
      <c r="D299" s="107"/>
      <c r="E299" s="548"/>
      <c r="F299" s="549"/>
      <c r="G299" s="549"/>
      <c r="H299" s="550"/>
      <c r="I299" s="540"/>
      <c r="J299" s="541"/>
      <c r="K299" s="541"/>
      <c r="L299" s="542"/>
      <c r="M299" s="540"/>
      <c r="N299" s="541"/>
      <c r="O299" s="541"/>
      <c r="P299" s="542"/>
      <c r="Q299" s="540"/>
      <c r="R299" s="541"/>
      <c r="S299" s="541"/>
      <c r="T299" s="542"/>
      <c r="U299" s="540"/>
      <c r="V299" s="541"/>
      <c r="W299" s="541"/>
      <c r="X299" s="542"/>
      <c r="Y299" s="540"/>
      <c r="Z299" s="541"/>
      <c r="AA299" s="541"/>
      <c r="AB299" s="542"/>
      <c r="AC299" s="540"/>
      <c r="AD299" s="541"/>
      <c r="AE299" s="541"/>
      <c r="AF299" s="542"/>
      <c r="AG299" s="540"/>
      <c r="AH299" s="541"/>
      <c r="AI299" s="541"/>
      <c r="AJ299" s="542"/>
      <c r="AK299" s="540"/>
      <c r="AL299" s="541"/>
      <c r="AM299" s="541"/>
      <c r="AN299" s="542"/>
      <c r="AO299" s="540"/>
      <c r="AP299" s="541"/>
      <c r="AQ299" s="541"/>
      <c r="AR299" s="542"/>
      <c r="AS299" s="540"/>
      <c r="AT299" s="541"/>
      <c r="AU299" s="541"/>
      <c r="AV299" s="542"/>
      <c r="AW299" s="540"/>
      <c r="AX299" s="541"/>
      <c r="AY299" s="541"/>
      <c r="AZ299" s="542"/>
      <c r="BG299" s="93"/>
      <c r="BH299" s="93"/>
      <c r="BI299" s="93"/>
      <c r="BJ299" s="176">
        <v>240</v>
      </c>
      <c r="BK299" s="164">
        <v>0</v>
      </c>
      <c r="BL299" s="165">
        <v>275.17</v>
      </c>
      <c r="BM299" s="165">
        <v>407.72</v>
      </c>
      <c r="BN299" s="165">
        <v>569.52</v>
      </c>
      <c r="BO299" s="165">
        <v>572.23</v>
      </c>
      <c r="BP299" s="165">
        <v>609.79999999999995</v>
      </c>
      <c r="BQ299" s="165">
        <v>507.87</v>
      </c>
      <c r="BR299" s="165">
        <v>617.61</v>
      </c>
      <c r="BS299" s="165">
        <v>945.96</v>
      </c>
      <c r="BT299" s="165">
        <v>1346.5</v>
      </c>
      <c r="BU299" s="165">
        <v>1419.12</v>
      </c>
      <c r="BV299" s="165">
        <v>609.79999999999995</v>
      </c>
      <c r="BW299" s="165">
        <v>507.87</v>
      </c>
      <c r="BX299" s="165">
        <v>617.61</v>
      </c>
      <c r="BY299" s="165">
        <v>945.96</v>
      </c>
      <c r="BZ299" s="165">
        <v>1346.5</v>
      </c>
      <c r="CA299" s="165">
        <v>1419.12</v>
      </c>
      <c r="CB299" s="176"/>
      <c r="CC299" s="126"/>
      <c r="CD299" s="126"/>
      <c r="CE299" s="143"/>
    </row>
    <row r="300" spans="1:83">
      <c r="A300" s="107"/>
      <c r="B300" s="107"/>
      <c r="C300" s="107"/>
      <c r="D300" s="107"/>
      <c r="E300" s="551"/>
      <c r="F300" s="552"/>
      <c r="G300" s="552"/>
      <c r="H300" s="553"/>
      <c r="I300" s="545"/>
      <c r="J300" s="546"/>
      <c r="K300" s="546"/>
      <c r="L300" s="547"/>
      <c r="M300" s="545"/>
      <c r="N300" s="546"/>
      <c r="O300" s="546"/>
      <c r="P300" s="547"/>
      <c r="Q300" s="545"/>
      <c r="R300" s="546"/>
      <c r="S300" s="546"/>
      <c r="T300" s="547"/>
      <c r="U300" s="545"/>
      <c r="V300" s="546"/>
      <c r="W300" s="546"/>
      <c r="X300" s="547"/>
      <c r="Y300" s="545"/>
      <c r="Z300" s="546"/>
      <c r="AA300" s="546"/>
      <c r="AB300" s="547"/>
      <c r="AC300" s="545"/>
      <c r="AD300" s="546"/>
      <c r="AE300" s="546"/>
      <c r="AF300" s="547"/>
      <c r="AG300" s="545"/>
      <c r="AH300" s="546"/>
      <c r="AI300" s="546"/>
      <c r="AJ300" s="547"/>
      <c r="AK300" s="545"/>
      <c r="AL300" s="546"/>
      <c r="AM300" s="546"/>
      <c r="AN300" s="547"/>
      <c r="AO300" s="545"/>
      <c r="AP300" s="546"/>
      <c r="AQ300" s="546"/>
      <c r="AR300" s="547"/>
      <c r="AS300" s="545"/>
      <c r="AT300" s="546"/>
      <c r="AU300" s="546"/>
      <c r="AV300" s="547"/>
      <c r="AW300" s="545"/>
      <c r="AX300" s="546"/>
      <c r="AY300" s="546"/>
      <c r="AZ300" s="547"/>
      <c r="BG300" s="93"/>
      <c r="BH300" s="93"/>
      <c r="BI300" s="93"/>
      <c r="BJ300" s="176">
        <v>241</v>
      </c>
      <c r="BK300" s="164">
        <v>0</v>
      </c>
      <c r="BL300" s="165">
        <v>276.33999999999997</v>
      </c>
      <c r="BM300" s="165">
        <v>409.48</v>
      </c>
      <c r="BN300" s="165">
        <v>571.96</v>
      </c>
      <c r="BO300" s="165">
        <v>574.66999999999996</v>
      </c>
      <c r="BP300" s="165">
        <v>612.41999999999996</v>
      </c>
      <c r="BQ300" s="165">
        <v>510.05</v>
      </c>
      <c r="BR300" s="165">
        <v>620.27</v>
      </c>
      <c r="BS300" s="165">
        <v>950.1</v>
      </c>
      <c r="BT300" s="165">
        <v>1352.4</v>
      </c>
      <c r="BU300" s="165">
        <v>1425.33</v>
      </c>
      <c r="BV300" s="165">
        <v>612.41999999999996</v>
      </c>
      <c r="BW300" s="165">
        <v>510.05</v>
      </c>
      <c r="BX300" s="165">
        <v>620.27</v>
      </c>
      <c r="BY300" s="165">
        <v>950.1</v>
      </c>
      <c r="BZ300" s="165">
        <v>1352.4</v>
      </c>
      <c r="CA300" s="165">
        <v>1425.33</v>
      </c>
      <c r="CB300" s="176"/>
      <c r="CC300" s="126"/>
      <c r="CD300" s="126"/>
      <c r="CE300" s="143"/>
    </row>
    <row r="301" spans="1:83">
      <c r="A301" s="107"/>
      <c r="B301" s="107"/>
      <c r="C301" s="107"/>
      <c r="D301" s="107"/>
      <c r="E301" s="548"/>
      <c r="F301" s="549"/>
      <c r="G301" s="549"/>
      <c r="H301" s="550"/>
      <c r="I301" s="540"/>
      <c r="J301" s="541"/>
      <c r="K301" s="541"/>
      <c r="L301" s="542"/>
      <c r="M301" s="540"/>
      <c r="N301" s="541"/>
      <c r="O301" s="541"/>
      <c r="P301" s="542"/>
      <c r="Q301" s="540"/>
      <c r="R301" s="541"/>
      <c r="S301" s="541"/>
      <c r="T301" s="542"/>
      <c r="U301" s="540"/>
      <c r="V301" s="541"/>
      <c r="W301" s="541"/>
      <c r="X301" s="542"/>
      <c r="Y301" s="540"/>
      <c r="Z301" s="541"/>
      <c r="AA301" s="541"/>
      <c r="AB301" s="542"/>
      <c r="AC301" s="540"/>
      <c r="AD301" s="541"/>
      <c r="AE301" s="541"/>
      <c r="AF301" s="542"/>
      <c r="AG301" s="540"/>
      <c r="AH301" s="541"/>
      <c r="AI301" s="541"/>
      <c r="AJ301" s="542"/>
      <c r="AK301" s="540"/>
      <c r="AL301" s="541"/>
      <c r="AM301" s="541"/>
      <c r="AN301" s="542"/>
      <c r="AO301" s="540"/>
      <c r="AP301" s="541"/>
      <c r="AQ301" s="541"/>
      <c r="AR301" s="542"/>
      <c r="AS301" s="540"/>
      <c r="AT301" s="541"/>
      <c r="AU301" s="541"/>
      <c r="AV301" s="542"/>
      <c r="AW301" s="540"/>
      <c r="AX301" s="541"/>
      <c r="AY301" s="541"/>
      <c r="AZ301" s="542"/>
      <c r="BG301" s="93"/>
      <c r="BH301" s="93"/>
      <c r="BI301" s="93"/>
      <c r="BJ301" s="176">
        <v>242</v>
      </c>
      <c r="BK301" s="164">
        <v>0</v>
      </c>
      <c r="BL301" s="165">
        <v>277.5</v>
      </c>
      <c r="BM301" s="165">
        <v>411.24</v>
      </c>
      <c r="BN301" s="165">
        <v>574.41</v>
      </c>
      <c r="BO301" s="165">
        <v>577.11</v>
      </c>
      <c r="BP301" s="165">
        <v>615.04999999999995</v>
      </c>
      <c r="BQ301" s="165">
        <v>512.22</v>
      </c>
      <c r="BR301" s="165">
        <v>622.92999999999995</v>
      </c>
      <c r="BS301" s="165">
        <v>954.24</v>
      </c>
      <c r="BT301" s="165">
        <v>1358.31</v>
      </c>
      <c r="BU301" s="165">
        <v>1431.54</v>
      </c>
      <c r="BV301" s="165">
        <v>615.04999999999995</v>
      </c>
      <c r="BW301" s="165">
        <v>512.22</v>
      </c>
      <c r="BX301" s="165">
        <v>622.92999999999995</v>
      </c>
      <c r="BY301" s="165">
        <v>954.24</v>
      </c>
      <c r="BZ301" s="165">
        <v>1358.31</v>
      </c>
      <c r="CA301" s="165">
        <v>1431.54</v>
      </c>
      <c r="CB301" s="176"/>
      <c r="CC301" s="126"/>
      <c r="CD301" s="126"/>
      <c r="CE301" s="143"/>
    </row>
    <row r="302" spans="1:83">
      <c r="A302" s="107"/>
      <c r="B302" s="107"/>
      <c r="C302" s="107"/>
      <c r="D302" s="107"/>
      <c r="E302" s="551"/>
      <c r="F302" s="552"/>
      <c r="G302" s="552"/>
      <c r="H302" s="553"/>
      <c r="I302" s="545"/>
      <c r="J302" s="546"/>
      <c r="K302" s="546"/>
      <c r="L302" s="547"/>
      <c r="M302" s="545"/>
      <c r="N302" s="546"/>
      <c r="O302" s="546"/>
      <c r="P302" s="547"/>
      <c r="Q302" s="545"/>
      <c r="R302" s="546"/>
      <c r="S302" s="546"/>
      <c r="T302" s="547"/>
      <c r="U302" s="545"/>
      <c r="V302" s="546"/>
      <c r="W302" s="546"/>
      <c r="X302" s="547"/>
      <c r="Y302" s="545"/>
      <c r="Z302" s="546"/>
      <c r="AA302" s="546"/>
      <c r="AB302" s="547"/>
      <c r="AC302" s="545"/>
      <c r="AD302" s="546"/>
      <c r="AE302" s="546"/>
      <c r="AF302" s="547"/>
      <c r="AG302" s="545"/>
      <c r="AH302" s="546"/>
      <c r="AI302" s="546"/>
      <c r="AJ302" s="547"/>
      <c r="AK302" s="545"/>
      <c r="AL302" s="546"/>
      <c r="AM302" s="546"/>
      <c r="AN302" s="547"/>
      <c r="AO302" s="545"/>
      <c r="AP302" s="546"/>
      <c r="AQ302" s="546"/>
      <c r="AR302" s="547"/>
      <c r="AS302" s="545"/>
      <c r="AT302" s="546"/>
      <c r="AU302" s="546"/>
      <c r="AV302" s="547"/>
      <c r="AW302" s="545"/>
      <c r="AX302" s="546"/>
      <c r="AY302" s="546"/>
      <c r="AZ302" s="547"/>
      <c r="BG302" s="93"/>
      <c r="BH302" s="93"/>
      <c r="BI302" s="93"/>
      <c r="BJ302" s="176">
        <v>243</v>
      </c>
      <c r="BK302" s="164">
        <v>0</v>
      </c>
      <c r="BL302" s="165">
        <v>278.67</v>
      </c>
      <c r="BM302" s="165">
        <v>412.99</v>
      </c>
      <c r="BN302" s="165">
        <v>576.85</v>
      </c>
      <c r="BO302" s="165">
        <v>579.55999999999995</v>
      </c>
      <c r="BP302" s="165">
        <v>617.66999999999996</v>
      </c>
      <c r="BQ302" s="165">
        <v>514.4</v>
      </c>
      <c r="BR302" s="165">
        <v>625.59</v>
      </c>
      <c r="BS302" s="165">
        <v>958.37</v>
      </c>
      <c r="BT302" s="165">
        <v>1364.22</v>
      </c>
      <c r="BU302" s="165">
        <v>1437.74</v>
      </c>
      <c r="BV302" s="165">
        <v>617.66999999999996</v>
      </c>
      <c r="BW302" s="165">
        <v>514.4</v>
      </c>
      <c r="BX302" s="165">
        <v>625.59</v>
      </c>
      <c r="BY302" s="165">
        <v>958.37</v>
      </c>
      <c r="BZ302" s="165">
        <v>1364.22</v>
      </c>
      <c r="CA302" s="165">
        <v>1437.74</v>
      </c>
      <c r="CB302" s="176"/>
      <c r="CC302" s="126"/>
      <c r="CD302" s="126"/>
      <c r="CE302" s="143"/>
    </row>
    <row r="303" spans="1:83">
      <c r="A303" s="107"/>
      <c r="B303" s="107"/>
      <c r="C303" s="107"/>
      <c r="D303" s="107"/>
      <c r="E303" s="548"/>
      <c r="F303" s="549"/>
      <c r="G303" s="549"/>
      <c r="H303" s="550"/>
      <c r="I303" s="540"/>
      <c r="J303" s="541"/>
      <c r="K303" s="541"/>
      <c r="L303" s="542"/>
      <c r="M303" s="540"/>
      <c r="N303" s="541"/>
      <c r="O303" s="541"/>
      <c r="P303" s="542"/>
      <c r="Q303" s="540"/>
      <c r="R303" s="541"/>
      <c r="S303" s="541"/>
      <c r="T303" s="542"/>
      <c r="U303" s="540"/>
      <c r="V303" s="541"/>
      <c r="W303" s="541"/>
      <c r="X303" s="542"/>
      <c r="Y303" s="540"/>
      <c r="Z303" s="541"/>
      <c r="AA303" s="541"/>
      <c r="AB303" s="542"/>
      <c r="AC303" s="540"/>
      <c r="AD303" s="541"/>
      <c r="AE303" s="541"/>
      <c r="AF303" s="542"/>
      <c r="AG303" s="540"/>
      <c r="AH303" s="541"/>
      <c r="AI303" s="541"/>
      <c r="AJ303" s="542"/>
      <c r="AK303" s="540"/>
      <c r="AL303" s="541"/>
      <c r="AM303" s="541"/>
      <c r="AN303" s="542"/>
      <c r="AO303" s="540"/>
      <c r="AP303" s="541"/>
      <c r="AQ303" s="541"/>
      <c r="AR303" s="542"/>
      <c r="AS303" s="540"/>
      <c r="AT303" s="541"/>
      <c r="AU303" s="541"/>
      <c r="AV303" s="542"/>
      <c r="AW303" s="540"/>
      <c r="AX303" s="541"/>
      <c r="AY303" s="541"/>
      <c r="AZ303" s="542"/>
      <c r="BG303" s="93"/>
      <c r="BH303" s="93"/>
      <c r="BI303" s="93"/>
      <c r="BJ303" s="176">
        <v>244</v>
      </c>
      <c r="BK303" s="164">
        <v>0</v>
      </c>
      <c r="BL303" s="165">
        <v>279.83999999999997</v>
      </c>
      <c r="BM303" s="165">
        <v>414.75</v>
      </c>
      <c r="BN303" s="165">
        <v>579.29</v>
      </c>
      <c r="BO303" s="165">
        <v>582</v>
      </c>
      <c r="BP303" s="165">
        <v>620.29</v>
      </c>
      <c r="BQ303" s="165">
        <v>516.58000000000004</v>
      </c>
      <c r="BR303" s="165">
        <v>628.25</v>
      </c>
      <c r="BS303" s="165">
        <v>962.51</v>
      </c>
      <c r="BT303" s="165">
        <v>1370.13</v>
      </c>
      <c r="BU303" s="165">
        <v>1443.95</v>
      </c>
      <c r="BV303" s="165">
        <v>620.29</v>
      </c>
      <c r="BW303" s="165">
        <v>516.58000000000004</v>
      </c>
      <c r="BX303" s="165">
        <v>628.25</v>
      </c>
      <c r="BY303" s="165">
        <v>962.51</v>
      </c>
      <c r="BZ303" s="165">
        <v>1370.13</v>
      </c>
      <c r="CA303" s="165">
        <v>1443.95</v>
      </c>
      <c r="CB303" s="176"/>
      <c r="CC303" s="126"/>
      <c r="CD303" s="126"/>
      <c r="CE303" s="143"/>
    </row>
    <row r="304" spans="1:83">
      <c r="A304" s="107"/>
      <c r="B304" s="107"/>
      <c r="C304" s="107"/>
      <c r="D304" s="107"/>
      <c r="E304" s="551"/>
      <c r="F304" s="552"/>
      <c r="G304" s="552"/>
      <c r="H304" s="553"/>
      <c r="I304" s="545"/>
      <c r="J304" s="546"/>
      <c r="K304" s="546"/>
      <c r="L304" s="547"/>
      <c r="M304" s="545"/>
      <c r="N304" s="546"/>
      <c r="O304" s="546"/>
      <c r="P304" s="547"/>
      <c r="Q304" s="545"/>
      <c r="R304" s="546"/>
      <c r="S304" s="546"/>
      <c r="T304" s="547"/>
      <c r="U304" s="545"/>
      <c r="V304" s="546"/>
      <c r="W304" s="546"/>
      <c r="X304" s="547"/>
      <c r="Y304" s="545"/>
      <c r="Z304" s="546"/>
      <c r="AA304" s="546"/>
      <c r="AB304" s="547"/>
      <c r="AC304" s="545"/>
      <c r="AD304" s="546"/>
      <c r="AE304" s="546"/>
      <c r="AF304" s="547"/>
      <c r="AG304" s="545"/>
      <c r="AH304" s="546"/>
      <c r="AI304" s="546"/>
      <c r="AJ304" s="547"/>
      <c r="AK304" s="545"/>
      <c r="AL304" s="546"/>
      <c r="AM304" s="546"/>
      <c r="AN304" s="547"/>
      <c r="AO304" s="545"/>
      <c r="AP304" s="546"/>
      <c r="AQ304" s="546"/>
      <c r="AR304" s="547"/>
      <c r="AS304" s="545"/>
      <c r="AT304" s="546"/>
      <c r="AU304" s="546"/>
      <c r="AV304" s="547"/>
      <c r="AW304" s="545"/>
      <c r="AX304" s="546"/>
      <c r="AY304" s="546"/>
      <c r="AZ304" s="547"/>
      <c r="BG304" s="93"/>
      <c r="BH304" s="93"/>
      <c r="BI304" s="93"/>
      <c r="BJ304" s="176">
        <v>245</v>
      </c>
      <c r="BK304" s="164">
        <v>0</v>
      </c>
      <c r="BL304" s="165">
        <v>281</v>
      </c>
      <c r="BM304" s="165">
        <v>416.51</v>
      </c>
      <c r="BN304" s="165">
        <v>581.74</v>
      </c>
      <c r="BO304" s="165">
        <v>584.44000000000005</v>
      </c>
      <c r="BP304" s="165">
        <v>622.91999999999996</v>
      </c>
      <c r="BQ304" s="165">
        <v>518.75</v>
      </c>
      <c r="BR304" s="165">
        <v>630.91</v>
      </c>
      <c r="BS304" s="165">
        <v>966.64</v>
      </c>
      <c r="BT304" s="165">
        <v>1376.04</v>
      </c>
      <c r="BU304" s="165">
        <v>1450.15</v>
      </c>
      <c r="BV304" s="165">
        <v>622.91999999999996</v>
      </c>
      <c r="BW304" s="165">
        <v>518.75</v>
      </c>
      <c r="BX304" s="165">
        <v>630.91</v>
      </c>
      <c r="BY304" s="165">
        <v>966.64</v>
      </c>
      <c r="BZ304" s="165">
        <v>1376.04</v>
      </c>
      <c r="CA304" s="165">
        <v>1450.15</v>
      </c>
      <c r="CB304" s="176"/>
      <c r="CC304" s="126"/>
      <c r="CD304" s="126"/>
      <c r="CE304" s="143"/>
    </row>
    <row r="305" spans="1:83">
      <c r="A305" s="107"/>
      <c r="B305" s="107"/>
      <c r="C305" s="107"/>
      <c r="D305" s="107"/>
      <c r="E305" s="548"/>
      <c r="F305" s="549"/>
      <c r="G305" s="549"/>
      <c r="H305" s="550"/>
      <c r="I305" s="540"/>
      <c r="J305" s="541"/>
      <c r="K305" s="541"/>
      <c r="L305" s="542"/>
      <c r="M305" s="540"/>
      <c r="N305" s="541"/>
      <c r="O305" s="541"/>
      <c r="P305" s="542"/>
      <c r="Q305" s="540"/>
      <c r="R305" s="541"/>
      <c r="S305" s="541"/>
      <c r="T305" s="542"/>
      <c r="U305" s="540"/>
      <c r="V305" s="541"/>
      <c r="W305" s="541"/>
      <c r="X305" s="542"/>
      <c r="Y305" s="540"/>
      <c r="Z305" s="541"/>
      <c r="AA305" s="541"/>
      <c r="AB305" s="542"/>
      <c r="AC305" s="540"/>
      <c r="AD305" s="541"/>
      <c r="AE305" s="541"/>
      <c r="AF305" s="542"/>
      <c r="AG305" s="540"/>
      <c r="AH305" s="541"/>
      <c r="AI305" s="541"/>
      <c r="AJ305" s="542"/>
      <c r="AK305" s="540"/>
      <c r="AL305" s="541"/>
      <c r="AM305" s="541"/>
      <c r="AN305" s="542"/>
      <c r="AO305" s="540"/>
      <c r="AP305" s="541"/>
      <c r="AQ305" s="541"/>
      <c r="AR305" s="542"/>
      <c r="AS305" s="540"/>
      <c r="AT305" s="541"/>
      <c r="AU305" s="541"/>
      <c r="AV305" s="542"/>
      <c r="AW305" s="540"/>
      <c r="AX305" s="541"/>
      <c r="AY305" s="541"/>
      <c r="AZ305" s="542"/>
      <c r="BG305" s="93"/>
      <c r="BH305" s="93"/>
      <c r="BI305" s="93"/>
      <c r="BJ305" s="176">
        <v>246</v>
      </c>
      <c r="BK305" s="164">
        <v>0</v>
      </c>
      <c r="BL305" s="165">
        <v>282.17</v>
      </c>
      <c r="BM305" s="165">
        <v>418.27</v>
      </c>
      <c r="BN305" s="165">
        <v>584.17999999999995</v>
      </c>
      <c r="BO305" s="165">
        <v>586.89</v>
      </c>
      <c r="BP305" s="165">
        <v>625.54</v>
      </c>
      <c r="BQ305" s="165">
        <v>520.92999999999995</v>
      </c>
      <c r="BR305" s="165">
        <v>633.57000000000005</v>
      </c>
      <c r="BS305" s="165">
        <v>970.78</v>
      </c>
      <c r="BT305" s="165">
        <v>1381.95</v>
      </c>
      <c r="BU305" s="165">
        <v>1456.36</v>
      </c>
      <c r="BV305" s="165">
        <v>625.54</v>
      </c>
      <c r="BW305" s="165">
        <v>520.92999999999995</v>
      </c>
      <c r="BX305" s="165">
        <v>633.57000000000005</v>
      </c>
      <c r="BY305" s="165">
        <v>970.78</v>
      </c>
      <c r="BZ305" s="165">
        <v>1381.95</v>
      </c>
      <c r="CA305" s="165">
        <v>1456.36</v>
      </c>
      <c r="CB305" s="176"/>
      <c r="CC305" s="126"/>
      <c r="CD305" s="126"/>
      <c r="CE305" s="143"/>
    </row>
    <row r="306" spans="1:83">
      <c r="A306" s="107"/>
      <c r="B306" s="107"/>
      <c r="C306" s="107"/>
      <c r="D306" s="107"/>
      <c r="E306" s="551"/>
      <c r="F306" s="552"/>
      <c r="G306" s="552"/>
      <c r="H306" s="553"/>
      <c r="I306" s="545"/>
      <c r="J306" s="546"/>
      <c r="K306" s="546"/>
      <c r="L306" s="547"/>
      <c r="M306" s="545"/>
      <c r="N306" s="546"/>
      <c r="O306" s="546"/>
      <c r="P306" s="547"/>
      <c r="Q306" s="545"/>
      <c r="R306" s="546"/>
      <c r="S306" s="546"/>
      <c r="T306" s="547"/>
      <c r="U306" s="545"/>
      <c r="V306" s="546"/>
      <c r="W306" s="546"/>
      <c r="X306" s="547"/>
      <c r="Y306" s="545"/>
      <c r="Z306" s="546"/>
      <c r="AA306" s="546"/>
      <c r="AB306" s="547"/>
      <c r="AC306" s="545"/>
      <c r="AD306" s="546"/>
      <c r="AE306" s="546"/>
      <c r="AF306" s="547"/>
      <c r="AG306" s="545"/>
      <c r="AH306" s="546"/>
      <c r="AI306" s="546"/>
      <c r="AJ306" s="547"/>
      <c r="AK306" s="545"/>
      <c r="AL306" s="546"/>
      <c r="AM306" s="546"/>
      <c r="AN306" s="547"/>
      <c r="AO306" s="545"/>
      <c r="AP306" s="546"/>
      <c r="AQ306" s="546"/>
      <c r="AR306" s="547"/>
      <c r="AS306" s="545"/>
      <c r="AT306" s="546"/>
      <c r="AU306" s="546"/>
      <c r="AV306" s="547"/>
      <c r="AW306" s="545"/>
      <c r="AX306" s="546"/>
      <c r="AY306" s="546"/>
      <c r="AZ306" s="547"/>
      <c r="BG306" s="93"/>
      <c r="BH306" s="93"/>
      <c r="BI306" s="93"/>
      <c r="BJ306" s="176">
        <v>247</v>
      </c>
      <c r="BK306" s="164">
        <v>0</v>
      </c>
      <c r="BL306" s="165">
        <v>283.33999999999997</v>
      </c>
      <c r="BM306" s="165">
        <v>420.03</v>
      </c>
      <c r="BN306" s="165">
        <v>586.62</v>
      </c>
      <c r="BO306" s="165">
        <v>589.33000000000004</v>
      </c>
      <c r="BP306" s="165">
        <v>628.16</v>
      </c>
      <c r="BQ306" s="165">
        <v>523.11</v>
      </c>
      <c r="BR306" s="165">
        <v>636.23</v>
      </c>
      <c r="BS306" s="165">
        <v>974.91</v>
      </c>
      <c r="BT306" s="165">
        <v>1387.86</v>
      </c>
      <c r="BU306" s="165">
        <v>1462.57</v>
      </c>
      <c r="BV306" s="165">
        <v>628.16</v>
      </c>
      <c r="BW306" s="165">
        <v>523.11</v>
      </c>
      <c r="BX306" s="165">
        <v>636.23</v>
      </c>
      <c r="BY306" s="165">
        <v>974.91</v>
      </c>
      <c r="BZ306" s="165">
        <v>1387.86</v>
      </c>
      <c r="CA306" s="165">
        <v>1462.57</v>
      </c>
      <c r="CB306" s="176"/>
      <c r="CC306" s="126"/>
      <c r="CD306" s="126"/>
      <c r="CE306" s="143"/>
    </row>
    <row r="307" spans="1:83">
      <c r="A307" s="107"/>
      <c r="B307" s="107"/>
      <c r="C307" s="107"/>
      <c r="D307" s="107"/>
      <c r="E307" s="548"/>
      <c r="F307" s="549"/>
      <c r="G307" s="549"/>
      <c r="H307" s="550"/>
      <c r="I307" s="540"/>
      <c r="J307" s="541"/>
      <c r="K307" s="541"/>
      <c r="L307" s="542"/>
      <c r="M307" s="540"/>
      <c r="N307" s="541"/>
      <c r="O307" s="541"/>
      <c r="P307" s="542"/>
      <c r="Q307" s="540"/>
      <c r="R307" s="541"/>
      <c r="S307" s="541"/>
      <c r="T307" s="542"/>
      <c r="U307" s="540"/>
      <c r="V307" s="541"/>
      <c r="W307" s="541"/>
      <c r="X307" s="542"/>
      <c r="Y307" s="540"/>
      <c r="Z307" s="541"/>
      <c r="AA307" s="541"/>
      <c r="AB307" s="542"/>
      <c r="AC307" s="540"/>
      <c r="AD307" s="541"/>
      <c r="AE307" s="541"/>
      <c r="AF307" s="542"/>
      <c r="AG307" s="540"/>
      <c r="AH307" s="541"/>
      <c r="AI307" s="541"/>
      <c r="AJ307" s="542"/>
      <c r="AK307" s="540"/>
      <c r="AL307" s="541"/>
      <c r="AM307" s="541"/>
      <c r="AN307" s="542"/>
      <c r="AO307" s="540"/>
      <c r="AP307" s="541"/>
      <c r="AQ307" s="541"/>
      <c r="AR307" s="542"/>
      <c r="AS307" s="540"/>
      <c r="AT307" s="541"/>
      <c r="AU307" s="541"/>
      <c r="AV307" s="542"/>
      <c r="AW307" s="540"/>
      <c r="AX307" s="541"/>
      <c r="AY307" s="541"/>
      <c r="AZ307" s="542"/>
      <c r="BG307" s="93"/>
      <c r="BH307" s="93"/>
      <c r="BI307" s="93"/>
      <c r="BJ307" s="176">
        <v>248</v>
      </c>
      <c r="BK307" s="164">
        <v>0</v>
      </c>
      <c r="BL307" s="165">
        <v>284.5</v>
      </c>
      <c r="BM307" s="165">
        <v>421.79</v>
      </c>
      <c r="BN307" s="165">
        <v>589.07000000000005</v>
      </c>
      <c r="BO307" s="165">
        <v>591.77</v>
      </c>
      <c r="BP307" s="165">
        <v>630.78</v>
      </c>
      <c r="BQ307" s="165">
        <v>525.28</v>
      </c>
      <c r="BR307" s="165">
        <v>638.89</v>
      </c>
      <c r="BS307" s="165">
        <v>979.05</v>
      </c>
      <c r="BT307" s="165">
        <v>1393.77</v>
      </c>
      <c r="BU307" s="165">
        <v>1468.77</v>
      </c>
      <c r="BV307" s="165">
        <v>630.78</v>
      </c>
      <c r="BW307" s="165">
        <v>525.28</v>
      </c>
      <c r="BX307" s="165">
        <v>638.89</v>
      </c>
      <c r="BY307" s="165">
        <v>979.05</v>
      </c>
      <c r="BZ307" s="165">
        <v>1393.77</v>
      </c>
      <c r="CA307" s="165">
        <v>1468.77</v>
      </c>
      <c r="CB307" s="176"/>
      <c r="CC307" s="126"/>
      <c r="CD307" s="126"/>
      <c r="CE307" s="143"/>
    </row>
    <row r="308" spans="1:83">
      <c r="A308" s="107"/>
      <c r="B308" s="107"/>
      <c r="C308" s="107"/>
      <c r="D308" s="107"/>
      <c r="E308" s="551"/>
      <c r="F308" s="552"/>
      <c r="G308" s="552"/>
      <c r="H308" s="553"/>
      <c r="I308" s="545"/>
      <c r="J308" s="546"/>
      <c r="K308" s="546"/>
      <c r="L308" s="547"/>
      <c r="M308" s="545"/>
      <c r="N308" s="546"/>
      <c r="O308" s="546"/>
      <c r="P308" s="547"/>
      <c r="Q308" s="545"/>
      <c r="R308" s="546"/>
      <c r="S308" s="546"/>
      <c r="T308" s="547"/>
      <c r="U308" s="545"/>
      <c r="V308" s="546"/>
      <c r="W308" s="546"/>
      <c r="X308" s="547"/>
      <c r="Y308" s="545"/>
      <c r="Z308" s="546"/>
      <c r="AA308" s="546"/>
      <c r="AB308" s="547"/>
      <c r="AC308" s="545"/>
      <c r="AD308" s="546"/>
      <c r="AE308" s="546"/>
      <c r="AF308" s="547"/>
      <c r="AG308" s="545"/>
      <c r="AH308" s="546"/>
      <c r="AI308" s="546"/>
      <c r="AJ308" s="547"/>
      <c r="AK308" s="545"/>
      <c r="AL308" s="546"/>
      <c r="AM308" s="546"/>
      <c r="AN308" s="547"/>
      <c r="AO308" s="545"/>
      <c r="AP308" s="546"/>
      <c r="AQ308" s="546"/>
      <c r="AR308" s="547"/>
      <c r="AS308" s="545"/>
      <c r="AT308" s="546"/>
      <c r="AU308" s="546"/>
      <c r="AV308" s="547"/>
      <c r="AW308" s="545"/>
      <c r="AX308" s="546"/>
      <c r="AY308" s="546"/>
      <c r="AZ308" s="547"/>
      <c r="BG308" s="93"/>
      <c r="BH308" s="93"/>
      <c r="BI308" s="93"/>
      <c r="BJ308" s="176">
        <v>249</v>
      </c>
      <c r="BK308" s="164">
        <v>0</v>
      </c>
      <c r="BL308" s="165">
        <v>285.67</v>
      </c>
      <c r="BM308" s="165">
        <v>423.55</v>
      </c>
      <c r="BN308" s="165">
        <v>591.51</v>
      </c>
      <c r="BO308" s="165">
        <v>594.22</v>
      </c>
      <c r="BP308" s="165">
        <v>633.41</v>
      </c>
      <c r="BQ308" s="165">
        <v>527.46</v>
      </c>
      <c r="BR308" s="165">
        <v>641.54999999999995</v>
      </c>
      <c r="BS308" s="165">
        <v>983.18</v>
      </c>
      <c r="BT308" s="165">
        <v>1399.68</v>
      </c>
      <c r="BU308" s="165">
        <v>1474.98</v>
      </c>
      <c r="BV308" s="165">
        <v>633.41</v>
      </c>
      <c r="BW308" s="165">
        <v>527.46</v>
      </c>
      <c r="BX308" s="165">
        <v>641.54999999999995</v>
      </c>
      <c r="BY308" s="165">
        <v>983.18</v>
      </c>
      <c r="BZ308" s="165">
        <v>1399.68</v>
      </c>
      <c r="CA308" s="165">
        <v>1474.98</v>
      </c>
      <c r="CB308" s="176"/>
      <c r="CC308" s="126"/>
      <c r="CD308" s="126"/>
      <c r="CE308" s="143"/>
    </row>
    <row r="309" spans="1:83">
      <c r="A309" s="107"/>
      <c r="B309" s="107"/>
      <c r="C309" s="107"/>
      <c r="D309" s="107"/>
      <c r="E309" s="548"/>
      <c r="F309" s="549"/>
      <c r="G309" s="549"/>
      <c r="H309" s="550"/>
      <c r="I309" s="540"/>
      <c r="J309" s="541"/>
      <c r="K309" s="541"/>
      <c r="L309" s="542"/>
      <c r="M309" s="540"/>
      <c r="N309" s="541"/>
      <c r="O309" s="541"/>
      <c r="P309" s="542"/>
      <c r="Q309" s="540"/>
      <c r="R309" s="541"/>
      <c r="S309" s="541"/>
      <c r="T309" s="542"/>
      <c r="U309" s="540"/>
      <c r="V309" s="541"/>
      <c r="W309" s="541"/>
      <c r="X309" s="542"/>
      <c r="Y309" s="540"/>
      <c r="Z309" s="541"/>
      <c r="AA309" s="541"/>
      <c r="AB309" s="542"/>
      <c r="AC309" s="540"/>
      <c r="AD309" s="541"/>
      <c r="AE309" s="541"/>
      <c r="AF309" s="542"/>
      <c r="AG309" s="540"/>
      <c r="AH309" s="541"/>
      <c r="AI309" s="541"/>
      <c r="AJ309" s="542"/>
      <c r="AK309" s="540"/>
      <c r="AL309" s="541"/>
      <c r="AM309" s="541"/>
      <c r="AN309" s="542"/>
      <c r="AO309" s="540"/>
      <c r="AP309" s="541"/>
      <c r="AQ309" s="541"/>
      <c r="AR309" s="542"/>
      <c r="AS309" s="540"/>
      <c r="AT309" s="541"/>
      <c r="AU309" s="541"/>
      <c r="AV309" s="542"/>
      <c r="AW309" s="540"/>
      <c r="AX309" s="541"/>
      <c r="AY309" s="541"/>
      <c r="AZ309" s="542"/>
      <c r="BG309" s="93"/>
      <c r="BH309" s="93"/>
      <c r="BI309" s="93"/>
      <c r="BJ309" s="176">
        <v>250</v>
      </c>
      <c r="BK309" s="164">
        <v>0</v>
      </c>
      <c r="BL309" s="165">
        <v>286.83999999999997</v>
      </c>
      <c r="BM309" s="165">
        <v>425.31</v>
      </c>
      <c r="BN309" s="165">
        <v>593.95000000000005</v>
      </c>
      <c r="BO309" s="165">
        <v>596.66</v>
      </c>
      <c r="BP309" s="165">
        <v>636.03</v>
      </c>
      <c r="BQ309" s="165">
        <v>529.64</v>
      </c>
      <c r="BR309" s="165">
        <v>644.21</v>
      </c>
      <c r="BS309" s="165">
        <v>987.32</v>
      </c>
      <c r="BT309" s="165">
        <v>1405.58</v>
      </c>
      <c r="BU309" s="165">
        <v>1481.19</v>
      </c>
      <c r="BV309" s="165">
        <v>636.03</v>
      </c>
      <c r="BW309" s="165">
        <v>529.64</v>
      </c>
      <c r="BX309" s="165">
        <v>644.21</v>
      </c>
      <c r="BY309" s="165">
        <v>987.32</v>
      </c>
      <c r="BZ309" s="165">
        <v>1405.58</v>
      </c>
      <c r="CA309" s="165">
        <v>1481.19</v>
      </c>
      <c r="CB309" s="176"/>
      <c r="CC309" s="126"/>
      <c r="CD309" s="126"/>
      <c r="CE309" s="143"/>
    </row>
    <row r="310" spans="1:83">
      <c r="A310" s="107"/>
      <c r="B310" s="107"/>
      <c r="C310" s="107"/>
      <c r="D310" s="107"/>
      <c r="E310" s="551"/>
      <c r="F310" s="552"/>
      <c r="G310" s="552"/>
      <c r="H310" s="553"/>
      <c r="I310" s="545"/>
      <c r="J310" s="546"/>
      <c r="K310" s="546"/>
      <c r="L310" s="547"/>
      <c r="M310" s="545"/>
      <c r="N310" s="546"/>
      <c r="O310" s="546"/>
      <c r="P310" s="547"/>
      <c r="Q310" s="545"/>
      <c r="R310" s="546"/>
      <c r="S310" s="546"/>
      <c r="T310" s="547"/>
      <c r="U310" s="545"/>
      <c r="V310" s="546"/>
      <c r="W310" s="546"/>
      <c r="X310" s="547"/>
      <c r="Y310" s="545"/>
      <c r="Z310" s="546"/>
      <c r="AA310" s="546"/>
      <c r="AB310" s="547"/>
      <c r="AC310" s="545"/>
      <c r="AD310" s="546"/>
      <c r="AE310" s="546"/>
      <c r="AF310" s="547"/>
      <c r="AG310" s="545"/>
      <c r="AH310" s="546"/>
      <c r="AI310" s="546"/>
      <c r="AJ310" s="547"/>
      <c r="AK310" s="545"/>
      <c r="AL310" s="546"/>
      <c r="AM310" s="546"/>
      <c r="AN310" s="547"/>
      <c r="AO310" s="545"/>
      <c r="AP310" s="546"/>
      <c r="AQ310" s="546"/>
      <c r="AR310" s="547"/>
      <c r="AS310" s="545"/>
      <c r="AT310" s="546"/>
      <c r="AU310" s="546"/>
      <c r="AV310" s="547"/>
      <c r="AW310" s="545"/>
      <c r="AX310" s="546"/>
      <c r="AY310" s="546"/>
      <c r="AZ310" s="547"/>
      <c r="BG310" s="93"/>
      <c r="BH310" s="93"/>
      <c r="BI310" s="93"/>
      <c r="BJ310" s="176">
        <v>251</v>
      </c>
      <c r="BK310" s="164">
        <v>0</v>
      </c>
      <c r="BL310" s="165">
        <v>288</v>
      </c>
      <c r="BM310" s="165">
        <v>427.07</v>
      </c>
      <c r="BN310" s="165">
        <v>596.4</v>
      </c>
      <c r="BO310" s="165">
        <v>599.1</v>
      </c>
      <c r="BP310" s="165">
        <v>638.65</v>
      </c>
      <c r="BQ310" s="165">
        <v>531.80999999999995</v>
      </c>
      <c r="BR310" s="165">
        <v>646.86</v>
      </c>
      <c r="BS310" s="165">
        <v>991.45</v>
      </c>
      <c r="BT310" s="165">
        <v>1411.49</v>
      </c>
      <c r="BU310" s="165">
        <v>1487.39</v>
      </c>
      <c r="BV310" s="165">
        <v>638.65</v>
      </c>
      <c r="BW310" s="165">
        <v>531.80999999999995</v>
      </c>
      <c r="BX310" s="165">
        <v>646.86</v>
      </c>
      <c r="BY310" s="165">
        <v>991.45</v>
      </c>
      <c r="BZ310" s="165">
        <v>1411.49</v>
      </c>
      <c r="CA310" s="165">
        <v>1487.39</v>
      </c>
      <c r="CB310" s="176"/>
      <c r="CC310" s="126"/>
      <c r="CD310" s="126"/>
      <c r="CE310" s="143"/>
    </row>
    <row r="311" spans="1:83">
      <c r="A311" s="107"/>
      <c r="B311" s="107"/>
      <c r="C311" s="107"/>
      <c r="D311" s="107"/>
      <c r="E311" s="548"/>
      <c r="F311" s="549"/>
      <c r="G311" s="549"/>
      <c r="H311" s="550"/>
      <c r="I311" s="540"/>
      <c r="J311" s="541"/>
      <c r="K311" s="541"/>
      <c r="L311" s="542"/>
      <c r="M311" s="540"/>
      <c r="N311" s="541"/>
      <c r="O311" s="541"/>
      <c r="P311" s="542"/>
      <c r="Q311" s="540"/>
      <c r="R311" s="541"/>
      <c r="S311" s="541"/>
      <c r="T311" s="542"/>
      <c r="U311" s="540"/>
      <c r="V311" s="541"/>
      <c r="W311" s="541"/>
      <c r="X311" s="542"/>
      <c r="Y311" s="540"/>
      <c r="Z311" s="541"/>
      <c r="AA311" s="541"/>
      <c r="AB311" s="542"/>
      <c r="AC311" s="540"/>
      <c r="AD311" s="541"/>
      <c r="AE311" s="541"/>
      <c r="AF311" s="542"/>
      <c r="AG311" s="540"/>
      <c r="AH311" s="541"/>
      <c r="AI311" s="541"/>
      <c r="AJ311" s="542"/>
      <c r="AK311" s="540"/>
      <c r="AL311" s="541"/>
      <c r="AM311" s="541"/>
      <c r="AN311" s="542"/>
      <c r="AO311" s="540"/>
      <c r="AP311" s="541"/>
      <c r="AQ311" s="541"/>
      <c r="AR311" s="542"/>
      <c r="AS311" s="540"/>
      <c r="AT311" s="541"/>
      <c r="AU311" s="541"/>
      <c r="AV311" s="542"/>
      <c r="AW311" s="540"/>
      <c r="AX311" s="541"/>
      <c r="AY311" s="541"/>
      <c r="AZ311" s="542"/>
      <c r="BG311" s="93"/>
      <c r="BH311" s="93"/>
      <c r="BI311" s="93"/>
      <c r="BJ311" s="176">
        <v>252</v>
      </c>
      <c r="BK311" s="164">
        <v>0</v>
      </c>
      <c r="BL311" s="165">
        <v>289.17</v>
      </c>
      <c r="BM311" s="165">
        <v>428.83</v>
      </c>
      <c r="BN311" s="165">
        <v>598.84</v>
      </c>
      <c r="BO311" s="165">
        <v>601.54999999999995</v>
      </c>
      <c r="BP311" s="165">
        <v>641.28</v>
      </c>
      <c r="BQ311" s="165">
        <v>533.99</v>
      </c>
      <c r="BR311" s="165">
        <v>649.52</v>
      </c>
      <c r="BS311" s="165">
        <v>995.59</v>
      </c>
      <c r="BT311" s="165">
        <v>1417.4</v>
      </c>
      <c r="BU311" s="165">
        <v>1493.6</v>
      </c>
      <c r="BV311" s="165">
        <v>641.28</v>
      </c>
      <c r="BW311" s="165">
        <v>533.99</v>
      </c>
      <c r="BX311" s="165">
        <v>649.52</v>
      </c>
      <c r="BY311" s="165">
        <v>995.59</v>
      </c>
      <c r="BZ311" s="165">
        <v>1417.4</v>
      </c>
      <c r="CA311" s="165">
        <v>1493.6</v>
      </c>
      <c r="CB311" s="176"/>
      <c r="CC311" s="126"/>
      <c r="CD311" s="126"/>
      <c r="CE311" s="143"/>
    </row>
    <row r="312" spans="1:83">
      <c r="A312" s="107"/>
      <c r="B312" s="107"/>
      <c r="C312" s="107"/>
      <c r="D312" s="107"/>
      <c r="E312" s="551"/>
      <c r="F312" s="552"/>
      <c r="G312" s="552"/>
      <c r="H312" s="553"/>
      <c r="I312" s="545"/>
      <c r="J312" s="546"/>
      <c r="K312" s="546"/>
      <c r="L312" s="547"/>
      <c r="M312" s="545"/>
      <c r="N312" s="546"/>
      <c r="O312" s="546"/>
      <c r="P312" s="547"/>
      <c r="Q312" s="545"/>
      <c r="R312" s="546"/>
      <c r="S312" s="546"/>
      <c r="T312" s="547"/>
      <c r="U312" s="545"/>
      <c r="V312" s="546"/>
      <c r="W312" s="546"/>
      <c r="X312" s="547"/>
      <c r="Y312" s="545"/>
      <c r="Z312" s="546"/>
      <c r="AA312" s="546"/>
      <c r="AB312" s="547"/>
      <c r="AC312" s="545"/>
      <c r="AD312" s="546"/>
      <c r="AE312" s="546"/>
      <c r="AF312" s="547"/>
      <c r="AG312" s="545"/>
      <c r="AH312" s="546"/>
      <c r="AI312" s="546"/>
      <c r="AJ312" s="547"/>
      <c r="AK312" s="545"/>
      <c r="AL312" s="546"/>
      <c r="AM312" s="546"/>
      <c r="AN312" s="547"/>
      <c r="AO312" s="545"/>
      <c r="AP312" s="546"/>
      <c r="AQ312" s="546"/>
      <c r="AR312" s="547"/>
      <c r="AS312" s="545"/>
      <c r="AT312" s="546"/>
      <c r="AU312" s="546"/>
      <c r="AV312" s="547"/>
      <c r="AW312" s="545"/>
      <c r="AX312" s="546"/>
      <c r="AY312" s="546"/>
      <c r="AZ312" s="547"/>
      <c r="BG312" s="93"/>
      <c r="BH312" s="93"/>
      <c r="BI312" s="93"/>
      <c r="BJ312" s="176">
        <v>253</v>
      </c>
      <c r="BK312" s="164">
        <v>0</v>
      </c>
      <c r="BL312" s="165">
        <v>290.33999999999997</v>
      </c>
      <c r="BM312" s="165">
        <v>430.59</v>
      </c>
      <c r="BN312" s="165">
        <v>601.28</v>
      </c>
      <c r="BO312" s="165">
        <v>603.99</v>
      </c>
      <c r="BP312" s="165">
        <v>643.9</v>
      </c>
      <c r="BQ312" s="165">
        <v>536.16999999999996</v>
      </c>
      <c r="BR312" s="165">
        <v>652.17999999999995</v>
      </c>
      <c r="BS312" s="165">
        <v>999.72</v>
      </c>
      <c r="BT312" s="165">
        <v>1423.31</v>
      </c>
      <c r="BU312" s="165">
        <v>1499.81</v>
      </c>
      <c r="BV312" s="165">
        <v>643.9</v>
      </c>
      <c r="BW312" s="165">
        <v>536.16999999999996</v>
      </c>
      <c r="BX312" s="165">
        <v>652.17999999999995</v>
      </c>
      <c r="BY312" s="165">
        <v>999.72</v>
      </c>
      <c r="BZ312" s="165">
        <v>1423.31</v>
      </c>
      <c r="CA312" s="165">
        <v>1499.81</v>
      </c>
      <c r="CB312" s="176"/>
      <c r="CC312" s="126"/>
      <c r="CD312" s="126"/>
      <c r="CE312" s="143"/>
    </row>
    <row r="313" spans="1:83">
      <c r="A313" s="107"/>
      <c r="B313" s="107"/>
      <c r="C313" s="107"/>
      <c r="D313" s="107"/>
      <c r="E313" s="548"/>
      <c r="F313" s="549"/>
      <c r="G313" s="549"/>
      <c r="H313" s="550"/>
      <c r="I313" s="540"/>
      <c r="J313" s="541"/>
      <c r="K313" s="541"/>
      <c r="L313" s="542"/>
      <c r="M313" s="540"/>
      <c r="N313" s="541"/>
      <c r="O313" s="541"/>
      <c r="P313" s="542"/>
      <c r="Q313" s="540"/>
      <c r="R313" s="541"/>
      <c r="S313" s="541"/>
      <c r="T313" s="542"/>
      <c r="U313" s="540"/>
      <c r="V313" s="541"/>
      <c r="W313" s="541"/>
      <c r="X313" s="542"/>
      <c r="Y313" s="540"/>
      <c r="Z313" s="541"/>
      <c r="AA313" s="541"/>
      <c r="AB313" s="542"/>
      <c r="AC313" s="540"/>
      <c r="AD313" s="541"/>
      <c r="AE313" s="541"/>
      <c r="AF313" s="542"/>
      <c r="AG313" s="540"/>
      <c r="AH313" s="541"/>
      <c r="AI313" s="541"/>
      <c r="AJ313" s="542"/>
      <c r="AK313" s="540"/>
      <c r="AL313" s="541"/>
      <c r="AM313" s="541"/>
      <c r="AN313" s="542"/>
      <c r="AO313" s="540"/>
      <c r="AP313" s="541"/>
      <c r="AQ313" s="541"/>
      <c r="AR313" s="542"/>
      <c r="AS313" s="540"/>
      <c r="AT313" s="541"/>
      <c r="AU313" s="541"/>
      <c r="AV313" s="542"/>
      <c r="AW313" s="540"/>
      <c r="AX313" s="541"/>
      <c r="AY313" s="541"/>
      <c r="AZ313" s="542"/>
      <c r="BG313" s="93"/>
      <c r="BH313" s="93"/>
      <c r="BI313" s="93"/>
      <c r="BJ313" s="176">
        <v>254</v>
      </c>
      <c r="BK313" s="164">
        <v>0</v>
      </c>
      <c r="BL313" s="165">
        <v>291.5</v>
      </c>
      <c r="BM313" s="165">
        <v>432.35</v>
      </c>
      <c r="BN313" s="165">
        <v>603.72</v>
      </c>
      <c r="BO313" s="165">
        <v>606.42999999999995</v>
      </c>
      <c r="BP313" s="165">
        <v>646.52</v>
      </c>
      <c r="BQ313" s="165">
        <v>538.34</v>
      </c>
      <c r="BR313" s="165">
        <v>654.84</v>
      </c>
      <c r="BS313" s="165">
        <v>1003.86</v>
      </c>
      <c r="BT313" s="165">
        <v>1429.22</v>
      </c>
      <c r="BU313" s="165">
        <v>1506.01</v>
      </c>
      <c r="BV313" s="165">
        <v>646.52</v>
      </c>
      <c r="BW313" s="165">
        <v>538.34</v>
      </c>
      <c r="BX313" s="165">
        <v>654.84</v>
      </c>
      <c r="BY313" s="165">
        <v>1003.86</v>
      </c>
      <c r="BZ313" s="165">
        <v>1429.22</v>
      </c>
      <c r="CA313" s="165">
        <v>1506.01</v>
      </c>
      <c r="CB313" s="176"/>
      <c r="CC313" s="126"/>
      <c r="CD313" s="126"/>
      <c r="CE313" s="143"/>
    </row>
    <row r="314" spans="1:83">
      <c r="A314" s="107"/>
      <c r="B314" s="107"/>
      <c r="C314" s="107"/>
      <c r="D314" s="107"/>
      <c r="E314" s="551"/>
      <c r="F314" s="552"/>
      <c r="G314" s="552"/>
      <c r="H314" s="553"/>
      <c r="I314" s="545"/>
      <c r="J314" s="546"/>
      <c r="K314" s="546"/>
      <c r="L314" s="547"/>
      <c r="M314" s="545"/>
      <c r="N314" s="546"/>
      <c r="O314" s="546"/>
      <c r="P314" s="547"/>
      <c r="Q314" s="545"/>
      <c r="R314" s="546"/>
      <c r="S314" s="546"/>
      <c r="T314" s="547"/>
      <c r="U314" s="545"/>
      <c r="V314" s="546"/>
      <c r="W314" s="546"/>
      <c r="X314" s="547"/>
      <c r="Y314" s="545"/>
      <c r="Z314" s="546"/>
      <c r="AA314" s="546"/>
      <c r="AB314" s="547"/>
      <c r="AC314" s="545"/>
      <c r="AD314" s="546"/>
      <c r="AE314" s="546"/>
      <c r="AF314" s="547"/>
      <c r="AG314" s="545"/>
      <c r="AH314" s="546"/>
      <c r="AI314" s="546"/>
      <c r="AJ314" s="547"/>
      <c r="AK314" s="545"/>
      <c r="AL314" s="546"/>
      <c r="AM314" s="546"/>
      <c r="AN314" s="547"/>
      <c r="AO314" s="545"/>
      <c r="AP314" s="546"/>
      <c r="AQ314" s="546"/>
      <c r="AR314" s="547"/>
      <c r="AS314" s="545"/>
      <c r="AT314" s="546"/>
      <c r="AU314" s="546"/>
      <c r="AV314" s="547"/>
      <c r="AW314" s="545"/>
      <c r="AX314" s="546"/>
      <c r="AY314" s="546"/>
      <c r="AZ314" s="547"/>
      <c r="BG314" s="93"/>
      <c r="BH314" s="93"/>
      <c r="BI314" s="93"/>
      <c r="BJ314" s="176">
        <v>255</v>
      </c>
      <c r="BK314" s="164">
        <v>0</v>
      </c>
      <c r="BL314" s="165">
        <v>292.67</v>
      </c>
      <c r="BM314" s="165">
        <v>434.1</v>
      </c>
      <c r="BN314" s="165">
        <v>606.16999999999996</v>
      </c>
      <c r="BO314" s="165">
        <v>608.88</v>
      </c>
      <c r="BP314" s="165">
        <v>649.15</v>
      </c>
      <c r="BQ314" s="165">
        <v>540.52</v>
      </c>
      <c r="BR314" s="165">
        <v>657.5</v>
      </c>
      <c r="BS314" s="165">
        <v>1007.99</v>
      </c>
      <c r="BT314" s="165">
        <v>1435.13</v>
      </c>
      <c r="BU314" s="165">
        <v>1512.22</v>
      </c>
      <c r="BV314" s="165">
        <v>649.15</v>
      </c>
      <c r="BW314" s="165">
        <v>540.52</v>
      </c>
      <c r="BX314" s="165">
        <v>657.5</v>
      </c>
      <c r="BY314" s="165">
        <v>1007.99</v>
      </c>
      <c r="BZ314" s="165">
        <v>1435.13</v>
      </c>
      <c r="CA314" s="165">
        <v>1512.22</v>
      </c>
      <c r="CB314" s="176"/>
      <c r="CC314" s="126"/>
      <c r="CD314" s="126"/>
      <c r="CE314" s="143"/>
    </row>
    <row r="315" spans="1:83">
      <c r="A315" s="107"/>
      <c r="B315" s="107"/>
      <c r="C315" s="107"/>
      <c r="D315" s="107"/>
      <c r="E315" s="548"/>
      <c r="F315" s="549"/>
      <c r="G315" s="549"/>
      <c r="H315" s="550"/>
      <c r="I315" s="540"/>
      <c r="J315" s="541"/>
      <c r="K315" s="541"/>
      <c r="L315" s="542"/>
      <c r="M315" s="540"/>
      <c r="N315" s="541"/>
      <c r="O315" s="541"/>
      <c r="P315" s="542"/>
      <c r="Q315" s="540"/>
      <c r="R315" s="541"/>
      <c r="S315" s="541"/>
      <c r="T315" s="542"/>
      <c r="U315" s="540"/>
      <c r="V315" s="541"/>
      <c r="W315" s="541"/>
      <c r="X315" s="542"/>
      <c r="Y315" s="540"/>
      <c r="Z315" s="541"/>
      <c r="AA315" s="541"/>
      <c r="AB315" s="542"/>
      <c r="AC315" s="540"/>
      <c r="AD315" s="541"/>
      <c r="AE315" s="541"/>
      <c r="AF315" s="542"/>
      <c r="AG315" s="540"/>
      <c r="AH315" s="541"/>
      <c r="AI315" s="541"/>
      <c r="AJ315" s="542"/>
      <c r="AK315" s="540"/>
      <c r="AL315" s="541"/>
      <c r="AM315" s="541"/>
      <c r="AN315" s="542"/>
      <c r="AO315" s="540"/>
      <c r="AP315" s="541"/>
      <c r="AQ315" s="541"/>
      <c r="AR315" s="542"/>
      <c r="AS315" s="540"/>
      <c r="AT315" s="541"/>
      <c r="AU315" s="541"/>
      <c r="AV315" s="542"/>
      <c r="AW315" s="540"/>
      <c r="AX315" s="541"/>
      <c r="AY315" s="541"/>
      <c r="AZ315" s="542"/>
      <c r="BG315" s="93"/>
      <c r="BH315" s="93"/>
      <c r="BI315" s="93"/>
      <c r="BJ315" s="176">
        <v>256</v>
      </c>
      <c r="BK315" s="164">
        <v>0</v>
      </c>
      <c r="BL315" s="165">
        <v>293.83</v>
      </c>
      <c r="BM315" s="165">
        <v>435.86</v>
      </c>
      <c r="BN315" s="165">
        <v>608.61</v>
      </c>
      <c r="BO315" s="165">
        <v>611.32000000000005</v>
      </c>
      <c r="BP315" s="165">
        <v>651.77</v>
      </c>
      <c r="BQ315" s="165">
        <v>542.70000000000005</v>
      </c>
      <c r="BR315" s="165">
        <v>660.16</v>
      </c>
      <c r="BS315" s="165">
        <v>1012.13</v>
      </c>
      <c r="BT315" s="165">
        <v>1441.04</v>
      </c>
      <c r="BU315" s="165">
        <v>1518.42</v>
      </c>
      <c r="BV315" s="165">
        <v>651.77</v>
      </c>
      <c r="BW315" s="165">
        <v>542.70000000000005</v>
      </c>
      <c r="BX315" s="165">
        <v>660.16</v>
      </c>
      <c r="BY315" s="165">
        <v>1012.13</v>
      </c>
      <c r="BZ315" s="165">
        <v>1441.04</v>
      </c>
      <c r="CA315" s="165">
        <v>1518.42</v>
      </c>
      <c r="CB315" s="176"/>
      <c r="CC315" s="126"/>
      <c r="CD315" s="126"/>
      <c r="CE315" s="143"/>
    </row>
    <row r="316" spans="1:83">
      <c r="A316" s="107"/>
      <c r="B316" s="107"/>
      <c r="C316" s="107"/>
      <c r="D316" s="107"/>
      <c r="E316" s="551"/>
      <c r="F316" s="552"/>
      <c r="G316" s="552"/>
      <c r="H316" s="553"/>
      <c r="I316" s="545"/>
      <c r="J316" s="546"/>
      <c r="K316" s="546"/>
      <c r="L316" s="547"/>
      <c r="M316" s="545"/>
      <c r="N316" s="546"/>
      <c r="O316" s="546"/>
      <c r="P316" s="547"/>
      <c r="Q316" s="545"/>
      <c r="R316" s="546"/>
      <c r="S316" s="546"/>
      <c r="T316" s="547"/>
      <c r="U316" s="545"/>
      <c r="V316" s="546"/>
      <c r="W316" s="546"/>
      <c r="X316" s="547"/>
      <c r="Y316" s="545"/>
      <c r="Z316" s="546"/>
      <c r="AA316" s="546"/>
      <c r="AB316" s="547"/>
      <c r="AC316" s="545"/>
      <c r="AD316" s="546"/>
      <c r="AE316" s="546"/>
      <c r="AF316" s="547"/>
      <c r="AG316" s="545"/>
      <c r="AH316" s="546"/>
      <c r="AI316" s="546"/>
      <c r="AJ316" s="547"/>
      <c r="AK316" s="545"/>
      <c r="AL316" s="546"/>
      <c r="AM316" s="546"/>
      <c r="AN316" s="547"/>
      <c r="AO316" s="545"/>
      <c r="AP316" s="546"/>
      <c r="AQ316" s="546"/>
      <c r="AR316" s="547"/>
      <c r="AS316" s="545"/>
      <c r="AT316" s="546"/>
      <c r="AU316" s="546"/>
      <c r="AV316" s="547"/>
      <c r="AW316" s="545"/>
      <c r="AX316" s="546"/>
      <c r="AY316" s="546"/>
      <c r="AZ316" s="547"/>
      <c r="BG316" s="93"/>
      <c r="BH316" s="93"/>
      <c r="BI316" s="93"/>
      <c r="BJ316" s="176">
        <v>257</v>
      </c>
      <c r="BK316" s="164">
        <v>0</v>
      </c>
      <c r="BL316" s="165">
        <v>295</v>
      </c>
      <c r="BM316" s="165">
        <v>437.62</v>
      </c>
      <c r="BN316" s="165">
        <v>611.04999999999995</v>
      </c>
      <c r="BO316" s="165">
        <v>613.76</v>
      </c>
      <c r="BP316" s="165">
        <v>654.39</v>
      </c>
      <c r="BQ316" s="165">
        <v>544.87</v>
      </c>
      <c r="BR316" s="165">
        <v>662.82</v>
      </c>
      <c r="BS316" s="165">
        <v>1016.26</v>
      </c>
      <c r="BT316" s="165">
        <v>1446.95</v>
      </c>
      <c r="BU316" s="165">
        <v>1524.63</v>
      </c>
      <c r="BV316" s="165">
        <v>654.39</v>
      </c>
      <c r="BW316" s="165">
        <v>544.87</v>
      </c>
      <c r="BX316" s="165">
        <v>662.82</v>
      </c>
      <c r="BY316" s="165">
        <v>1016.26</v>
      </c>
      <c r="BZ316" s="165">
        <v>1446.95</v>
      </c>
      <c r="CA316" s="165">
        <v>1524.63</v>
      </c>
      <c r="CB316" s="176"/>
      <c r="CC316" s="126"/>
      <c r="CD316" s="126"/>
      <c r="CE316" s="143"/>
    </row>
    <row r="317" spans="1:83">
      <c r="A317" s="107"/>
      <c r="B317" s="107"/>
      <c r="C317" s="107"/>
      <c r="D317" s="107"/>
      <c r="E317" s="548"/>
      <c r="F317" s="549"/>
      <c r="G317" s="549"/>
      <c r="H317" s="550"/>
      <c r="I317" s="540"/>
      <c r="J317" s="541"/>
      <c r="K317" s="541"/>
      <c r="L317" s="542"/>
      <c r="M317" s="540"/>
      <c r="N317" s="541"/>
      <c r="O317" s="541"/>
      <c r="P317" s="542"/>
      <c r="Q317" s="540"/>
      <c r="R317" s="541"/>
      <c r="S317" s="541"/>
      <c r="T317" s="542"/>
      <c r="U317" s="540"/>
      <c r="V317" s="541"/>
      <c r="W317" s="541"/>
      <c r="X317" s="542"/>
      <c r="Y317" s="540"/>
      <c r="Z317" s="541"/>
      <c r="AA317" s="541"/>
      <c r="AB317" s="542"/>
      <c r="AC317" s="540"/>
      <c r="AD317" s="541"/>
      <c r="AE317" s="541"/>
      <c r="AF317" s="542"/>
      <c r="AG317" s="540"/>
      <c r="AH317" s="541"/>
      <c r="AI317" s="541"/>
      <c r="AJ317" s="542"/>
      <c r="AK317" s="540"/>
      <c r="AL317" s="541"/>
      <c r="AM317" s="541"/>
      <c r="AN317" s="542"/>
      <c r="AO317" s="540"/>
      <c r="AP317" s="541"/>
      <c r="AQ317" s="541"/>
      <c r="AR317" s="542"/>
      <c r="AS317" s="540"/>
      <c r="AT317" s="541"/>
      <c r="AU317" s="541"/>
      <c r="AV317" s="542"/>
      <c r="AW317" s="540"/>
      <c r="AX317" s="541"/>
      <c r="AY317" s="541"/>
      <c r="AZ317" s="542"/>
      <c r="BG317" s="93"/>
      <c r="BH317" s="93"/>
      <c r="BI317" s="93"/>
      <c r="BJ317" s="176">
        <v>258</v>
      </c>
      <c r="BK317" s="164">
        <v>0</v>
      </c>
      <c r="BL317" s="165">
        <v>296.17</v>
      </c>
      <c r="BM317" s="165">
        <v>439.38</v>
      </c>
      <c r="BN317" s="165">
        <v>613.5</v>
      </c>
      <c r="BO317" s="165">
        <v>616.20000000000005</v>
      </c>
      <c r="BP317" s="165">
        <v>657.02</v>
      </c>
      <c r="BQ317" s="165">
        <v>547.04999999999995</v>
      </c>
      <c r="BR317" s="165">
        <v>665.48</v>
      </c>
      <c r="BS317" s="165">
        <v>1020.4</v>
      </c>
      <c r="BT317" s="165">
        <v>1452.85</v>
      </c>
      <c r="BU317" s="165">
        <v>1530.84</v>
      </c>
      <c r="BV317" s="165">
        <v>657.02</v>
      </c>
      <c r="BW317" s="165">
        <v>547.04999999999995</v>
      </c>
      <c r="BX317" s="165">
        <v>665.48</v>
      </c>
      <c r="BY317" s="165">
        <v>1020.4</v>
      </c>
      <c r="BZ317" s="165">
        <v>1452.85</v>
      </c>
      <c r="CA317" s="165">
        <v>1530.84</v>
      </c>
      <c r="CB317" s="176"/>
      <c r="CC317" s="126"/>
      <c r="CD317" s="126"/>
      <c r="CE317" s="143"/>
    </row>
    <row r="318" spans="1:83">
      <c r="A318" s="107"/>
      <c r="B318" s="107"/>
      <c r="C318" s="107"/>
      <c r="D318" s="107"/>
      <c r="E318" s="551"/>
      <c r="F318" s="552"/>
      <c r="G318" s="552"/>
      <c r="H318" s="553"/>
      <c r="I318" s="545"/>
      <c r="J318" s="546"/>
      <c r="K318" s="546"/>
      <c r="L318" s="547"/>
      <c r="M318" s="545"/>
      <c r="N318" s="546"/>
      <c r="O318" s="546"/>
      <c r="P318" s="547"/>
      <c r="Q318" s="545"/>
      <c r="R318" s="546"/>
      <c r="S318" s="546"/>
      <c r="T318" s="547"/>
      <c r="U318" s="545"/>
      <c r="V318" s="546"/>
      <c r="W318" s="546"/>
      <c r="X318" s="547"/>
      <c r="Y318" s="545"/>
      <c r="Z318" s="546"/>
      <c r="AA318" s="546"/>
      <c r="AB318" s="547"/>
      <c r="AC318" s="545"/>
      <c r="AD318" s="546"/>
      <c r="AE318" s="546"/>
      <c r="AF318" s="547"/>
      <c r="AG318" s="545"/>
      <c r="AH318" s="546"/>
      <c r="AI318" s="546"/>
      <c r="AJ318" s="547"/>
      <c r="AK318" s="545"/>
      <c r="AL318" s="546"/>
      <c r="AM318" s="546"/>
      <c r="AN318" s="547"/>
      <c r="AO318" s="545"/>
      <c r="AP318" s="546"/>
      <c r="AQ318" s="546"/>
      <c r="AR318" s="547"/>
      <c r="AS318" s="545"/>
      <c r="AT318" s="546"/>
      <c r="AU318" s="546"/>
      <c r="AV318" s="547"/>
      <c r="AW318" s="545"/>
      <c r="AX318" s="546"/>
      <c r="AY318" s="546"/>
      <c r="AZ318" s="547"/>
      <c r="BG318" s="93"/>
      <c r="BH318" s="93"/>
      <c r="BI318" s="93"/>
      <c r="BJ318" s="176">
        <v>259</v>
      </c>
      <c r="BK318" s="164">
        <v>0</v>
      </c>
      <c r="BL318" s="165">
        <v>297.33</v>
      </c>
      <c r="BM318" s="165">
        <v>441.14</v>
      </c>
      <c r="BN318" s="165">
        <v>615.94000000000005</v>
      </c>
      <c r="BO318" s="165">
        <v>618.65</v>
      </c>
      <c r="BP318" s="165">
        <v>659.64</v>
      </c>
      <c r="BQ318" s="165">
        <v>549.23</v>
      </c>
      <c r="BR318" s="165">
        <v>668.14</v>
      </c>
      <c r="BS318" s="165">
        <v>1024.53</v>
      </c>
      <c r="BT318" s="165">
        <v>1458.76</v>
      </c>
      <c r="BU318" s="165">
        <v>1537.04</v>
      </c>
      <c r="BV318" s="165">
        <v>659.64</v>
      </c>
      <c r="BW318" s="165">
        <v>549.23</v>
      </c>
      <c r="BX318" s="165">
        <v>668.14</v>
      </c>
      <c r="BY318" s="165">
        <v>1024.53</v>
      </c>
      <c r="BZ318" s="165">
        <v>1458.76</v>
      </c>
      <c r="CA318" s="165">
        <v>1537.04</v>
      </c>
      <c r="CB318" s="176"/>
      <c r="CC318" s="126"/>
      <c r="CD318" s="126"/>
      <c r="CE318" s="143"/>
    </row>
    <row r="319" spans="1:83">
      <c r="A319" s="107"/>
      <c r="B319" s="107"/>
      <c r="C319" s="107"/>
      <c r="D319" s="107"/>
      <c r="E319" s="548"/>
      <c r="F319" s="549"/>
      <c r="G319" s="549"/>
      <c r="H319" s="550"/>
      <c r="I319" s="540"/>
      <c r="J319" s="541"/>
      <c r="K319" s="541"/>
      <c r="L319" s="542"/>
      <c r="M319" s="540"/>
      <c r="N319" s="541"/>
      <c r="O319" s="541"/>
      <c r="P319" s="542"/>
      <c r="Q319" s="540"/>
      <c r="R319" s="541"/>
      <c r="S319" s="541"/>
      <c r="T319" s="542"/>
      <c r="U319" s="540"/>
      <c r="V319" s="541"/>
      <c r="W319" s="541"/>
      <c r="X319" s="542"/>
      <c r="Y319" s="540"/>
      <c r="Z319" s="541"/>
      <c r="AA319" s="541"/>
      <c r="AB319" s="542"/>
      <c r="AC319" s="540"/>
      <c r="AD319" s="541"/>
      <c r="AE319" s="541"/>
      <c r="AF319" s="542"/>
      <c r="AG319" s="540"/>
      <c r="AH319" s="541"/>
      <c r="AI319" s="541"/>
      <c r="AJ319" s="542"/>
      <c r="AK319" s="540"/>
      <c r="AL319" s="541"/>
      <c r="AM319" s="541"/>
      <c r="AN319" s="542"/>
      <c r="AO319" s="540"/>
      <c r="AP319" s="541"/>
      <c r="AQ319" s="541"/>
      <c r="AR319" s="542"/>
      <c r="AS319" s="540"/>
      <c r="AT319" s="541"/>
      <c r="AU319" s="541"/>
      <c r="AV319" s="542"/>
      <c r="AW319" s="540"/>
      <c r="AX319" s="541"/>
      <c r="AY319" s="541"/>
      <c r="AZ319" s="542"/>
      <c r="BG319" s="93"/>
      <c r="BH319" s="93"/>
      <c r="BI319" s="93"/>
      <c r="BJ319" s="176">
        <v>260</v>
      </c>
      <c r="BK319" s="164">
        <v>0</v>
      </c>
      <c r="BL319" s="165">
        <v>298.5</v>
      </c>
      <c r="BM319" s="165">
        <v>442.9</v>
      </c>
      <c r="BN319" s="165">
        <v>618.38</v>
      </c>
      <c r="BO319" s="165">
        <v>621.09</v>
      </c>
      <c r="BP319" s="165">
        <v>662.26</v>
      </c>
      <c r="BQ319" s="165">
        <v>551.4</v>
      </c>
      <c r="BR319" s="165">
        <v>670.8</v>
      </c>
      <c r="BS319" s="165">
        <v>1028.67</v>
      </c>
      <c r="BT319" s="165">
        <v>1464.67</v>
      </c>
      <c r="BU319" s="165">
        <v>1543.25</v>
      </c>
      <c r="BV319" s="165">
        <v>662.26</v>
      </c>
      <c r="BW319" s="165">
        <v>551.4</v>
      </c>
      <c r="BX319" s="165">
        <v>670.8</v>
      </c>
      <c r="BY319" s="165">
        <v>1028.67</v>
      </c>
      <c r="BZ319" s="165">
        <v>1464.67</v>
      </c>
      <c r="CA319" s="165">
        <v>1543.25</v>
      </c>
      <c r="CB319" s="176"/>
      <c r="CC319" s="126"/>
      <c r="CD319" s="126"/>
      <c r="CE319" s="143"/>
    </row>
    <row r="320" spans="1:83">
      <c r="A320" s="107"/>
      <c r="B320" s="107"/>
      <c r="C320" s="107"/>
      <c r="D320" s="107"/>
      <c r="E320" s="551"/>
      <c r="F320" s="552"/>
      <c r="G320" s="552"/>
      <c r="H320" s="553"/>
      <c r="I320" s="545"/>
      <c r="J320" s="546"/>
      <c r="K320" s="546"/>
      <c r="L320" s="547"/>
      <c r="M320" s="545"/>
      <c r="N320" s="546"/>
      <c r="O320" s="546"/>
      <c r="P320" s="547"/>
      <c r="Q320" s="545"/>
      <c r="R320" s="546"/>
      <c r="S320" s="546"/>
      <c r="T320" s="547"/>
      <c r="U320" s="545"/>
      <c r="V320" s="546"/>
      <c r="W320" s="546"/>
      <c r="X320" s="547"/>
      <c r="Y320" s="545"/>
      <c r="Z320" s="546"/>
      <c r="AA320" s="546"/>
      <c r="AB320" s="547"/>
      <c r="AC320" s="545"/>
      <c r="AD320" s="546"/>
      <c r="AE320" s="546"/>
      <c r="AF320" s="547"/>
      <c r="AG320" s="545"/>
      <c r="AH320" s="546"/>
      <c r="AI320" s="546"/>
      <c r="AJ320" s="547"/>
      <c r="AK320" s="545"/>
      <c r="AL320" s="546"/>
      <c r="AM320" s="546"/>
      <c r="AN320" s="547"/>
      <c r="AO320" s="545"/>
      <c r="AP320" s="546"/>
      <c r="AQ320" s="546"/>
      <c r="AR320" s="547"/>
      <c r="AS320" s="545"/>
      <c r="AT320" s="546"/>
      <c r="AU320" s="546"/>
      <c r="AV320" s="547"/>
      <c r="AW320" s="545"/>
      <c r="AX320" s="546"/>
      <c r="AY320" s="546"/>
      <c r="AZ320" s="547"/>
      <c r="BG320" s="93"/>
      <c r="BH320" s="93"/>
      <c r="BI320" s="93"/>
      <c r="BJ320" s="176">
        <v>261</v>
      </c>
      <c r="BK320" s="164">
        <v>0</v>
      </c>
      <c r="BL320" s="165">
        <v>299.67</v>
      </c>
      <c r="BM320" s="165">
        <v>444.66</v>
      </c>
      <c r="BN320" s="165">
        <v>620.83000000000004</v>
      </c>
      <c r="BO320" s="165">
        <v>623.53</v>
      </c>
      <c r="BP320" s="165">
        <v>664.89</v>
      </c>
      <c r="BQ320" s="165">
        <v>553.58000000000004</v>
      </c>
      <c r="BR320" s="165">
        <v>673.46</v>
      </c>
      <c r="BS320" s="165">
        <v>1032.8</v>
      </c>
      <c r="BT320" s="165">
        <v>1470.58</v>
      </c>
      <c r="BU320" s="165">
        <v>1549.46</v>
      </c>
      <c r="BV320" s="165">
        <v>664.89</v>
      </c>
      <c r="BW320" s="165">
        <v>553.58000000000004</v>
      </c>
      <c r="BX320" s="165">
        <v>673.46</v>
      </c>
      <c r="BY320" s="165">
        <v>1032.8</v>
      </c>
      <c r="BZ320" s="165">
        <v>1470.58</v>
      </c>
      <c r="CA320" s="165">
        <v>1549.46</v>
      </c>
      <c r="CB320" s="176"/>
      <c r="CC320" s="126"/>
      <c r="CD320" s="126"/>
      <c r="CE320" s="143"/>
    </row>
    <row r="321" spans="1:83">
      <c r="A321" s="107"/>
      <c r="B321" s="107"/>
      <c r="C321" s="107"/>
      <c r="D321" s="107"/>
      <c r="E321" s="548"/>
      <c r="F321" s="549"/>
      <c r="G321" s="549"/>
      <c r="H321" s="550"/>
      <c r="I321" s="540"/>
      <c r="J321" s="541"/>
      <c r="K321" s="541"/>
      <c r="L321" s="542"/>
      <c r="M321" s="540"/>
      <c r="N321" s="541"/>
      <c r="O321" s="541"/>
      <c r="P321" s="542"/>
      <c r="Q321" s="540"/>
      <c r="R321" s="541"/>
      <c r="S321" s="541"/>
      <c r="T321" s="542"/>
      <c r="U321" s="540"/>
      <c r="V321" s="541"/>
      <c r="W321" s="541"/>
      <c r="X321" s="542"/>
      <c r="Y321" s="540"/>
      <c r="Z321" s="541"/>
      <c r="AA321" s="541"/>
      <c r="AB321" s="542"/>
      <c r="AC321" s="540"/>
      <c r="AD321" s="541"/>
      <c r="AE321" s="541"/>
      <c r="AF321" s="542"/>
      <c r="AG321" s="540"/>
      <c r="AH321" s="541"/>
      <c r="AI321" s="541"/>
      <c r="AJ321" s="542"/>
      <c r="AK321" s="540"/>
      <c r="AL321" s="541"/>
      <c r="AM321" s="541"/>
      <c r="AN321" s="542"/>
      <c r="AO321" s="540"/>
      <c r="AP321" s="541"/>
      <c r="AQ321" s="541"/>
      <c r="AR321" s="542"/>
      <c r="AS321" s="540"/>
      <c r="AT321" s="541"/>
      <c r="AU321" s="541"/>
      <c r="AV321" s="542"/>
      <c r="AW321" s="540"/>
      <c r="AX321" s="541"/>
      <c r="AY321" s="541"/>
      <c r="AZ321" s="542"/>
      <c r="BG321" s="93"/>
      <c r="BH321" s="93"/>
      <c r="BI321" s="93"/>
      <c r="BJ321" s="176">
        <v>262</v>
      </c>
      <c r="BK321" s="164">
        <v>0</v>
      </c>
      <c r="BL321" s="165">
        <v>300.83</v>
      </c>
      <c r="BM321" s="165">
        <v>446.42</v>
      </c>
      <c r="BN321" s="165">
        <v>623.27</v>
      </c>
      <c r="BO321" s="165">
        <v>625.98</v>
      </c>
      <c r="BP321" s="165">
        <v>667.51</v>
      </c>
      <c r="BQ321" s="165">
        <v>555.76</v>
      </c>
      <c r="BR321" s="165">
        <v>676.12</v>
      </c>
      <c r="BS321" s="165">
        <v>1036.94</v>
      </c>
      <c r="BT321" s="165">
        <v>1476.49</v>
      </c>
      <c r="BU321" s="165">
        <v>1555.66</v>
      </c>
      <c r="BV321" s="165">
        <v>667.51</v>
      </c>
      <c r="BW321" s="165">
        <v>555.76</v>
      </c>
      <c r="BX321" s="165">
        <v>676.12</v>
      </c>
      <c r="BY321" s="165">
        <v>1036.94</v>
      </c>
      <c r="BZ321" s="165">
        <v>1476.49</v>
      </c>
      <c r="CA321" s="165">
        <v>1555.66</v>
      </c>
      <c r="CB321" s="176"/>
      <c r="CC321" s="126"/>
      <c r="CD321" s="126"/>
      <c r="CE321" s="143"/>
    </row>
    <row r="322" spans="1:83">
      <c r="A322" s="107"/>
      <c r="B322" s="107"/>
      <c r="C322" s="107"/>
      <c r="D322" s="107"/>
      <c r="E322" s="551"/>
      <c r="F322" s="552"/>
      <c r="G322" s="552"/>
      <c r="H322" s="553"/>
      <c r="I322" s="545"/>
      <c r="J322" s="546"/>
      <c r="K322" s="546"/>
      <c r="L322" s="547"/>
      <c r="M322" s="545"/>
      <c r="N322" s="546"/>
      <c r="O322" s="546"/>
      <c r="P322" s="547"/>
      <c r="Q322" s="545"/>
      <c r="R322" s="546"/>
      <c r="S322" s="546"/>
      <c r="T322" s="547"/>
      <c r="U322" s="545"/>
      <c r="V322" s="546"/>
      <c r="W322" s="546"/>
      <c r="X322" s="547"/>
      <c r="Y322" s="545"/>
      <c r="Z322" s="546"/>
      <c r="AA322" s="546"/>
      <c r="AB322" s="547"/>
      <c r="AC322" s="545"/>
      <c r="AD322" s="546"/>
      <c r="AE322" s="546"/>
      <c r="AF322" s="547"/>
      <c r="AG322" s="545"/>
      <c r="AH322" s="546"/>
      <c r="AI322" s="546"/>
      <c r="AJ322" s="547"/>
      <c r="AK322" s="545"/>
      <c r="AL322" s="546"/>
      <c r="AM322" s="546"/>
      <c r="AN322" s="547"/>
      <c r="AO322" s="545"/>
      <c r="AP322" s="546"/>
      <c r="AQ322" s="546"/>
      <c r="AR322" s="547"/>
      <c r="AS322" s="545"/>
      <c r="AT322" s="546"/>
      <c r="AU322" s="546"/>
      <c r="AV322" s="547"/>
      <c r="AW322" s="545"/>
      <c r="AX322" s="546"/>
      <c r="AY322" s="546"/>
      <c r="AZ322" s="547"/>
      <c r="BG322" s="93"/>
      <c r="BH322" s="93"/>
      <c r="BI322" s="93"/>
      <c r="BJ322" s="176">
        <v>263</v>
      </c>
      <c r="BK322" s="164">
        <v>0</v>
      </c>
      <c r="BL322" s="165">
        <v>302</v>
      </c>
      <c r="BM322" s="165">
        <v>448.18</v>
      </c>
      <c r="BN322" s="165">
        <v>625.71</v>
      </c>
      <c r="BO322" s="165">
        <v>628.41999999999996</v>
      </c>
      <c r="BP322" s="165">
        <v>670.13</v>
      </c>
      <c r="BQ322" s="165">
        <v>557.94000000000005</v>
      </c>
      <c r="BR322" s="165">
        <v>678.78</v>
      </c>
      <c r="BS322" s="165">
        <v>1041.07</v>
      </c>
      <c r="BT322" s="165">
        <v>1482.4</v>
      </c>
      <c r="BU322" s="165">
        <v>1561.87</v>
      </c>
      <c r="BV322" s="165">
        <v>670.13</v>
      </c>
      <c r="BW322" s="165">
        <v>557.94000000000005</v>
      </c>
      <c r="BX322" s="165">
        <v>678.78</v>
      </c>
      <c r="BY322" s="165">
        <v>1041.07</v>
      </c>
      <c r="BZ322" s="165">
        <v>1482.4</v>
      </c>
      <c r="CA322" s="165">
        <v>1561.87</v>
      </c>
      <c r="CB322" s="176"/>
      <c r="CC322" s="126"/>
      <c r="CD322" s="126"/>
      <c r="CE322" s="143"/>
    </row>
    <row r="323" spans="1:83">
      <c r="A323" s="107"/>
      <c r="B323" s="107"/>
      <c r="C323" s="107"/>
      <c r="D323" s="107"/>
      <c r="E323" s="548"/>
      <c r="F323" s="549"/>
      <c r="G323" s="549"/>
      <c r="H323" s="550"/>
      <c r="I323" s="540"/>
      <c r="J323" s="541"/>
      <c r="K323" s="541"/>
      <c r="L323" s="542"/>
      <c r="M323" s="540"/>
      <c r="N323" s="541"/>
      <c r="O323" s="541"/>
      <c r="P323" s="542"/>
      <c r="Q323" s="540"/>
      <c r="R323" s="541"/>
      <c r="S323" s="541"/>
      <c r="T323" s="542"/>
      <c r="U323" s="540"/>
      <c r="V323" s="541"/>
      <c r="W323" s="541"/>
      <c r="X323" s="542"/>
      <c r="Y323" s="540"/>
      <c r="Z323" s="541"/>
      <c r="AA323" s="541"/>
      <c r="AB323" s="542"/>
      <c r="AC323" s="540"/>
      <c r="AD323" s="541"/>
      <c r="AE323" s="541"/>
      <c r="AF323" s="542"/>
      <c r="AG323" s="540"/>
      <c r="AH323" s="541"/>
      <c r="AI323" s="541"/>
      <c r="AJ323" s="542"/>
      <c r="AK323" s="540"/>
      <c r="AL323" s="541"/>
      <c r="AM323" s="541"/>
      <c r="AN323" s="542"/>
      <c r="AO323" s="540"/>
      <c r="AP323" s="541"/>
      <c r="AQ323" s="541"/>
      <c r="AR323" s="542"/>
      <c r="AS323" s="540"/>
      <c r="AT323" s="541"/>
      <c r="AU323" s="541"/>
      <c r="AV323" s="542"/>
      <c r="AW323" s="540"/>
      <c r="AX323" s="541"/>
      <c r="AY323" s="541"/>
      <c r="AZ323" s="542"/>
      <c r="BG323" s="93"/>
      <c r="BH323" s="93"/>
      <c r="BI323" s="93"/>
      <c r="BJ323" s="176">
        <v>264</v>
      </c>
      <c r="BK323" s="164">
        <v>0</v>
      </c>
      <c r="BL323" s="165">
        <v>303.17</v>
      </c>
      <c r="BM323" s="165">
        <v>449.94</v>
      </c>
      <c r="BN323" s="165">
        <v>628.16</v>
      </c>
      <c r="BO323" s="165">
        <v>630.86</v>
      </c>
      <c r="BP323" s="165">
        <v>672.76</v>
      </c>
      <c r="BQ323" s="165">
        <v>560.11</v>
      </c>
      <c r="BR323" s="165">
        <v>681.43</v>
      </c>
      <c r="BS323" s="165">
        <v>1045.21</v>
      </c>
      <c r="BT323" s="165">
        <v>1488.31</v>
      </c>
      <c r="BU323" s="165">
        <v>1568.08</v>
      </c>
      <c r="BV323" s="165">
        <v>672.76</v>
      </c>
      <c r="BW323" s="165">
        <v>560.11</v>
      </c>
      <c r="BX323" s="165">
        <v>681.43</v>
      </c>
      <c r="BY323" s="165">
        <v>1045.21</v>
      </c>
      <c r="BZ323" s="165">
        <v>1488.31</v>
      </c>
      <c r="CA323" s="165">
        <v>1568.08</v>
      </c>
      <c r="CB323" s="176"/>
      <c r="CC323" s="126"/>
      <c r="CD323" s="126"/>
      <c r="CE323" s="143"/>
    </row>
    <row r="324" spans="1:83">
      <c r="A324" s="107"/>
      <c r="B324" s="107"/>
      <c r="C324" s="107"/>
      <c r="D324" s="107"/>
      <c r="E324" s="551"/>
      <c r="F324" s="552"/>
      <c r="G324" s="552"/>
      <c r="H324" s="553"/>
      <c r="I324" s="545"/>
      <c r="J324" s="546"/>
      <c r="K324" s="546"/>
      <c r="L324" s="547"/>
      <c r="M324" s="545"/>
      <c r="N324" s="546"/>
      <c r="O324" s="546"/>
      <c r="P324" s="547"/>
      <c r="Q324" s="545"/>
      <c r="R324" s="546"/>
      <c r="S324" s="546"/>
      <c r="T324" s="547"/>
      <c r="U324" s="545"/>
      <c r="V324" s="546"/>
      <c r="W324" s="546"/>
      <c r="X324" s="547"/>
      <c r="Y324" s="545"/>
      <c r="Z324" s="546"/>
      <c r="AA324" s="546"/>
      <c r="AB324" s="547"/>
      <c r="AC324" s="545"/>
      <c r="AD324" s="546"/>
      <c r="AE324" s="546"/>
      <c r="AF324" s="547"/>
      <c r="AG324" s="545"/>
      <c r="AH324" s="546"/>
      <c r="AI324" s="546"/>
      <c r="AJ324" s="547"/>
      <c r="AK324" s="545"/>
      <c r="AL324" s="546"/>
      <c r="AM324" s="546"/>
      <c r="AN324" s="547"/>
      <c r="AO324" s="545"/>
      <c r="AP324" s="546"/>
      <c r="AQ324" s="546"/>
      <c r="AR324" s="547"/>
      <c r="AS324" s="545"/>
      <c r="AT324" s="546"/>
      <c r="AU324" s="546"/>
      <c r="AV324" s="547"/>
      <c r="AW324" s="545"/>
      <c r="AX324" s="546"/>
      <c r="AY324" s="546"/>
      <c r="AZ324" s="547"/>
      <c r="BG324" s="93"/>
      <c r="BH324" s="93"/>
      <c r="BI324" s="93"/>
      <c r="BJ324" s="176">
        <v>265</v>
      </c>
      <c r="BK324" s="164">
        <v>0</v>
      </c>
      <c r="BL324" s="165">
        <v>304.33</v>
      </c>
      <c r="BM324" s="165">
        <v>451.7</v>
      </c>
      <c r="BN324" s="165">
        <v>630.6</v>
      </c>
      <c r="BO324" s="165">
        <v>633.30999999999995</v>
      </c>
      <c r="BP324" s="165">
        <v>675.38</v>
      </c>
      <c r="BQ324" s="165">
        <v>562.29</v>
      </c>
      <c r="BR324" s="165">
        <v>684.09</v>
      </c>
      <c r="BS324" s="165">
        <v>1049.3399999999999</v>
      </c>
      <c r="BT324" s="165">
        <v>1494.22</v>
      </c>
      <c r="BU324" s="165">
        <v>1574.28</v>
      </c>
      <c r="BV324" s="165">
        <v>675.38</v>
      </c>
      <c r="BW324" s="165">
        <v>562.29</v>
      </c>
      <c r="BX324" s="165">
        <v>684.09</v>
      </c>
      <c r="BY324" s="165">
        <v>1049.3399999999999</v>
      </c>
      <c r="BZ324" s="165">
        <v>1494.22</v>
      </c>
      <c r="CA324" s="165">
        <v>1574.28</v>
      </c>
      <c r="CB324" s="176"/>
      <c r="CC324" s="126"/>
      <c r="CD324" s="126"/>
      <c r="CE324" s="143"/>
    </row>
    <row r="325" spans="1:83">
      <c r="A325" s="107"/>
      <c r="B325" s="107"/>
      <c r="C325" s="107"/>
      <c r="D325" s="107"/>
      <c r="E325" s="548"/>
      <c r="F325" s="549"/>
      <c r="G325" s="549"/>
      <c r="H325" s="550"/>
      <c r="I325" s="540"/>
      <c r="J325" s="541"/>
      <c r="K325" s="541"/>
      <c r="L325" s="542"/>
      <c r="M325" s="540"/>
      <c r="N325" s="541"/>
      <c r="O325" s="541"/>
      <c r="P325" s="542"/>
      <c r="Q325" s="540"/>
      <c r="R325" s="541"/>
      <c r="S325" s="541"/>
      <c r="T325" s="542"/>
      <c r="U325" s="540"/>
      <c r="V325" s="541"/>
      <c r="W325" s="541"/>
      <c r="X325" s="542"/>
      <c r="Y325" s="540"/>
      <c r="Z325" s="541"/>
      <c r="AA325" s="541"/>
      <c r="AB325" s="542"/>
      <c r="AC325" s="540"/>
      <c r="AD325" s="541"/>
      <c r="AE325" s="541"/>
      <c r="AF325" s="542"/>
      <c r="AG325" s="540"/>
      <c r="AH325" s="541"/>
      <c r="AI325" s="541"/>
      <c r="AJ325" s="542"/>
      <c r="AK325" s="540"/>
      <c r="AL325" s="541"/>
      <c r="AM325" s="541"/>
      <c r="AN325" s="542"/>
      <c r="AO325" s="540"/>
      <c r="AP325" s="541"/>
      <c r="AQ325" s="541"/>
      <c r="AR325" s="542"/>
      <c r="AS325" s="540"/>
      <c r="AT325" s="541"/>
      <c r="AU325" s="541"/>
      <c r="AV325" s="542"/>
      <c r="AW325" s="540"/>
      <c r="AX325" s="541"/>
      <c r="AY325" s="541"/>
      <c r="AZ325" s="542"/>
      <c r="BG325" s="93"/>
      <c r="BH325" s="93"/>
      <c r="BI325" s="93"/>
      <c r="BJ325" s="176">
        <v>266</v>
      </c>
      <c r="BK325" s="164">
        <v>0</v>
      </c>
      <c r="BL325" s="165">
        <v>305.5</v>
      </c>
      <c r="BM325" s="165">
        <v>453.46</v>
      </c>
      <c r="BN325" s="165">
        <v>633.04</v>
      </c>
      <c r="BO325" s="165">
        <v>635.75</v>
      </c>
      <c r="BP325" s="165">
        <v>678</v>
      </c>
      <c r="BQ325" s="165">
        <v>564.47</v>
      </c>
      <c r="BR325" s="165">
        <v>686.75</v>
      </c>
      <c r="BS325" s="165">
        <v>1053.48</v>
      </c>
      <c r="BT325" s="165">
        <v>1500.12</v>
      </c>
      <c r="BU325" s="165">
        <v>1580.49</v>
      </c>
      <c r="BV325" s="165">
        <v>678</v>
      </c>
      <c r="BW325" s="165">
        <v>564.47</v>
      </c>
      <c r="BX325" s="165">
        <v>686.75</v>
      </c>
      <c r="BY325" s="165">
        <v>1053.48</v>
      </c>
      <c r="BZ325" s="165">
        <v>1500.12</v>
      </c>
      <c r="CA325" s="165">
        <v>1580.49</v>
      </c>
      <c r="CB325" s="176"/>
      <c r="CC325" s="126"/>
      <c r="CD325" s="126"/>
      <c r="CE325" s="143"/>
    </row>
    <row r="326" spans="1:83">
      <c r="A326" s="107"/>
      <c r="B326" s="107"/>
      <c r="C326" s="107"/>
      <c r="D326" s="107"/>
      <c r="E326" s="551"/>
      <c r="F326" s="552"/>
      <c r="G326" s="552"/>
      <c r="H326" s="553"/>
      <c r="I326" s="545"/>
      <c r="J326" s="546"/>
      <c r="K326" s="546"/>
      <c r="L326" s="547"/>
      <c r="M326" s="545"/>
      <c r="N326" s="546"/>
      <c r="O326" s="546"/>
      <c r="P326" s="547"/>
      <c r="Q326" s="545"/>
      <c r="R326" s="546"/>
      <c r="S326" s="546"/>
      <c r="T326" s="547"/>
      <c r="U326" s="545"/>
      <c r="V326" s="546"/>
      <c r="W326" s="546"/>
      <c r="X326" s="547"/>
      <c r="Y326" s="545"/>
      <c r="Z326" s="546"/>
      <c r="AA326" s="546"/>
      <c r="AB326" s="547"/>
      <c r="AC326" s="545"/>
      <c r="AD326" s="546"/>
      <c r="AE326" s="546"/>
      <c r="AF326" s="547"/>
      <c r="AG326" s="545"/>
      <c r="AH326" s="546"/>
      <c r="AI326" s="546"/>
      <c r="AJ326" s="547"/>
      <c r="AK326" s="545"/>
      <c r="AL326" s="546"/>
      <c r="AM326" s="546"/>
      <c r="AN326" s="547"/>
      <c r="AO326" s="545"/>
      <c r="AP326" s="546"/>
      <c r="AQ326" s="546"/>
      <c r="AR326" s="547"/>
      <c r="AS326" s="545"/>
      <c r="AT326" s="546"/>
      <c r="AU326" s="546"/>
      <c r="AV326" s="547"/>
      <c r="AW326" s="545"/>
      <c r="AX326" s="546"/>
      <c r="AY326" s="546"/>
      <c r="AZ326" s="547"/>
      <c r="BG326" s="93"/>
      <c r="BH326" s="93"/>
      <c r="BI326" s="93"/>
      <c r="BJ326" s="176">
        <v>267</v>
      </c>
      <c r="BK326" s="164">
        <v>0</v>
      </c>
      <c r="BL326" s="165">
        <v>306.66000000000003</v>
      </c>
      <c r="BM326" s="165">
        <v>455.22</v>
      </c>
      <c r="BN326" s="165">
        <v>635.49</v>
      </c>
      <c r="BO326" s="165">
        <v>638.19000000000005</v>
      </c>
      <c r="BP326" s="165">
        <v>680.63</v>
      </c>
      <c r="BQ326" s="165">
        <v>566.64</v>
      </c>
      <c r="BR326" s="165">
        <v>689.41</v>
      </c>
      <c r="BS326" s="165">
        <v>1057.6199999999999</v>
      </c>
      <c r="BT326" s="165">
        <v>1506.03</v>
      </c>
      <c r="BU326" s="165">
        <v>1586.7</v>
      </c>
      <c r="BV326" s="165">
        <v>680.63</v>
      </c>
      <c r="BW326" s="165">
        <v>566.64</v>
      </c>
      <c r="BX326" s="165">
        <v>689.41</v>
      </c>
      <c r="BY326" s="165">
        <v>1057.6199999999999</v>
      </c>
      <c r="BZ326" s="165">
        <v>1506.03</v>
      </c>
      <c r="CA326" s="165">
        <v>1586.7</v>
      </c>
      <c r="CB326" s="176"/>
      <c r="CC326" s="126"/>
      <c r="CD326" s="126"/>
      <c r="CE326" s="143"/>
    </row>
    <row r="327" spans="1:83">
      <c r="A327" s="107"/>
      <c r="B327" s="107"/>
      <c r="C327" s="107"/>
      <c r="D327" s="107"/>
      <c r="E327" s="548"/>
      <c r="F327" s="549"/>
      <c r="G327" s="549"/>
      <c r="H327" s="550"/>
      <c r="I327" s="540"/>
      <c r="J327" s="541"/>
      <c r="K327" s="541"/>
      <c r="L327" s="542"/>
      <c r="M327" s="540"/>
      <c r="N327" s="541"/>
      <c r="O327" s="541"/>
      <c r="P327" s="542"/>
      <c r="Q327" s="540"/>
      <c r="R327" s="541"/>
      <c r="S327" s="541"/>
      <c r="T327" s="542"/>
      <c r="U327" s="540"/>
      <c r="V327" s="541"/>
      <c r="W327" s="541"/>
      <c r="X327" s="542"/>
      <c r="Y327" s="540"/>
      <c r="Z327" s="541"/>
      <c r="AA327" s="541"/>
      <c r="AB327" s="542"/>
      <c r="AC327" s="540"/>
      <c r="AD327" s="541"/>
      <c r="AE327" s="541"/>
      <c r="AF327" s="542"/>
      <c r="AG327" s="540"/>
      <c r="AH327" s="541"/>
      <c r="AI327" s="541"/>
      <c r="AJ327" s="542"/>
      <c r="AK327" s="540"/>
      <c r="AL327" s="541"/>
      <c r="AM327" s="541"/>
      <c r="AN327" s="542"/>
      <c r="AO327" s="540"/>
      <c r="AP327" s="541"/>
      <c r="AQ327" s="541"/>
      <c r="AR327" s="542"/>
      <c r="AS327" s="540"/>
      <c r="AT327" s="541"/>
      <c r="AU327" s="541"/>
      <c r="AV327" s="542"/>
      <c r="AW327" s="540"/>
      <c r="AX327" s="541"/>
      <c r="AY327" s="541"/>
      <c r="AZ327" s="542"/>
      <c r="BG327" s="93"/>
      <c r="BH327" s="93"/>
      <c r="BI327" s="93"/>
      <c r="BJ327" s="176">
        <v>268</v>
      </c>
      <c r="BK327" s="164">
        <v>0</v>
      </c>
      <c r="BL327" s="165">
        <v>307.83</v>
      </c>
      <c r="BM327" s="165">
        <v>456.97</v>
      </c>
      <c r="BN327" s="165">
        <v>637.92999999999995</v>
      </c>
      <c r="BO327" s="165">
        <v>640.64</v>
      </c>
      <c r="BP327" s="165">
        <v>683.25</v>
      </c>
      <c r="BQ327" s="165">
        <v>568.82000000000005</v>
      </c>
      <c r="BR327" s="165">
        <v>692.07</v>
      </c>
      <c r="BS327" s="165">
        <v>1061.75</v>
      </c>
      <c r="BT327" s="165">
        <v>1511.94</v>
      </c>
      <c r="BU327" s="165">
        <v>1592.9</v>
      </c>
      <c r="BV327" s="165">
        <v>683.25</v>
      </c>
      <c r="BW327" s="165">
        <v>568.82000000000005</v>
      </c>
      <c r="BX327" s="165">
        <v>692.07</v>
      </c>
      <c r="BY327" s="165">
        <v>1061.75</v>
      </c>
      <c r="BZ327" s="165">
        <v>1511.94</v>
      </c>
      <c r="CA327" s="165">
        <v>1592.9</v>
      </c>
      <c r="CB327" s="176"/>
      <c r="CC327" s="126"/>
      <c r="CD327" s="126"/>
      <c r="CE327" s="143"/>
    </row>
    <row r="328" spans="1:83">
      <c r="A328" s="107"/>
      <c r="B328" s="107"/>
      <c r="C328" s="107"/>
      <c r="D328" s="107"/>
      <c r="E328" s="551"/>
      <c r="F328" s="552"/>
      <c r="G328" s="552"/>
      <c r="H328" s="553"/>
      <c r="I328" s="545"/>
      <c r="J328" s="546"/>
      <c r="K328" s="546"/>
      <c r="L328" s="547"/>
      <c r="M328" s="545"/>
      <c r="N328" s="546"/>
      <c r="O328" s="546"/>
      <c r="P328" s="547"/>
      <c r="Q328" s="545"/>
      <c r="R328" s="546"/>
      <c r="S328" s="546"/>
      <c r="T328" s="547"/>
      <c r="U328" s="545"/>
      <c r="V328" s="546"/>
      <c r="W328" s="546"/>
      <c r="X328" s="547"/>
      <c r="Y328" s="545"/>
      <c r="Z328" s="546"/>
      <c r="AA328" s="546"/>
      <c r="AB328" s="547"/>
      <c r="AC328" s="545"/>
      <c r="AD328" s="546"/>
      <c r="AE328" s="546"/>
      <c r="AF328" s="547"/>
      <c r="AG328" s="545"/>
      <c r="AH328" s="546"/>
      <c r="AI328" s="546"/>
      <c r="AJ328" s="547"/>
      <c r="AK328" s="545"/>
      <c r="AL328" s="546"/>
      <c r="AM328" s="546"/>
      <c r="AN328" s="547"/>
      <c r="AO328" s="545"/>
      <c r="AP328" s="546"/>
      <c r="AQ328" s="546"/>
      <c r="AR328" s="547"/>
      <c r="AS328" s="545"/>
      <c r="AT328" s="546"/>
      <c r="AU328" s="546"/>
      <c r="AV328" s="547"/>
      <c r="AW328" s="545"/>
      <c r="AX328" s="546"/>
      <c r="AY328" s="546"/>
      <c r="AZ328" s="547"/>
      <c r="BG328" s="93"/>
      <c r="BH328" s="93"/>
      <c r="BI328" s="93"/>
      <c r="BJ328" s="176">
        <v>269</v>
      </c>
      <c r="BK328" s="164">
        <v>0</v>
      </c>
      <c r="BL328" s="165">
        <v>309</v>
      </c>
      <c r="BM328" s="165">
        <v>458.73</v>
      </c>
      <c r="BN328" s="165">
        <v>640.37</v>
      </c>
      <c r="BO328" s="165">
        <v>643.08000000000004</v>
      </c>
      <c r="BP328" s="165">
        <v>685.87</v>
      </c>
      <c r="BQ328" s="165">
        <v>571</v>
      </c>
      <c r="BR328" s="165">
        <v>694.73</v>
      </c>
      <c r="BS328" s="165">
        <v>1065.8900000000001</v>
      </c>
      <c r="BT328" s="165">
        <v>1517.85</v>
      </c>
      <c r="BU328" s="165">
        <v>1599.11</v>
      </c>
      <c r="BV328" s="165">
        <v>685.87</v>
      </c>
      <c r="BW328" s="165">
        <v>571</v>
      </c>
      <c r="BX328" s="165">
        <v>694.73</v>
      </c>
      <c r="BY328" s="165">
        <v>1065.8900000000001</v>
      </c>
      <c r="BZ328" s="165">
        <v>1517.85</v>
      </c>
      <c r="CA328" s="165">
        <v>1599.11</v>
      </c>
      <c r="CB328" s="176"/>
      <c r="CC328" s="126"/>
      <c r="CD328" s="126"/>
      <c r="CE328" s="143"/>
    </row>
    <row r="329" spans="1:83">
      <c r="A329" s="107"/>
      <c r="B329" s="107"/>
      <c r="C329" s="107"/>
      <c r="D329" s="107"/>
      <c r="E329" s="548"/>
      <c r="F329" s="549"/>
      <c r="G329" s="549"/>
      <c r="H329" s="550"/>
      <c r="I329" s="540"/>
      <c r="J329" s="541"/>
      <c r="K329" s="541"/>
      <c r="L329" s="542"/>
      <c r="M329" s="540"/>
      <c r="N329" s="541"/>
      <c r="O329" s="541"/>
      <c r="P329" s="542"/>
      <c r="Q329" s="540"/>
      <c r="R329" s="541"/>
      <c r="S329" s="541"/>
      <c r="T329" s="542"/>
      <c r="U329" s="540"/>
      <c r="V329" s="541"/>
      <c r="W329" s="541"/>
      <c r="X329" s="542"/>
      <c r="Y329" s="540"/>
      <c r="Z329" s="541"/>
      <c r="AA329" s="541"/>
      <c r="AB329" s="542"/>
      <c r="AC329" s="540"/>
      <c r="AD329" s="541"/>
      <c r="AE329" s="541"/>
      <c r="AF329" s="542"/>
      <c r="AG329" s="540"/>
      <c r="AH329" s="541"/>
      <c r="AI329" s="541"/>
      <c r="AJ329" s="542"/>
      <c r="AK329" s="540"/>
      <c r="AL329" s="541"/>
      <c r="AM329" s="541"/>
      <c r="AN329" s="542"/>
      <c r="AO329" s="540"/>
      <c r="AP329" s="541"/>
      <c r="AQ329" s="541"/>
      <c r="AR329" s="542"/>
      <c r="AS329" s="540"/>
      <c r="AT329" s="541"/>
      <c r="AU329" s="541"/>
      <c r="AV329" s="542"/>
      <c r="AW329" s="540"/>
      <c r="AX329" s="541"/>
      <c r="AY329" s="541"/>
      <c r="AZ329" s="542"/>
      <c r="BG329" s="93"/>
      <c r="BH329" s="93"/>
      <c r="BI329" s="93"/>
      <c r="BJ329" s="176">
        <v>270</v>
      </c>
      <c r="BK329" s="164">
        <v>0</v>
      </c>
      <c r="BL329" s="165">
        <v>310.16000000000003</v>
      </c>
      <c r="BM329" s="165">
        <v>460.49</v>
      </c>
      <c r="BN329" s="165">
        <v>642.82000000000005</v>
      </c>
      <c r="BO329" s="165">
        <v>645.52</v>
      </c>
      <c r="BP329" s="165">
        <v>688.5</v>
      </c>
      <c r="BQ329" s="165">
        <v>573.16999999999996</v>
      </c>
      <c r="BR329" s="165">
        <v>697.39</v>
      </c>
      <c r="BS329" s="165">
        <v>1070.02</v>
      </c>
      <c r="BT329" s="165">
        <v>1523.76</v>
      </c>
      <c r="BU329" s="165">
        <v>1605.31</v>
      </c>
      <c r="BV329" s="165">
        <v>688.5</v>
      </c>
      <c r="BW329" s="165">
        <v>573.16999999999996</v>
      </c>
      <c r="BX329" s="165">
        <v>697.39</v>
      </c>
      <c r="BY329" s="165">
        <v>1070.02</v>
      </c>
      <c r="BZ329" s="165">
        <v>1523.76</v>
      </c>
      <c r="CA329" s="165">
        <v>1605.31</v>
      </c>
      <c r="CB329" s="176"/>
      <c r="CC329" s="126"/>
      <c r="CD329" s="126"/>
      <c r="CE329" s="143"/>
    </row>
    <row r="330" spans="1:83">
      <c r="A330" s="107"/>
      <c r="B330" s="107"/>
      <c r="C330" s="107"/>
      <c r="D330" s="107"/>
      <c r="E330" s="551"/>
      <c r="F330" s="552"/>
      <c r="G330" s="552"/>
      <c r="H330" s="553"/>
      <c r="I330" s="545"/>
      <c r="J330" s="546"/>
      <c r="K330" s="546"/>
      <c r="L330" s="547"/>
      <c r="M330" s="545"/>
      <c r="N330" s="546"/>
      <c r="O330" s="546"/>
      <c r="P330" s="547"/>
      <c r="Q330" s="545"/>
      <c r="R330" s="546"/>
      <c r="S330" s="546"/>
      <c r="T330" s="547"/>
      <c r="U330" s="545"/>
      <c r="V330" s="546"/>
      <c r="W330" s="546"/>
      <c r="X330" s="547"/>
      <c r="Y330" s="545"/>
      <c r="Z330" s="546"/>
      <c r="AA330" s="546"/>
      <c r="AB330" s="547"/>
      <c r="AC330" s="545"/>
      <c r="AD330" s="546"/>
      <c r="AE330" s="546"/>
      <c r="AF330" s="547"/>
      <c r="AG330" s="545"/>
      <c r="AH330" s="546"/>
      <c r="AI330" s="546"/>
      <c r="AJ330" s="547"/>
      <c r="AK330" s="545"/>
      <c r="AL330" s="546"/>
      <c r="AM330" s="546"/>
      <c r="AN330" s="547"/>
      <c r="AO330" s="545"/>
      <c r="AP330" s="546"/>
      <c r="AQ330" s="546"/>
      <c r="AR330" s="547"/>
      <c r="AS330" s="545"/>
      <c r="AT330" s="546"/>
      <c r="AU330" s="546"/>
      <c r="AV330" s="547"/>
      <c r="AW330" s="545"/>
      <c r="AX330" s="546"/>
      <c r="AY330" s="546"/>
      <c r="AZ330" s="547"/>
      <c r="BG330" s="93"/>
      <c r="BH330" s="93"/>
      <c r="BI330" s="93"/>
      <c r="BJ330" s="176">
        <v>271</v>
      </c>
      <c r="BK330" s="164">
        <v>0</v>
      </c>
      <c r="BL330" s="165">
        <v>311.33</v>
      </c>
      <c r="BM330" s="165">
        <v>462.25</v>
      </c>
      <c r="BN330" s="165">
        <v>645.26</v>
      </c>
      <c r="BO330" s="165">
        <v>647.97</v>
      </c>
      <c r="BP330" s="165">
        <v>691.12</v>
      </c>
      <c r="BQ330" s="165">
        <v>575.35</v>
      </c>
      <c r="BR330" s="165">
        <v>700.05</v>
      </c>
      <c r="BS330" s="165">
        <v>1074.1600000000001</v>
      </c>
      <c r="BT330" s="165">
        <v>1529.67</v>
      </c>
      <c r="BU330" s="165">
        <v>1611.52</v>
      </c>
      <c r="BV330" s="165">
        <v>691.12</v>
      </c>
      <c r="BW330" s="165">
        <v>575.35</v>
      </c>
      <c r="BX330" s="165">
        <v>700.05</v>
      </c>
      <c r="BY330" s="165">
        <v>1074.1600000000001</v>
      </c>
      <c r="BZ330" s="165">
        <v>1529.67</v>
      </c>
      <c r="CA330" s="165">
        <v>1611.52</v>
      </c>
      <c r="CB330" s="176"/>
      <c r="CC330" s="126"/>
      <c r="CD330" s="126"/>
      <c r="CE330" s="143"/>
    </row>
    <row r="331" spans="1:83">
      <c r="A331" s="107"/>
      <c r="B331" s="107"/>
      <c r="C331" s="107"/>
      <c r="D331" s="107"/>
      <c r="E331" s="548"/>
      <c r="F331" s="549"/>
      <c r="G331" s="549"/>
      <c r="H331" s="550"/>
      <c r="I331" s="540"/>
      <c r="J331" s="541"/>
      <c r="K331" s="541"/>
      <c r="L331" s="542"/>
      <c r="M331" s="540"/>
      <c r="N331" s="541"/>
      <c r="O331" s="541"/>
      <c r="P331" s="542"/>
      <c r="Q331" s="540"/>
      <c r="R331" s="541"/>
      <c r="S331" s="541"/>
      <c r="T331" s="542"/>
      <c r="U331" s="540"/>
      <c r="V331" s="541"/>
      <c r="W331" s="541"/>
      <c r="X331" s="542"/>
      <c r="Y331" s="540"/>
      <c r="Z331" s="541"/>
      <c r="AA331" s="541"/>
      <c r="AB331" s="542"/>
      <c r="AC331" s="540"/>
      <c r="AD331" s="541"/>
      <c r="AE331" s="541"/>
      <c r="AF331" s="542"/>
      <c r="AG331" s="540"/>
      <c r="AH331" s="541"/>
      <c r="AI331" s="541"/>
      <c r="AJ331" s="542"/>
      <c r="AK331" s="540"/>
      <c r="AL331" s="541"/>
      <c r="AM331" s="541"/>
      <c r="AN331" s="542"/>
      <c r="AO331" s="540"/>
      <c r="AP331" s="541"/>
      <c r="AQ331" s="541"/>
      <c r="AR331" s="542"/>
      <c r="AS331" s="540"/>
      <c r="AT331" s="541"/>
      <c r="AU331" s="541"/>
      <c r="AV331" s="542"/>
      <c r="AW331" s="540"/>
      <c r="AX331" s="541"/>
      <c r="AY331" s="541"/>
      <c r="AZ331" s="542"/>
      <c r="BG331" s="93"/>
      <c r="BH331" s="93"/>
      <c r="BI331" s="93"/>
      <c r="BJ331" s="176">
        <v>272</v>
      </c>
      <c r="BK331" s="164">
        <v>0</v>
      </c>
      <c r="BL331" s="165">
        <v>312.5</v>
      </c>
      <c r="BM331" s="165">
        <v>464.01</v>
      </c>
      <c r="BN331" s="165">
        <v>647.70000000000005</v>
      </c>
      <c r="BO331" s="165">
        <v>650.41</v>
      </c>
      <c r="BP331" s="165">
        <v>693.74</v>
      </c>
      <c r="BQ331" s="165">
        <v>577.53</v>
      </c>
      <c r="BR331" s="165">
        <v>702.71</v>
      </c>
      <c r="BS331" s="165">
        <v>1078.29</v>
      </c>
      <c r="BT331" s="165">
        <v>1535.58</v>
      </c>
      <c r="BU331" s="165">
        <v>1617.73</v>
      </c>
      <c r="BV331" s="165">
        <v>693.74</v>
      </c>
      <c r="BW331" s="165">
        <v>577.53</v>
      </c>
      <c r="BX331" s="165">
        <v>702.71</v>
      </c>
      <c r="BY331" s="165">
        <v>1078.29</v>
      </c>
      <c r="BZ331" s="165">
        <v>1535.58</v>
      </c>
      <c r="CA331" s="165">
        <v>1617.73</v>
      </c>
      <c r="CB331" s="176"/>
      <c r="CC331" s="126"/>
      <c r="CD331" s="126"/>
      <c r="CE331" s="143"/>
    </row>
    <row r="332" spans="1:83">
      <c r="A332" s="107"/>
      <c r="B332" s="107"/>
      <c r="C332" s="107"/>
      <c r="D332" s="107"/>
      <c r="E332" s="551"/>
      <c r="F332" s="552"/>
      <c r="G332" s="552"/>
      <c r="H332" s="553"/>
      <c r="I332" s="545"/>
      <c r="J332" s="546"/>
      <c r="K332" s="546"/>
      <c r="L332" s="547"/>
      <c r="M332" s="545"/>
      <c r="N332" s="546"/>
      <c r="O332" s="546"/>
      <c r="P332" s="547"/>
      <c r="Q332" s="545"/>
      <c r="R332" s="546"/>
      <c r="S332" s="546"/>
      <c r="T332" s="547"/>
      <c r="U332" s="545"/>
      <c r="V332" s="546"/>
      <c r="W332" s="546"/>
      <c r="X332" s="547"/>
      <c r="Y332" s="545"/>
      <c r="Z332" s="546"/>
      <c r="AA332" s="546"/>
      <c r="AB332" s="547"/>
      <c r="AC332" s="545"/>
      <c r="AD332" s="546"/>
      <c r="AE332" s="546"/>
      <c r="AF332" s="547"/>
      <c r="AG332" s="545"/>
      <c r="AH332" s="546"/>
      <c r="AI332" s="546"/>
      <c r="AJ332" s="547"/>
      <c r="AK332" s="545"/>
      <c r="AL332" s="546"/>
      <c r="AM332" s="546"/>
      <c r="AN332" s="547"/>
      <c r="AO332" s="545"/>
      <c r="AP332" s="546"/>
      <c r="AQ332" s="546"/>
      <c r="AR332" s="547"/>
      <c r="AS332" s="545"/>
      <c r="AT332" s="546"/>
      <c r="AU332" s="546"/>
      <c r="AV332" s="547"/>
      <c r="AW332" s="545"/>
      <c r="AX332" s="546"/>
      <c r="AY332" s="546"/>
      <c r="AZ332" s="547"/>
      <c r="BG332" s="93"/>
      <c r="BH332" s="93"/>
      <c r="BI332" s="93"/>
      <c r="BJ332" s="176">
        <v>273</v>
      </c>
      <c r="BK332" s="164">
        <v>0</v>
      </c>
      <c r="BL332" s="165">
        <v>313.66000000000003</v>
      </c>
      <c r="BM332" s="165">
        <v>465.77</v>
      </c>
      <c r="BN332" s="165">
        <v>650.15</v>
      </c>
      <c r="BO332" s="165">
        <v>652.85</v>
      </c>
      <c r="BP332" s="165">
        <v>696.36</v>
      </c>
      <c r="BQ332" s="165">
        <v>579.70000000000005</v>
      </c>
      <c r="BR332" s="165">
        <v>705.37</v>
      </c>
      <c r="BS332" s="165">
        <v>1082.43</v>
      </c>
      <c r="BT332" s="165">
        <v>1541.49</v>
      </c>
      <c r="BU332" s="165">
        <v>1623.93</v>
      </c>
      <c r="BV332" s="165">
        <v>696.36</v>
      </c>
      <c r="BW332" s="165">
        <v>579.70000000000005</v>
      </c>
      <c r="BX332" s="165">
        <v>705.37</v>
      </c>
      <c r="BY332" s="165">
        <v>1082.43</v>
      </c>
      <c r="BZ332" s="165">
        <v>1541.49</v>
      </c>
      <c r="CA332" s="165">
        <v>1623.93</v>
      </c>
      <c r="CB332" s="176"/>
      <c r="CC332" s="126"/>
      <c r="CD332" s="126"/>
      <c r="CE332" s="143"/>
    </row>
    <row r="333" spans="1:83">
      <c r="A333" s="107"/>
      <c r="B333" s="107"/>
      <c r="C333" s="107"/>
      <c r="D333" s="107"/>
      <c r="E333" s="548"/>
      <c r="F333" s="549"/>
      <c r="G333" s="549"/>
      <c r="H333" s="550"/>
      <c r="I333" s="540"/>
      <c r="J333" s="541"/>
      <c r="K333" s="541"/>
      <c r="L333" s="542"/>
      <c r="M333" s="540"/>
      <c r="N333" s="541"/>
      <c r="O333" s="541"/>
      <c r="P333" s="542"/>
      <c r="Q333" s="540"/>
      <c r="R333" s="541"/>
      <c r="S333" s="541"/>
      <c r="T333" s="542"/>
      <c r="U333" s="540"/>
      <c r="V333" s="541"/>
      <c r="W333" s="541"/>
      <c r="X333" s="542"/>
      <c r="Y333" s="540"/>
      <c r="Z333" s="541"/>
      <c r="AA333" s="541"/>
      <c r="AB333" s="542"/>
      <c r="AC333" s="540"/>
      <c r="AD333" s="541"/>
      <c r="AE333" s="541"/>
      <c r="AF333" s="542"/>
      <c r="AG333" s="540"/>
      <c r="AH333" s="541"/>
      <c r="AI333" s="541"/>
      <c r="AJ333" s="542"/>
      <c r="AK333" s="540"/>
      <c r="AL333" s="541"/>
      <c r="AM333" s="541"/>
      <c r="AN333" s="542"/>
      <c r="AO333" s="540"/>
      <c r="AP333" s="541"/>
      <c r="AQ333" s="541"/>
      <c r="AR333" s="542"/>
      <c r="AS333" s="540"/>
      <c r="AT333" s="541"/>
      <c r="AU333" s="541"/>
      <c r="AV333" s="542"/>
      <c r="AW333" s="540"/>
      <c r="AX333" s="541"/>
      <c r="AY333" s="541"/>
      <c r="AZ333" s="542"/>
      <c r="BG333" s="93"/>
      <c r="BH333" s="93"/>
      <c r="BI333" s="93"/>
      <c r="BJ333" s="176">
        <v>274</v>
      </c>
      <c r="BK333" s="164">
        <v>0</v>
      </c>
      <c r="BL333" s="165">
        <v>314.83</v>
      </c>
      <c r="BM333" s="165">
        <v>467.53</v>
      </c>
      <c r="BN333" s="165">
        <v>652.59</v>
      </c>
      <c r="BO333" s="165">
        <v>655.29999999999995</v>
      </c>
      <c r="BP333" s="165">
        <v>698.99</v>
      </c>
      <c r="BQ333" s="165">
        <v>581.88</v>
      </c>
      <c r="BR333" s="165">
        <v>708.03</v>
      </c>
      <c r="BS333" s="165">
        <v>1086.56</v>
      </c>
      <c r="BT333" s="165">
        <v>1547.4</v>
      </c>
      <c r="BU333" s="165">
        <v>1630.14</v>
      </c>
      <c r="BV333" s="165">
        <v>698.99</v>
      </c>
      <c r="BW333" s="165">
        <v>581.88</v>
      </c>
      <c r="BX333" s="165">
        <v>708.03</v>
      </c>
      <c r="BY333" s="165">
        <v>1086.56</v>
      </c>
      <c r="BZ333" s="165">
        <v>1547.4</v>
      </c>
      <c r="CA333" s="165">
        <v>1630.14</v>
      </c>
      <c r="CB333" s="176"/>
      <c r="CC333" s="126"/>
      <c r="CD333" s="126"/>
      <c r="CE333" s="143"/>
    </row>
    <row r="334" spans="1:83">
      <c r="A334" s="107"/>
      <c r="B334" s="107"/>
      <c r="C334" s="107"/>
      <c r="D334" s="107"/>
      <c r="E334" s="551"/>
      <c r="F334" s="552"/>
      <c r="G334" s="552"/>
      <c r="H334" s="553"/>
      <c r="I334" s="545"/>
      <c r="J334" s="546"/>
      <c r="K334" s="546"/>
      <c r="L334" s="547"/>
      <c r="M334" s="545"/>
      <c r="N334" s="546"/>
      <c r="O334" s="546"/>
      <c r="P334" s="547"/>
      <c r="Q334" s="545"/>
      <c r="R334" s="546"/>
      <c r="S334" s="546"/>
      <c r="T334" s="547"/>
      <c r="U334" s="545"/>
      <c r="V334" s="546"/>
      <c r="W334" s="546"/>
      <c r="X334" s="547"/>
      <c r="Y334" s="545"/>
      <c r="Z334" s="546"/>
      <c r="AA334" s="546"/>
      <c r="AB334" s="547"/>
      <c r="AC334" s="545"/>
      <c r="AD334" s="546"/>
      <c r="AE334" s="546"/>
      <c r="AF334" s="547"/>
      <c r="AG334" s="545"/>
      <c r="AH334" s="546"/>
      <c r="AI334" s="546"/>
      <c r="AJ334" s="547"/>
      <c r="AK334" s="545"/>
      <c r="AL334" s="546"/>
      <c r="AM334" s="546"/>
      <c r="AN334" s="547"/>
      <c r="AO334" s="545"/>
      <c r="AP334" s="546"/>
      <c r="AQ334" s="546"/>
      <c r="AR334" s="547"/>
      <c r="AS334" s="545"/>
      <c r="AT334" s="546"/>
      <c r="AU334" s="546"/>
      <c r="AV334" s="547"/>
      <c r="AW334" s="545"/>
      <c r="AX334" s="546"/>
      <c r="AY334" s="546"/>
      <c r="AZ334" s="547"/>
      <c r="BG334" s="93"/>
      <c r="BH334" s="93"/>
      <c r="BI334" s="93"/>
      <c r="BJ334" s="176">
        <v>275</v>
      </c>
      <c r="BK334" s="164">
        <v>0</v>
      </c>
      <c r="BL334" s="165">
        <v>316</v>
      </c>
      <c r="BM334" s="165">
        <v>469.29</v>
      </c>
      <c r="BN334" s="165">
        <v>655.03</v>
      </c>
      <c r="BO334" s="165">
        <v>657.74</v>
      </c>
      <c r="BP334" s="165">
        <v>701.61</v>
      </c>
      <c r="BQ334" s="165">
        <v>584.05999999999995</v>
      </c>
      <c r="BR334" s="165">
        <v>710.69</v>
      </c>
      <c r="BS334" s="165">
        <v>1090.7</v>
      </c>
      <c r="BT334" s="165">
        <v>1553.3</v>
      </c>
      <c r="BU334" s="165">
        <v>1636.35</v>
      </c>
      <c r="BV334" s="165">
        <v>701.61</v>
      </c>
      <c r="BW334" s="165">
        <v>584.05999999999995</v>
      </c>
      <c r="BX334" s="165">
        <v>710.69</v>
      </c>
      <c r="BY334" s="165">
        <v>1090.7</v>
      </c>
      <c r="BZ334" s="165">
        <v>1553.3</v>
      </c>
      <c r="CA334" s="165">
        <v>1636.35</v>
      </c>
      <c r="CB334" s="176"/>
      <c r="CC334" s="126"/>
      <c r="CD334" s="126"/>
      <c r="CE334" s="143"/>
    </row>
    <row r="335" spans="1:83">
      <c r="A335" s="107"/>
      <c r="B335" s="107"/>
      <c r="C335" s="107"/>
      <c r="D335" s="107"/>
      <c r="E335" s="548"/>
      <c r="F335" s="549"/>
      <c r="G335" s="549"/>
      <c r="H335" s="550"/>
      <c r="I335" s="540"/>
      <c r="J335" s="541"/>
      <c r="K335" s="541"/>
      <c r="L335" s="542"/>
      <c r="M335" s="540"/>
      <c r="N335" s="541"/>
      <c r="O335" s="541"/>
      <c r="P335" s="542"/>
      <c r="Q335" s="540"/>
      <c r="R335" s="541"/>
      <c r="S335" s="541"/>
      <c r="T335" s="542"/>
      <c r="U335" s="540"/>
      <c r="V335" s="541"/>
      <c r="W335" s="541"/>
      <c r="X335" s="542"/>
      <c r="Y335" s="540"/>
      <c r="Z335" s="541"/>
      <c r="AA335" s="541"/>
      <c r="AB335" s="542"/>
      <c r="AC335" s="540"/>
      <c r="AD335" s="541"/>
      <c r="AE335" s="541"/>
      <c r="AF335" s="542"/>
      <c r="AG335" s="540"/>
      <c r="AH335" s="541"/>
      <c r="AI335" s="541"/>
      <c r="AJ335" s="542"/>
      <c r="AK335" s="540"/>
      <c r="AL335" s="541"/>
      <c r="AM335" s="541"/>
      <c r="AN335" s="542"/>
      <c r="AO335" s="540"/>
      <c r="AP335" s="541"/>
      <c r="AQ335" s="541"/>
      <c r="AR335" s="542"/>
      <c r="AS335" s="540"/>
      <c r="AT335" s="541"/>
      <c r="AU335" s="541"/>
      <c r="AV335" s="542"/>
      <c r="AW335" s="540"/>
      <c r="AX335" s="541"/>
      <c r="AY335" s="541"/>
      <c r="AZ335" s="542"/>
      <c r="BG335" s="93"/>
      <c r="BH335" s="93"/>
      <c r="BI335" s="93"/>
      <c r="BJ335" s="176">
        <v>276</v>
      </c>
      <c r="BK335" s="164">
        <v>0</v>
      </c>
      <c r="BL335" s="165">
        <v>317.16000000000003</v>
      </c>
      <c r="BM335" s="165">
        <v>471.05</v>
      </c>
      <c r="BN335" s="165">
        <v>657.48</v>
      </c>
      <c r="BO335" s="165">
        <v>660.18</v>
      </c>
      <c r="BP335" s="165">
        <v>704.23</v>
      </c>
      <c r="BQ335" s="165">
        <v>586.23</v>
      </c>
      <c r="BR335" s="165">
        <v>713.34</v>
      </c>
      <c r="BS335" s="165">
        <v>1094.83</v>
      </c>
      <c r="BT335" s="165">
        <v>1559.21</v>
      </c>
      <c r="BU335" s="165">
        <v>1642.55</v>
      </c>
      <c r="BV335" s="165">
        <v>704.23</v>
      </c>
      <c r="BW335" s="165">
        <v>586.23</v>
      </c>
      <c r="BX335" s="165">
        <v>713.34</v>
      </c>
      <c r="BY335" s="165">
        <v>1094.83</v>
      </c>
      <c r="BZ335" s="165">
        <v>1559.21</v>
      </c>
      <c r="CA335" s="165">
        <v>1642.55</v>
      </c>
      <c r="CB335" s="176"/>
      <c r="CC335" s="126"/>
      <c r="CD335" s="126"/>
      <c r="CE335" s="143"/>
    </row>
    <row r="336" spans="1:83">
      <c r="A336" s="107"/>
      <c r="B336" s="107"/>
      <c r="C336" s="107"/>
      <c r="D336" s="107"/>
      <c r="E336" s="551"/>
      <c r="F336" s="552"/>
      <c r="G336" s="552"/>
      <c r="H336" s="553"/>
      <c r="I336" s="545"/>
      <c r="J336" s="546"/>
      <c r="K336" s="546"/>
      <c r="L336" s="547"/>
      <c r="M336" s="545"/>
      <c r="N336" s="546"/>
      <c r="O336" s="546"/>
      <c r="P336" s="547"/>
      <c r="Q336" s="545"/>
      <c r="R336" s="546"/>
      <c r="S336" s="546"/>
      <c r="T336" s="547"/>
      <c r="U336" s="545"/>
      <c r="V336" s="546"/>
      <c r="W336" s="546"/>
      <c r="X336" s="547"/>
      <c r="Y336" s="545"/>
      <c r="Z336" s="546"/>
      <c r="AA336" s="546"/>
      <c r="AB336" s="547"/>
      <c r="AC336" s="545"/>
      <c r="AD336" s="546"/>
      <c r="AE336" s="546"/>
      <c r="AF336" s="547"/>
      <c r="AG336" s="545"/>
      <c r="AH336" s="546"/>
      <c r="AI336" s="546"/>
      <c r="AJ336" s="547"/>
      <c r="AK336" s="545"/>
      <c r="AL336" s="546"/>
      <c r="AM336" s="546"/>
      <c r="AN336" s="547"/>
      <c r="AO336" s="545"/>
      <c r="AP336" s="546"/>
      <c r="AQ336" s="546"/>
      <c r="AR336" s="547"/>
      <c r="AS336" s="545"/>
      <c r="AT336" s="546"/>
      <c r="AU336" s="546"/>
      <c r="AV336" s="547"/>
      <c r="AW336" s="545"/>
      <c r="AX336" s="546"/>
      <c r="AY336" s="546"/>
      <c r="AZ336" s="547"/>
      <c r="BG336" s="93"/>
      <c r="BH336" s="93"/>
      <c r="BI336" s="93"/>
      <c r="BJ336" s="176">
        <v>277</v>
      </c>
      <c r="BK336" s="164">
        <v>0</v>
      </c>
      <c r="BL336" s="165">
        <v>318.33</v>
      </c>
      <c r="BM336" s="165">
        <v>472.81</v>
      </c>
      <c r="BN336" s="165">
        <v>659.92</v>
      </c>
      <c r="BO336" s="165">
        <v>662.63</v>
      </c>
      <c r="BP336" s="165">
        <v>706.86</v>
      </c>
      <c r="BQ336" s="165">
        <v>588.41</v>
      </c>
      <c r="BR336" s="165">
        <v>716</v>
      </c>
      <c r="BS336" s="165">
        <v>1098.97</v>
      </c>
      <c r="BT336" s="165">
        <v>1565.12</v>
      </c>
      <c r="BU336" s="165">
        <v>1648.76</v>
      </c>
      <c r="BV336" s="165">
        <v>706.86</v>
      </c>
      <c r="BW336" s="165">
        <v>588.41</v>
      </c>
      <c r="BX336" s="165">
        <v>716</v>
      </c>
      <c r="BY336" s="165">
        <v>1098.97</v>
      </c>
      <c r="BZ336" s="165">
        <v>1565.12</v>
      </c>
      <c r="CA336" s="165">
        <v>1648.76</v>
      </c>
      <c r="CB336" s="176"/>
      <c r="CC336" s="126"/>
      <c r="CD336" s="126"/>
      <c r="CE336" s="143"/>
    </row>
    <row r="337" spans="1:83">
      <c r="A337" s="107"/>
      <c r="B337" s="107"/>
      <c r="C337" s="107"/>
      <c r="D337" s="107"/>
      <c r="E337" s="548"/>
      <c r="F337" s="549"/>
      <c r="G337" s="549"/>
      <c r="H337" s="550"/>
      <c r="I337" s="540"/>
      <c r="J337" s="541"/>
      <c r="K337" s="541"/>
      <c r="L337" s="542"/>
      <c r="M337" s="540"/>
      <c r="N337" s="541"/>
      <c r="O337" s="541"/>
      <c r="P337" s="542"/>
      <c r="Q337" s="540"/>
      <c r="R337" s="541"/>
      <c r="S337" s="541"/>
      <c r="T337" s="542"/>
      <c r="U337" s="540"/>
      <c r="V337" s="541"/>
      <c r="W337" s="541"/>
      <c r="X337" s="542"/>
      <c r="Y337" s="540"/>
      <c r="Z337" s="541"/>
      <c r="AA337" s="541"/>
      <c r="AB337" s="542"/>
      <c r="AC337" s="540"/>
      <c r="AD337" s="541"/>
      <c r="AE337" s="541"/>
      <c r="AF337" s="542"/>
      <c r="AG337" s="540"/>
      <c r="AH337" s="541"/>
      <c r="AI337" s="541"/>
      <c r="AJ337" s="542"/>
      <c r="AK337" s="540"/>
      <c r="AL337" s="541"/>
      <c r="AM337" s="541"/>
      <c r="AN337" s="542"/>
      <c r="AO337" s="540"/>
      <c r="AP337" s="541"/>
      <c r="AQ337" s="541"/>
      <c r="AR337" s="542"/>
      <c r="AS337" s="540"/>
      <c r="AT337" s="541"/>
      <c r="AU337" s="541"/>
      <c r="AV337" s="542"/>
      <c r="AW337" s="540"/>
      <c r="AX337" s="541"/>
      <c r="AY337" s="541"/>
      <c r="AZ337" s="542"/>
      <c r="BG337" s="93"/>
      <c r="BH337" s="93"/>
      <c r="BI337" s="93"/>
      <c r="BJ337" s="176">
        <v>278</v>
      </c>
      <c r="BK337" s="164">
        <v>0</v>
      </c>
      <c r="BL337" s="165">
        <v>319.5</v>
      </c>
      <c r="BM337" s="165">
        <v>474.57</v>
      </c>
      <c r="BN337" s="165">
        <v>662.36</v>
      </c>
      <c r="BO337" s="165">
        <v>665.07</v>
      </c>
      <c r="BP337" s="165">
        <v>709.48</v>
      </c>
      <c r="BQ337" s="165">
        <v>590.59</v>
      </c>
      <c r="BR337" s="165">
        <v>718.66</v>
      </c>
      <c r="BS337" s="165">
        <v>1103.0999999999999</v>
      </c>
      <c r="BT337" s="165">
        <v>1571.03</v>
      </c>
      <c r="BU337" s="165">
        <v>1654.97</v>
      </c>
      <c r="BV337" s="165">
        <v>709.48</v>
      </c>
      <c r="BW337" s="165">
        <v>590.59</v>
      </c>
      <c r="BX337" s="165">
        <v>718.66</v>
      </c>
      <c r="BY337" s="165">
        <v>1103.0999999999999</v>
      </c>
      <c r="BZ337" s="165">
        <v>1571.03</v>
      </c>
      <c r="CA337" s="165">
        <v>1654.97</v>
      </c>
      <c r="CB337" s="176"/>
      <c r="CC337" s="126"/>
      <c r="CD337" s="126"/>
      <c r="CE337" s="143"/>
    </row>
    <row r="338" spans="1:83">
      <c r="A338" s="107"/>
      <c r="B338" s="107"/>
      <c r="C338" s="107"/>
      <c r="D338" s="107"/>
      <c r="E338" s="551"/>
      <c r="F338" s="552"/>
      <c r="G338" s="552"/>
      <c r="H338" s="553"/>
      <c r="I338" s="545"/>
      <c r="J338" s="546"/>
      <c r="K338" s="546"/>
      <c r="L338" s="547"/>
      <c r="M338" s="545"/>
      <c r="N338" s="546"/>
      <c r="O338" s="546"/>
      <c r="P338" s="547"/>
      <c r="Q338" s="545"/>
      <c r="R338" s="546"/>
      <c r="S338" s="546"/>
      <c r="T338" s="547"/>
      <c r="U338" s="545"/>
      <c r="V338" s="546"/>
      <c r="W338" s="546"/>
      <c r="X338" s="547"/>
      <c r="Y338" s="545"/>
      <c r="Z338" s="546"/>
      <c r="AA338" s="546"/>
      <c r="AB338" s="547"/>
      <c r="AC338" s="545"/>
      <c r="AD338" s="546"/>
      <c r="AE338" s="546"/>
      <c r="AF338" s="547"/>
      <c r="AG338" s="545"/>
      <c r="AH338" s="546"/>
      <c r="AI338" s="546"/>
      <c r="AJ338" s="547"/>
      <c r="AK338" s="545"/>
      <c r="AL338" s="546"/>
      <c r="AM338" s="546"/>
      <c r="AN338" s="547"/>
      <c r="AO338" s="545"/>
      <c r="AP338" s="546"/>
      <c r="AQ338" s="546"/>
      <c r="AR338" s="547"/>
      <c r="AS338" s="545"/>
      <c r="AT338" s="546"/>
      <c r="AU338" s="546"/>
      <c r="AV338" s="547"/>
      <c r="AW338" s="545"/>
      <c r="AX338" s="546"/>
      <c r="AY338" s="546"/>
      <c r="AZ338" s="547"/>
      <c r="BG338" s="93"/>
      <c r="BH338" s="93"/>
      <c r="BI338" s="93"/>
      <c r="BJ338" s="176">
        <v>279</v>
      </c>
      <c r="BK338" s="164">
        <v>0</v>
      </c>
      <c r="BL338" s="165">
        <v>320.66000000000003</v>
      </c>
      <c r="BM338" s="165">
        <v>476.33</v>
      </c>
      <c r="BN338" s="165">
        <v>664.8</v>
      </c>
      <c r="BO338" s="165">
        <v>667.51</v>
      </c>
      <c r="BP338" s="165">
        <v>712.1</v>
      </c>
      <c r="BQ338" s="165">
        <v>592.76</v>
      </c>
      <c r="BR338" s="165">
        <v>721.32</v>
      </c>
      <c r="BS338" s="165">
        <v>1107.24</v>
      </c>
      <c r="BT338" s="165">
        <v>1576.94</v>
      </c>
      <c r="BU338" s="165">
        <v>1661.17</v>
      </c>
      <c r="BV338" s="165">
        <v>712.1</v>
      </c>
      <c r="BW338" s="165">
        <v>592.76</v>
      </c>
      <c r="BX338" s="165">
        <v>721.32</v>
      </c>
      <c r="BY338" s="165">
        <v>1107.24</v>
      </c>
      <c r="BZ338" s="165">
        <v>1576.94</v>
      </c>
      <c r="CA338" s="165">
        <v>1661.17</v>
      </c>
      <c r="CB338" s="176"/>
      <c r="CC338" s="126"/>
      <c r="CD338" s="126"/>
      <c r="CE338" s="143"/>
    </row>
    <row r="339" spans="1:83">
      <c r="A339" s="107"/>
      <c r="B339" s="107"/>
      <c r="C339" s="107"/>
      <c r="D339" s="107"/>
      <c r="E339" s="548"/>
      <c r="F339" s="549"/>
      <c r="G339" s="549"/>
      <c r="H339" s="550"/>
      <c r="I339" s="540"/>
      <c r="J339" s="541"/>
      <c r="K339" s="541"/>
      <c r="L339" s="542"/>
      <c r="M339" s="540"/>
      <c r="N339" s="541"/>
      <c r="O339" s="541"/>
      <c r="P339" s="542"/>
      <c r="Q339" s="540"/>
      <c r="R339" s="541"/>
      <c r="S339" s="541"/>
      <c r="T339" s="542"/>
      <c r="U339" s="540"/>
      <c r="V339" s="541"/>
      <c r="W339" s="541"/>
      <c r="X339" s="542"/>
      <c r="Y339" s="540"/>
      <c r="Z339" s="541"/>
      <c r="AA339" s="541"/>
      <c r="AB339" s="542"/>
      <c r="AC339" s="540"/>
      <c r="AD339" s="541"/>
      <c r="AE339" s="541"/>
      <c r="AF339" s="542"/>
      <c r="AG339" s="540"/>
      <c r="AH339" s="541"/>
      <c r="AI339" s="541"/>
      <c r="AJ339" s="542"/>
      <c r="AK339" s="540"/>
      <c r="AL339" s="541"/>
      <c r="AM339" s="541"/>
      <c r="AN339" s="542"/>
      <c r="AO339" s="540"/>
      <c r="AP339" s="541"/>
      <c r="AQ339" s="541"/>
      <c r="AR339" s="542"/>
      <c r="AS339" s="540"/>
      <c r="AT339" s="541"/>
      <c r="AU339" s="541"/>
      <c r="AV339" s="542"/>
      <c r="AW339" s="540"/>
      <c r="AX339" s="541"/>
      <c r="AY339" s="541"/>
      <c r="AZ339" s="542"/>
      <c r="BG339" s="93"/>
      <c r="BH339" s="93"/>
      <c r="BI339" s="93"/>
      <c r="BJ339" s="176">
        <v>280</v>
      </c>
      <c r="BK339" s="164">
        <v>0</v>
      </c>
      <c r="BL339" s="165">
        <v>321.83</v>
      </c>
      <c r="BM339" s="165">
        <v>478.08</v>
      </c>
      <c r="BN339" s="165">
        <v>667.25</v>
      </c>
      <c r="BO339" s="165">
        <v>669.96</v>
      </c>
      <c r="BP339" s="165">
        <v>714.73</v>
      </c>
      <c r="BQ339" s="165">
        <v>594.94000000000005</v>
      </c>
      <c r="BR339" s="165">
        <v>723.98</v>
      </c>
      <c r="BS339" s="165">
        <v>1111.3699999999999</v>
      </c>
      <c r="BT339" s="165">
        <v>1582.85</v>
      </c>
      <c r="BU339" s="165">
        <v>1667.38</v>
      </c>
      <c r="BV339" s="165">
        <v>714.73</v>
      </c>
      <c r="BW339" s="165">
        <v>594.94000000000005</v>
      </c>
      <c r="BX339" s="165">
        <v>723.98</v>
      </c>
      <c r="BY339" s="165">
        <v>1111.3699999999999</v>
      </c>
      <c r="BZ339" s="165">
        <v>1582.85</v>
      </c>
      <c r="CA339" s="165">
        <v>1667.38</v>
      </c>
      <c r="CB339" s="176"/>
      <c r="CC339" s="126"/>
      <c r="CD339" s="126"/>
      <c r="CE339" s="143"/>
    </row>
    <row r="340" spans="1:83">
      <c r="A340" s="107"/>
      <c r="B340" s="107"/>
      <c r="C340" s="107"/>
      <c r="D340" s="107"/>
      <c r="E340" s="551"/>
      <c r="F340" s="552"/>
      <c r="G340" s="552"/>
      <c r="H340" s="553"/>
      <c r="I340" s="545"/>
      <c r="J340" s="546"/>
      <c r="K340" s="546"/>
      <c r="L340" s="547"/>
      <c r="M340" s="545"/>
      <c r="N340" s="546"/>
      <c r="O340" s="546"/>
      <c r="P340" s="547"/>
      <c r="Q340" s="545"/>
      <c r="R340" s="546"/>
      <c r="S340" s="546"/>
      <c r="T340" s="547"/>
      <c r="U340" s="545"/>
      <c r="V340" s="546"/>
      <c r="W340" s="546"/>
      <c r="X340" s="547"/>
      <c r="Y340" s="545"/>
      <c r="Z340" s="546"/>
      <c r="AA340" s="546"/>
      <c r="AB340" s="547"/>
      <c r="AC340" s="545"/>
      <c r="AD340" s="546"/>
      <c r="AE340" s="546"/>
      <c r="AF340" s="547"/>
      <c r="AG340" s="545"/>
      <c r="AH340" s="546"/>
      <c r="AI340" s="546"/>
      <c r="AJ340" s="547"/>
      <c r="AK340" s="545"/>
      <c r="AL340" s="546"/>
      <c r="AM340" s="546"/>
      <c r="AN340" s="547"/>
      <c r="AO340" s="545"/>
      <c r="AP340" s="546"/>
      <c r="AQ340" s="546"/>
      <c r="AR340" s="547"/>
      <c r="AS340" s="545"/>
      <c r="AT340" s="546"/>
      <c r="AU340" s="546"/>
      <c r="AV340" s="547"/>
      <c r="AW340" s="545"/>
      <c r="AX340" s="546"/>
      <c r="AY340" s="546"/>
      <c r="AZ340" s="547"/>
      <c r="BG340" s="93"/>
      <c r="BH340" s="93"/>
      <c r="BI340" s="93"/>
      <c r="BJ340" s="176">
        <v>281</v>
      </c>
      <c r="BK340" s="164">
        <v>0</v>
      </c>
      <c r="BL340" s="165">
        <v>322.99</v>
      </c>
      <c r="BM340" s="165">
        <v>479.84</v>
      </c>
      <c r="BN340" s="165">
        <v>669.69</v>
      </c>
      <c r="BO340" s="165">
        <v>672.4</v>
      </c>
      <c r="BP340" s="165">
        <v>717.35</v>
      </c>
      <c r="BQ340" s="165">
        <v>597.12</v>
      </c>
      <c r="BR340" s="165">
        <v>726.64</v>
      </c>
      <c r="BS340" s="165">
        <v>1115.51</v>
      </c>
      <c r="BT340" s="165">
        <v>1588.76</v>
      </c>
      <c r="BU340" s="165">
        <v>1673.58</v>
      </c>
      <c r="BV340" s="165">
        <v>717.35</v>
      </c>
      <c r="BW340" s="165">
        <v>597.12</v>
      </c>
      <c r="BX340" s="165">
        <v>726.64</v>
      </c>
      <c r="BY340" s="165">
        <v>1115.51</v>
      </c>
      <c r="BZ340" s="165">
        <v>1588.76</v>
      </c>
      <c r="CA340" s="165">
        <v>1673.58</v>
      </c>
      <c r="CB340" s="176"/>
      <c r="CC340" s="126"/>
      <c r="CD340" s="126"/>
      <c r="CE340" s="143"/>
    </row>
    <row r="341" spans="1:83">
      <c r="A341" s="107"/>
      <c r="B341" s="107"/>
      <c r="C341" s="107"/>
      <c r="D341" s="107"/>
      <c r="E341" s="548"/>
      <c r="F341" s="549"/>
      <c r="G341" s="549"/>
      <c r="H341" s="550"/>
      <c r="I341" s="540"/>
      <c r="J341" s="541"/>
      <c r="K341" s="541"/>
      <c r="L341" s="542"/>
      <c r="M341" s="540"/>
      <c r="N341" s="541"/>
      <c r="O341" s="541"/>
      <c r="P341" s="542"/>
      <c r="Q341" s="540"/>
      <c r="R341" s="541"/>
      <c r="S341" s="541"/>
      <c r="T341" s="542"/>
      <c r="U341" s="540"/>
      <c r="V341" s="541"/>
      <c r="W341" s="541"/>
      <c r="X341" s="542"/>
      <c r="Y341" s="540"/>
      <c r="Z341" s="541"/>
      <c r="AA341" s="541"/>
      <c r="AB341" s="542"/>
      <c r="AC341" s="540"/>
      <c r="AD341" s="541"/>
      <c r="AE341" s="541"/>
      <c r="AF341" s="542"/>
      <c r="AG341" s="540"/>
      <c r="AH341" s="541"/>
      <c r="AI341" s="541"/>
      <c r="AJ341" s="542"/>
      <c r="AK341" s="540"/>
      <c r="AL341" s="541"/>
      <c r="AM341" s="541"/>
      <c r="AN341" s="542"/>
      <c r="AO341" s="540"/>
      <c r="AP341" s="541"/>
      <c r="AQ341" s="541"/>
      <c r="AR341" s="542"/>
      <c r="AS341" s="540"/>
      <c r="AT341" s="541"/>
      <c r="AU341" s="541"/>
      <c r="AV341" s="542"/>
      <c r="AW341" s="540"/>
      <c r="AX341" s="541"/>
      <c r="AY341" s="541"/>
      <c r="AZ341" s="542"/>
      <c r="BG341" s="93"/>
      <c r="BH341" s="93"/>
      <c r="BI341" s="93"/>
      <c r="BJ341" s="176">
        <v>282</v>
      </c>
      <c r="BK341" s="164">
        <v>0</v>
      </c>
      <c r="BL341" s="165">
        <v>324.16000000000003</v>
      </c>
      <c r="BM341" s="165">
        <v>481.6</v>
      </c>
      <c r="BN341" s="165">
        <v>672.13</v>
      </c>
      <c r="BO341" s="165">
        <v>674.84</v>
      </c>
      <c r="BP341" s="165">
        <v>719.97</v>
      </c>
      <c r="BQ341" s="165">
        <v>599.29</v>
      </c>
      <c r="BR341" s="165">
        <v>729.3</v>
      </c>
      <c r="BS341" s="165">
        <v>1119.6400000000001</v>
      </c>
      <c r="BT341" s="165">
        <v>1594.67</v>
      </c>
      <c r="BU341" s="165">
        <v>1679.79</v>
      </c>
      <c r="BV341" s="165">
        <v>719.97</v>
      </c>
      <c r="BW341" s="165">
        <v>599.29</v>
      </c>
      <c r="BX341" s="165">
        <v>729.3</v>
      </c>
      <c r="BY341" s="165">
        <v>1119.6400000000001</v>
      </c>
      <c r="BZ341" s="165">
        <v>1594.67</v>
      </c>
      <c r="CA341" s="165">
        <v>1679.79</v>
      </c>
      <c r="CB341" s="176"/>
      <c r="CC341" s="126"/>
      <c r="CD341" s="126"/>
      <c r="CE341" s="143"/>
    </row>
    <row r="342" spans="1:83">
      <c r="A342" s="107"/>
      <c r="B342" s="107"/>
      <c r="C342" s="107"/>
      <c r="D342" s="107"/>
      <c r="E342" s="551"/>
      <c r="F342" s="552"/>
      <c r="G342" s="552"/>
      <c r="H342" s="553"/>
      <c r="I342" s="545"/>
      <c r="J342" s="546"/>
      <c r="K342" s="546"/>
      <c r="L342" s="547"/>
      <c r="M342" s="545"/>
      <c r="N342" s="546"/>
      <c r="O342" s="546"/>
      <c r="P342" s="547"/>
      <c r="Q342" s="545"/>
      <c r="R342" s="546"/>
      <c r="S342" s="546"/>
      <c r="T342" s="547"/>
      <c r="U342" s="545"/>
      <c r="V342" s="546"/>
      <c r="W342" s="546"/>
      <c r="X342" s="547"/>
      <c r="Y342" s="545"/>
      <c r="Z342" s="546"/>
      <c r="AA342" s="546"/>
      <c r="AB342" s="547"/>
      <c r="AC342" s="545"/>
      <c r="AD342" s="546"/>
      <c r="AE342" s="546"/>
      <c r="AF342" s="547"/>
      <c r="AG342" s="545"/>
      <c r="AH342" s="546"/>
      <c r="AI342" s="546"/>
      <c r="AJ342" s="547"/>
      <c r="AK342" s="545"/>
      <c r="AL342" s="546"/>
      <c r="AM342" s="546"/>
      <c r="AN342" s="547"/>
      <c r="AO342" s="545"/>
      <c r="AP342" s="546"/>
      <c r="AQ342" s="546"/>
      <c r="AR342" s="547"/>
      <c r="AS342" s="545"/>
      <c r="AT342" s="546"/>
      <c r="AU342" s="546"/>
      <c r="AV342" s="547"/>
      <c r="AW342" s="545"/>
      <c r="AX342" s="546"/>
      <c r="AY342" s="546"/>
      <c r="AZ342" s="547"/>
      <c r="BG342" s="93"/>
      <c r="BH342" s="93"/>
      <c r="BI342" s="93"/>
      <c r="BJ342" s="176">
        <v>283</v>
      </c>
      <c r="BK342" s="164">
        <v>0</v>
      </c>
      <c r="BL342" s="165">
        <v>325.33</v>
      </c>
      <c r="BM342" s="165">
        <v>483.36</v>
      </c>
      <c r="BN342" s="165">
        <v>674.58</v>
      </c>
      <c r="BO342" s="165">
        <v>677.28</v>
      </c>
      <c r="BP342" s="165">
        <v>722.6</v>
      </c>
      <c r="BQ342" s="165">
        <v>601.47</v>
      </c>
      <c r="BR342" s="165">
        <v>731.96</v>
      </c>
      <c r="BS342" s="165">
        <v>1123.78</v>
      </c>
      <c r="BT342" s="165">
        <v>1600.57</v>
      </c>
      <c r="BU342" s="165">
        <v>1686</v>
      </c>
      <c r="BV342" s="165">
        <v>722.6</v>
      </c>
      <c r="BW342" s="165">
        <v>601.47</v>
      </c>
      <c r="BX342" s="165">
        <v>731.96</v>
      </c>
      <c r="BY342" s="165">
        <v>1123.78</v>
      </c>
      <c r="BZ342" s="165">
        <v>1600.57</v>
      </c>
      <c r="CA342" s="165">
        <v>1686</v>
      </c>
      <c r="CB342" s="176"/>
      <c r="CC342" s="126"/>
      <c r="CD342" s="126"/>
      <c r="CE342" s="143"/>
    </row>
    <row r="343" spans="1:83">
      <c r="A343" s="107"/>
      <c r="B343" s="107"/>
      <c r="C343" s="107"/>
      <c r="D343" s="107"/>
      <c r="E343" s="548"/>
      <c r="F343" s="549"/>
      <c r="G343" s="549"/>
      <c r="H343" s="550"/>
      <c r="I343" s="540"/>
      <c r="J343" s="541"/>
      <c r="K343" s="541"/>
      <c r="L343" s="542"/>
      <c r="M343" s="540"/>
      <c r="N343" s="541"/>
      <c r="O343" s="541"/>
      <c r="P343" s="542"/>
      <c r="Q343" s="540"/>
      <c r="R343" s="541"/>
      <c r="S343" s="541"/>
      <c r="T343" s="542"/>
      <c r="U343" s="540"/>
      <c r="V343" s="541"/>
      <c r="W343" s="541"/>
      <c r="X343" s="542"/>
      <c r="Y343" s="540"/>
      <c r="Z343" s="541"/>
      <c r="AA343" s="541"/>
      <c r="AB343" s="542"/>
      <c r="AC343" s="540"/>
      <c r="AD343" s="541"/>
      <c r="AE343" s="541"/>
      <c r="AF343" s="542"/>
      <c r="AG343" s="540"/>
      <c r="AH343" s="541"/>
      <c r="AI343" s="541"/>
      <c r="AJ343" s="542"/>
      <c r="AK343" s="540"/>
      <c r="AL343" s="541"/>
      <c r="AM343" s="541"/>
      <c r="AN343" s="542"/>
      <c r="AO343" s="540"/>
      <c r="AP343" s="541"/>
      <c r="AQ343" s="541"/>
      <c r="AR343" s="542"/>
      <c r="AS343" s="540"/>
      <c r="AT343" s="541"/>
      <c r="AU343" s="541"/>
      <c r="AV343" s="542"/>
      <c r="AW343" s="540"/>
      <c r="AX343" s="541"/>
      <c r="AY343" s="541"/>
      <c r="AZ343" s="542"/>
      <c r="BG343" s="93"/>
      <c r="BH343" s="93"/>
      <c r="BI343" s="93"/>
      <c r="BJ343" s="176">
        <v>284</v>
      </c>
      <c r="BK343" s="164">
        <v>0</v>
      </c>
      <c r="BL343" s="165">
        <v>326.49</v>
      </c>
      <c r="BM343" s="165">
        <v>485.12</v>
      </c>
      <c r="BN343" s="165">
        <v>677.02</v>
      </c>
      <c r="BO343" s="165">
        <v>679.73</v>
      </c>
      <c r="BP343" s="165">
        <v>725.22</v>
      </c>
      <c r="BQ343" s="165">
        <v>603.65</v>
      </c>
      <c r="BR343" s="165">
        <v>734.62</v>
      </c>
      <c r="BS343" s="165">
        <v>1127.9100000000001</v>
      </c>
      <c r="BT343" s="165">
        <v>1606.48</v>
      </c>
      <c r="BU343" s="165">
        <v>1692.2</v>
      </c>
      <c r="BV343" s="165">
        <v>725.22</v>
      </c>
      <c r="BW343" s="165">
        <v>603.65</v>
      </c>
      <c r="BX343" s="165">
        <v>734.62</v>
      </c>
      <c r="BY343" s="165">
        <v>1127.9100000000001</v>
      </c>
      <c r="BZ343" s="165">
        <v>1606.48</v>
      </c>
      <c r="CA343" s="165">
        <v>1692.2</v>
      </c>
      <c r="CB343" s="176"/>
      <c r="CC343" s="126"/>
      <c r="CD343" s="126"/>
      <c r="CE343" s="143"/>
    </row>
    <row r="344" spans="1:83">
      <c r="A344" s="107"/>
      <c r="B344" s="107"/>
      <c r="C344" s="107"/>
      <c r="D344" s="107"/>
      <c r="E344" s="551"/>
      <c r="F344" s="552"/>
      <c r="G344" s="552"/>
      <c r="H344" s="553"/>
      <c r="I344" s="545"/>
      <c r="J344" s="546"/>
      <c r="K344" s="546"/>
      <c r="L344" s="547"/>
      <c r="M344" s="545"/>
      <c r="N344" s="546"/>
      <c r="O344" s="546"/>
      <c r="P344" s="547"/>
      <c r="Q344" s="545"/>
      <c r="R344" s="546"/>
      <c r="S344" s="546"/>
      <c r="T344" s="547"/>
      <c r="U344" s="545"/>
      <c r="V344" s="546"/>
      <c r="W344" s="546"/>
      <c r="X344" s="547"/>
      <c r="Y344" s="545"/>
      <c r="Z344" s="546"/>
      <c r="AA344" s="546"/>
      <c r="AB344" s="547"/>
      <c r="AC344" s="545"/>
      <c r="AD344" s="546"/>
      <c r="AE344" s="546"/>
      <c r="AF344" s="547"/>
      <c r="AG344" s="545"/>
      <c r="AH344" s="546"/>
      <c r="AI344" s="546"/>
      <c r="AJ344" s="547"/>
      <c r="AK344" s="545"/>
      <c r="AL344" s="546"/>
      <c r="AM344" s="546"/>
      <c r="AN344" s="547"/>
      <c r="AO344" s="545"/>
      <c r="AP344" s="546"/>
      <c r="AQ344" s="546"/>
      <c r="AR344" s="547"/>
      <c r="AS344" s="545"/>
      <c r="AT344" s="546"/>
      <c r="AU344" s="546"/>
      <c r="AV344" s="547"/>
      <c r="AW344" s="545"/>
      <c r="AX344" s="546"/>
      <c r="AY344" s="546"/>
      <c r="AZ344" s="547"/>
      <c r="BG344" s="93"/>
      <c r="BH344" s="93"/>
      <c r="BI344" s="93"/>
      <c r="BJ344" s="176">
        <v>285</v>
      </c>
      <c r="BK344" s="164">
        <v>0</v>
      </c>
      <c r="BL344" s="165">
        <v>327.66000000000003</v>
      </c>
      <c r="BM344" s="165">
        <v>486.88</v>
      </c>
      <c r="BN344" s="165">
        <v>679.46</v>
      </c>
      <c r="BO344" s="165">
        <v>682.17</v>
      </c>
      <c r="BP344" s="165">
        <v>727.84</v>
      </c>
      <c r="BQ344" s="165">
        <v>605.82000000000005</v>
      </c>
      <c r="BR344" s="165">
        <v>737.28</v>
      </c>
      <c r="BS344" s="165">
        <v>1132.05</v>
      </c>
      <c r="BT344" s="165">
        <v>1612.39</v>
      </c>
      <c r="BU344" s="165">
        <v>1698.41</v>
      </c>
      <c r="BV344" s="165">
        <v>727.84</v>
      </c>
      <c r="BW344" s="165">
        <v>605.82000000000005</v>
      </c>
      <c r="BX344" s="165">
        <v>737.28</v>
      </c>
      <c r="BY344" s="165">
        <v>1132.05</v>
      </c>
      <c r="BZ344" s="165">
        <v>1612.39</v>
      </c>
      <c r="CA344" s="165">
        <v>1698.41</v>
      </c>
      <c r="CB344" s="176"/>
      <c r="CC344" s="126"/>
      <c r="CD344" s="126"/>
      <c r="CE344" s="143"/>
    </row>
    <row r="345" spans="1:83">
      <c r="A345" s="107"/>
      <c r="B345" s="107"/>
      <c r="C345" s="107"/>
      <c r="D345" s="107"/>
      <c r="E345" s="548"/>
      <c r="F345" s="549"/>
      <c r="G345" s="549"/>
      <c r="H345" s="550"/>
      <c r="I345" s="540"/>
      <c r="J345" s="541"/>
      <c r="K345" s="541"/>
      <c r="L345" s="542"/>
      <c r="M345" s="540"/>
      <c r="N345" s="541"/>
      <c r="O345" s="541"/>
      <c r="P345" s="542"/>
      <c r="Q345" s="540"/>
      <c r="R345" s="541"/>
      <c r="S345" s="541"/>
      <c r="T345" s="542"/>
      <c r="U345" s="540"/>
      <c r="V345" s="541"/>
      <c r="W345" s="541"/>
      <c r="X345" s="542"/>
      <c r="Y345" s="540"/>
      <c r="Z345" s="541"/>
      <c r="AA345" s="541"/>
      <c r="AB345" s="542"/>
      <c r="AC345" s="540"/>
      <c r="AD345" s="541"/>
      <c r="AE345" s="541"/>
      <c r="AF345" s="542"/>
      <c r="AG345" s="540"/>
      <c r="AH345" s="541"/>
      <c r="AI345" s="541"/>
      <c r="AJ345" s="542"/>
      <c r="AK345" s="540"/>
      <c r="AL345" s="541"/>
      <c r="AM345" s="541"/>
      <c r="AN345" s="542"/>
      <c r="AO345" s="540"/>
      <c r="AP345" s="541"/>
      <c r="AQ345" s="541"/>
      <c r="AR345" s="542"/>
      <c r="AS345" s="540"/>
      <c r="AT345" s="541"/>
      <c r="AU345" s="541"/>
      <c r="AV345" s="542"/>
      <c r="AW345" s="540"/>
      <c r="AX345" s="541"/>
      <c r="AY345" s="541"/>
      <c r="AZ345" s="542"/>
      <c r="BG345" s="93"/>
      <c r="BH345" s="93"/>
      <c r="BI345" s="93"/>
      <c r="BJ345" s="176">
        <v>286</v>
      </c>
      <c r="BK345" s="164">
        <v>0</v>
      </c>
      <c r="BL345" s="165">
        <v>328.83</v>
      </c>
      <c r="BM345" s="165">
        <v>488.64</v>
      </c>
      <c r="BN345" s="165">
        <v>681.91</v>
      </c>
      <c r="BO345" s="165">
        <v>684.61</v>
      </c>
      <c r="BP345" s="165">
        <v>730.47</v>
      </c>
      <c r="BQ345" s="165">
        <v>608</v>
      </c>
      <c r="BR345" s="165">
        <v>739.94</v>
      </c>
      <c r="BS345" s="165">
        <v>1136.18</v>
      </c>
      <c r="BT345" s="165">
        <v>1618.3</v>
      </c>
      <c r="BU345" s="165">
        <v>1704.62</v>
      </c>
      <c r="BV345" s="165">
        <v>730.47</v>
      </c>
      <c r="BW345" s="165">
        <v>608</v>
      </c>
      <c r="BX345" s="165">
        <v>739.94</v>
      </c>
      <c r="BY345" s="165">
        <v>1136.18</v>
      </c>
      <c r="BZ345" s="165">
        <v>1618.3</v>
      </c>
      <c r="CA345" s="165">
        <v>1704.62</v>
      </c>
      <c r="CB345" s="176"/>
      <c r="CC345" s="126"/>
      <c r="CD345" s="126"/>
      <c r="CE345" s="143"/>
    </row>
    <row r="346" spans="1:83">
      <c r="A346" s="107"/>
      <c r="B346" s="107"/>
      <c r="C346" s="107"/>
      <c r="D346" s="107"/>
      <c r="E346" s="551"/>
      <c r="F346" s="552"/>
      <c r="G346" s="552"/>
      <c r="H346" s="553"/>
      <c r="I346" s="545"/>
      <c r="J346" s="546"/>
      <c r="K346" s="546"/>
      <c r="L346" s="547"/>
      <c r="M346" s="545"/>
      <c r="N346" s="546"/>
      <c r="O346" s="546"/>
      <c r="P346" s="547"/>
      <c r="Q346" s="545"/>
      <c r="R346" s="546"/>
      <c r="S346" s="546"/>
      <c r="T346" s="547"/>
      <c r="U346" s="545"/>
      <c r="V346" s="546"/>
      <c r="W346" s="546"/>
      <c r="X346" s="547"/>
      <c r="Y346" s="545"/>
      <c r="Z346" s="546"/>
      <c r="AA346" s="546"/>
      <c r="AB346" s="547"/>
      <c r="AC346" s="545"/>
      <c r="AD346" s="546"/>
      <c r="AE346" s="546"/>
      <c r="AF346" s="547"/>
      <c r="AG346" s="545"/>
      <c r="AH346" s="546"/>
      <c r="AI346" s="546"/>
      <c r="AJ346" s="547"/>
      <c r="AK346" s="545"/>
      <c r="AL346" s="546"/>
      <c r="AM346" s="546"/>
      <c r="AN346" s="547"/>
      <c r="AO346" s="545"/>
      <c r="AP346" s="546"/>
      <c r="AQ346" s="546"/>
      <c r="AR346" s="547"/>
      <c r="AS346" s="545"/>
      <c r="AT346" s="546"/>
      <c r="AU346" s="546"/>
      <c r="AV346" s="547"/>
      <c r="AW346" s="545"/>
      <c r="AX346" s="546"/>
      <c r="AY346" s="546"/>
      <c r="AZ346" s="547"/>
      <c r="BG346" s="93"/>
      <c r="BH346" s="93"/>
      <c r="BI346" s="93"/>
      <c r="BJ346" s="176">
        <v>287</v>
      </c>
      <c r="BK346" s="164">
        <v>0</v>
      </c>
      <c r="BL346" s="165">
        <v>329.99</v>
      </c>
      <c r="BM346" s="165">
        <v>490.4</v>
      </c>
      <c r="BN346" s="165">
        <v>684.35</v>
      </c>
      <c r="BO346" s="165">
        <v>687.06</v>
      </c>
      <c r="BP346" s="165">
        <v>733.09</v>
      </c>
      <c r="BQ346" s="165">
        <v>610.17999999999995</v>
      </c>
      <c r="BR346" s="165">
        <v>742.6</v>
      </c>
      <c r="BS346" s="165">
        <v>1140.32</v>
      </c>
      <c r="BT346" s="165">
        <v>1624.21</v>
      </c>
      <c r="BU346" s="165">
        <v>1710.82</v>
      </c>
      <c r="BV346" s="165">
        <v>733.09</v>
      </c>
      <c r="BW346" s="165">
        <v>610.17999999999995</v>
      </c>
      <c r="BX346" s="165">
        <v>742.6</v>
      </c>
      <c r="BY346" s="165">
        <v>1140.32</v>
      </c>
      <c r="BZ346" s="165">
        <v>1624.21</v>
      </c>
      <c r="CA346" s="165">
        <v>1710.82</v>
      </c>
      <c r="CB346" s="176"/>
      <c r="CC346" s="126"/>
      <c r="CD346" s="126"/>
      <c r="CE346" s="143"/>
    </row>
    <row r="347" spans="1:83">
      <c r="A347" s="107"/>
      <c r="B347" s="107"/>
      <c r="C347" s="107"/>
      <c r="D347" s="107"/>
      <c r="E347" s="548"/>
      <c r="F347" s="549"/>
      <c r="G347" s="549"/>
      <c r="H347" s="550"/>
      <c r="I347" s="540"/>
      <c r="J347" s="541"/>
      <c r="K347" s="541"/>
      <c r="L347" s="542"/>
      <c r="M347" s="540"/>
      <c r="N347" s="541"/>
      <c r="O347" s="541"/>
      <c r="P347" s="542"/>
      <c r="Q347" s="540"/>
      <c r="R347" s="541"/>
      <c r="S347" s="541"/>
      <c r="T347" s="542"/>
      <c r="U347" s="540"/>
      <c r="V347" s="541"/>
      <c r="W347" s="541"/>
      <c r="X347" s="542"/>
      <c r="Y347" s="540"/>
      <c r="Z347" s="541"/>
      <c r="AA347" s="541"/>
      <c r="AB347" s="542"/>
      <c r="AC347" s="540"/>
      <c r="AD347" s="541"/>
      <c r="AE347" s="541"/>
      <c r="AF347" s="542"/>
      <c r="AG347" s="540"/>
      <c r="AH347" s="541"/>
      <c r="AI347" s="541"/>
      <c r="AJ347" s="542"/>
      <c r="AK347" s="540"/>
      <c r="AL347" s="541"/>
      <c r="AM347" s="541"/>
      <c r="AN347" s="542"/>
      <c r="AO347" s="540"/>
      <c r="AP347" s="541"/>
      <c r="AQ347" s="541"/>
      <c r="AR347" s="542"/>
      <c r="AS347" s="540"/>
      <c r="AT347" s="541"/>
      <c r="AU347" s="541"/>
      <c r="AV347" s="542"/>
      <c r="AW347" s="540"/>
      <c r="AX347" s="541"/>
      <c r="AY347" s="541"/>
      <c r="AZ347" s="542"/>
      <c r="BG347" s="93"/>
      <c r="BH347" s="93"/>
      <c r="BI347" s="93"/>
      <c r="BJ347" s="176">
        <v>288</v>
      </c>
      <c r="BK347" s="164">
        <v>0</v>
      </c>
      <c r="BL347" s="165">
        <v>331.16</v>
      </c>
      <c r="BM347" s="165">
        <v>492.16</v>
      </c>
      <c r="BN347" s="165">
        <v>686.79</v>
      </c>
      <c r="BO347" s="165">
        <v>689.5</v>
      </c>
      <c r="BP347" s="165">
        <v>735.71</v>
      </c>
      <c r="BQ347" s="165">
        <v>612.36</v>
      </c>
      <c r="BR347" s="165">
        <v>745.26</v>
      </c>
      <c r="BS347" s="165">
        <v>1144.45</v>
      </c>
      <c r="BT347" s="165">
        <v>1630.12</v>
      </c>
      <c r="BU347" s="165">
        <v>1717.03</v>
      </c>
      <c r="BV347" s="165">
        <v>735.71</v>
      </c>
      <c r="BW347" s="165">
        <v>612.36</v>
      </c>
      <c r="BX347" s="165">
        <v>745.26</v>
      </c>
      <c r="BY347" s="165">
        <v>1144.45</v>
      </c>
      <c r="BZ347" s="165">
        <v>1630.12</v>
      </c>
      <c r="CA347" s="165">
        <v>1717.03</v>
      </c>
      <c r="CB347" s="176"/>
      <c r="CC347" s="126"/>
      <c r="CD347" s="126"/>
      <c r="CE347" s="143"/>
    </row>
    <row r="348" spans="1:83">
      <c r="A348" s="107"/>
      <c r="B348" s="107"/>
      <c r="C348" s="107"/>
      <c r="D348" s="107"/>
      <c r="E348" s="551"/>
      <c r="F348" s="552"/>
      <c r="G348" s="552"/>
      <c r="H348" s="553"/>
      <c r="I348" s="545"/>
      <c r="J348" s="546"/>
      <c r="K348" s="546"/>
      <c r="L348" s="547"/>
      <c r="M348" s="545"/>
      <c r="N348" s="546"/>
      <c r="O348" s="546"/>
      <c r="P348" s="547"/>
      <c r="Q348" s="545"/>
      <c r="R348" s="546"/>
      <c r="S348" s="546"/>
      <c r="T348" s="547"/>
      <c r="U348" s="545"/>
      <c r="V348" s="546"/>
      <c r="W348" s="546"/>
      <c r="X348" s="547"/>
      <c r="Y348" s="545"/>
      <c r="Z348" s="546"/>
      <c r="AA348" s="546"/>
      <c r="AB348" s="547"/>
      <c r="AC348" s="545"/>
      <c r="AD348" s="546"/>
      <c r="AE348" s="546"/>
      <c r="AF348" s="547"/>
      <c r="AG348" s="545"/>
      <c r="AH348" s="546"/>
      <c r="AI348" s="546"/>
      <c r="AJ348" s="547"/>
      <c r="AK348" s="545"/>
      <c r="AL348" s="546"/>
      <c r="AM348" s="546"/>
      <c r="AN348" s="547"/>
      <c r="AO348" s="545"/>
      <c r="AP348" s="546"/>
      <c r="AQ348" s="546"/>
      <c r="AR348" s="547"/>
      <c r="AS348" s="545"/>
      <c r="AT348" s="546"/>
      <c r="AU348" s="546"/>
      <c r="AV348" s="547"/>
      <c r="AW348" s="545"/>
      <c r="AX348" s="546"/>
      <c r="AY348" s="546"/>
      <c r="AZ348" s="547"/>
      <c r="BG348" s="93"/>
      <c r="BH348" s="93"/>
      <c r="BI348" s="93"/>
      <c r="BJ348" s="176">
        <v>289</v>
      </c>
      <c r="BK348" s="164">
        <v>0</v>
      </c>
      <c r="BL348" s="165">
        <v>332.33</v>
      </c>
      <c r="BM348" s="165">
        <v>493.92</v>
      </c>
      <c r="BN348" s="165">
        <v>689.24</v>
      </c>
      <c r="BO348" s="165">
        <v>691.94</v>
      </c>
      <c r="BP348" s="165">
        <v>738.34</v>
      </c>
      <c r="BQ348" s="165">
        <v>614.53</v>
      </c>
      <c r="BR348" s="165">
        <v>747.91</v>
      </c>
      <c r="BS348" s="165">
        <v>1148.5899999999999</v>
      </c>
      <c r="BT348" s="165">
        <v>1636.03</v>
      </c>
      <c r="BU348" s="165">
        <v>1723.24</v>
      </c>
      <c r="BV348" s="165">
        <v>738.34</v>
      </c>
      <c r="BW348" s="165">
        <v>614.53</v>
      </c>
      <c r="BX348" s="165">
        <v>747.91</v>
      </c>
      <c r="BY348" s="165">
        <v>1148.5899999999999</v>
      </c>
      <c r="BZ348" s="165">
        <v>1636.03</v>
      </c>
      <c r="CA348" s="165">
        <v>1723.24</v>
      </c>
      <c r="CB348" s="176"/>
      <c r="CC348" s="126"/>
      <c r="CD348" s="126"/>
      <c r="CE348" s="143"/>
    </row>
    <row r="349" spans="1:83">
      <c r="A349" s="107"/>
      <c r="B349" s="107"/>
      <c r="C349" s="107"/>
      <c r="D349" s="107"/>
      <c r="E349" s="548"/>
      <c r="F349" s="549"/>
      <c r="G349" s="549"/>
      <c r="H349" s="550"/>
      <c r="I349" s="540"/>
      <c r="J349" s="541"/>
      <c r="K349" s="541"/>
      <c r="L349" s="542"/>
      <c r="M349" s="540"/>
      <c r="N349" s="541"/>
      <c r="O349" s="541"/>
      <c r="P349" s="542"/>
      <c r="Q349" s="540"/>
      <c r="R349" s="541"/>
      <c r="S349" s="541"/>
      <c r="T349" s="542"/>
      <c r="U349" s="540"/>
      <c r="V349" s="541"/>
      <c r="W349" s="541"/>
      <c r="X349" s="542"/>
      <c r="Y349" s="540"/>
      <c r="Z349" s="541"/>
      <c r="AA349" s="541"/>
      <c r="AB349" s="542"/>
      <c r="AC349" s="540"/>
      <c r="AD349" s="541"/>
      <c r="AE349" s="541"/>
      <c r="AF349" s="542"/>
      <c r="AG349" s="540"/>
      <c r="AH349" s="541"/>
      <c r="AI349" s="541"/>
      <c r="AJ349" s="542"/>
      <c r="AK349" s="540"/>
      <c r="AL349" s="541"/>
      <c r="AM349" s="541"/>
      <c r="AN349" s="542"/>
      <c r="AO349" s="540"/>
      <c r="AP349" s="541"/>
      <c r="AQ349" s="541"/>
      <c r="AR349" s="542"/>
      <c r="AS349" s="540"/>
      <c r="AT349" s="541"/>
      <c r="AU349" s="541"/>
      <c r="AV349" s="542"/>
      <c r="AW349" s="540"/>
      <c r="AX349" s="541"/>
      <c r="AY349" s="541"/>
      <c r="AZ349" s="542"/>
      <c r="BG349" s="93"/>
      <c r="BH349" s="93"/>
      <c r="BI349" s="93"/>
      <c r="BJ349" s="176">
        <v>290</v>
      </c>
      <c r="BK349" s="164">
        <v>0</v>
      </c>
      <c r="BL349" s="165">
        <v>333.49</v>
      </c>
      <c r="BM349" s="165">
        <v>495.68</v>
      </c>
      <c r="BN349" s="165">
        <v>691.68</v>
      </c>
      <c r="BO349" s="165">
        <v>694.39</v>
      </c>
      <c r="BP349" s="165">
        <v>740.96</v>
      </c>
      <c r="BQ349" s="165">
        <v>616.71</v>
      </c>
      <c r="BR349" s="165">
        <v>750.57</v>
      </c>
      <c r="BS349" s="165">
        <v>1152.72</v>
      </c>
      <c r="BT349" s="165">
        <v>1641.94</v>
      </c>
      <c r="BU349" s="165">
        <v>1729.44</v>
      </c>
      <c r="BV349" s="165">
        <v>740.96</v>
      </c>
      <c r="BW349" s="165">
        <v>616.71</v>
      </c>
      <c r="BX349" s="165">
        <v>750.57</v>
      </c>
      <c r="BY349" s="165">
        <v>1152.72</v>
      </c>
      <c r="BZ349" s="165">
        <v>1641.94</v>
      </c>
      <c r="CA349" s="165">
        <v>1729.44</v>
      </c>
      <c r="CB349" s="176"/>
      <c r="CC349" s="126"/>
      <c r="CD349" s="126"/>
      <c r="CE349" s="143"/>
    </row>
    <row r="350" spans="1:83">
      <c r="A350" s="107"/>
      <c r="B350" s="107"/>
      <c r="C350" s="107"/>
      <c r="D350" s="107"/>
      <c r="E350" s="551"/>
      <c r="F350" s="552"/>
      <c r="G350" s="552"/>
      <c r="H350" s="553"/>
      <c r="I350" s="545"/>
      <c r="J350" s="546"/>
      <c r="K350" s="546"/>
      <c r="L350" s="547"/>
      <c r="M350" s="545"/>
      <c r="N350" s="546"/>
      <c r="O350" s="546"/>
      <c r="P350" s="547"/>
      <c r="Q350" s="545"/>
      <c r="R350" s="546"/>
      <c r="S350" s="546"/>
      <c r="T350" s="547"/>
      <c r="U350" s="545"/>
      <c r="V350" s="546"/>
      <c r="W350" s="546"/>
      <c r="X350" s="547"/>
      <c r="Y350" s="545"/>
      <c r="Z350" s="546"/>
      <c r="AA350" s="546"/>
      <c r="AB350" s="547"/>
      <c r="AC350" s="545"/>
      <c r="AD350" s="546"/>
      <c r="AE350" s="546"/>
      <c r="AF350" s="547"/>
      <c r="AG350" s="545"/>
      <c r="AH350" s="546"/>
      <c r="AI350" s="546"/>
      <c r="AJ350" s="547"/>
      <c r="AK350" s="545"/>
      <c r="AL350" s="546"/>
      <c r="AM350" s="546"/>
      <c r="AN350" s="547"/>
      <c r="AO350" s="545"/>
      <c r="AP350" s="546"/>
      <c r="AQ350" s="546"/>
      <c r="AR350" s="547"/>
      <c r="AS350" s="545"/>
      <c r="AT350" s="546"/>
      <c r="AU350" s="546"/>
      <c r="AV350" s="547"/>
      <c r="AW350" s="545"/>
      <c r="AX350" s="546"/>
      <c r="AY350" s="546"/>
      <c r="AZ350" s="547"/>
      <c r="BG350" s="93"/>
      <c r="BH350" s="93"/>
      <c r="BI350" s="93"/>
      <c r="BJ350" s="176">
        <v>291</v>
      </c>
      <c r="BK350" s="164">
        <v>0</v>
      </c>
      <c r="BL350" s="165">
        <v>334.66</v>
      </c>
      <c r="BM350" s="165">
        <v>497.44</v>
      </c>
      <c r="BN350" s="165">
        <v>694.12</v>
      </c>
      <c r="BO350" s="165">
        <v>696.83</v>
      </c>
      <c r="BP350" s="165">
        <v>743.58</v>
      </c>
      <c r="BQ350" s="165">
        <v>618.89</v>
      </c>
      <c r="BR350" s="165">
        <v>753.23</v>
      </c>
      <c r="BS350" s="165">
        <v>1156.8599999999999</v>
      </c>
      <c r="BT350" s="165">
        <v>1647.84</v>
      </c>
      <c r="BU350" s="165">
        <v>1735.65</v>
      </c>
      <c r="BV350" s="165">
        <v>743.58</v>
      </c>
      <c r="BW350" s="165">
        <v>618.89</v>
      </c>
      <c r="BX350" s="165">
        <v>753.23</v>
      </c>
      <c r="BY350" s="165">
        <v>1156.8599999999999</v>
      </c>
      <c r="BZ350" s="165">
        <v>1647.84</v>
      </c>
      <c r="CA350" s="165">
        <v>1735.65</v>
      </c>
      <c r="CB350" s="176"/>
      <c r="CC350" s="126"/>
      <c r="CD350" s="126"/>
      <c r="CE350" s="143"/>
    </row>
    <row r="351" spans="1:83">
      <c r="A351" s="107"/>
      <c r="B351" s="107"/>
      <c r="C351" s="107"/>
      <c r="D351" s="107"/>
      <c r="E351" s="548"/>
      <c r="F351" s="549"/>
      <c r="G351" s="549"/>
      <c r="H351" s="550"/>
      <c r="I351" s="540"/>
      <c r="J351" s="541"/>
      <c r="K351" s="541"/>
      <c r="L351" s="542"/>
      <c r="M351" s="540"/>
      <c r="N351" s="541"/>
      <c r="O351" s="541"/>
      <c r="P351" s="542"/>
      <c r="Q351" s="540"/>
      <c r="R351" s="541"/>
      <c r="S351" s="541"/>
      <c r="T351" s="542"/>
      <c r="U351" s="540"/>
      <c r="V351" s="541"/>
      <c r="W351" s="541"/>
      <c r="X351" s="542"/>
      <c r="Y351" s="540"/>
      <c r="Z351" s="541"/>
      <c r="AA351" s="541"/>
      <c r="AB351" s="542"/>
      <c r="AC351" s="540"/>
      <c r="AD351" s="541"/>
      <c r="AE351" s="541"/>
      <c r="AF351" s="542"/>
      <c r="AG351" s="540"/>
      <c r="AH351" s="541"/>
      <c r="AI351" s="541"/>
      <c r="AJ351" s="542"/>
      <c r="AK351" s="540"/>
      <c r="AL351" s="541"/>
      <c r="AM351" s="541"/>
      <c r="AN351" s="542"/>
      <c r="AO351" s="540"/>
      <c r="AP351" s="541"/>
      <c r="AQ351" s="541"/>
      <c r="AR351" s="542"/>
      <c r="AS351" s="540"/>
      <c r="AT351" s="541"/>
      <c r="AU351" s="541"/>
      <c r="AV351" s="542"/>
      <c r="AW351" s="540"/>
      <c r="AX351" s="541"/>
      <c r="AY351" s="541"/>
      <c r="AZ351" s="542"/>
      <c r="BG351" s="93"/>
      <c r="BH351" s="93"/>
      <c r="BI351" s="93"/>
      <c r="BJ351" s="176">
        <v>292</v>
      </c>
      <c r="BK351" s="164">
        <v>0</v>
      </c>
      <c r="BL351" s="165">
        <v>335.82</v>
      </c>
      <c r="BM351" s="165">
        <v>499.2</v>
      </c>
      <c r="BN351" s="165">
        <v>696.57</v>
      </c>
      <c r="BO351" s="165">
        <v>699.27</v>
      </c>
      <c r="BP351" s="165">
        <v>746.21</v>
      </c>
      <c r="BQ351" s="165">
        <v>621.05999999999995</v>
      </c>
      <c r="BR351" s="165">
        <v>755.89</v>
      </c>
      <c r="BS351" s="165">
        <v>1161</v>
      </c>
      <c r="BT351" s="165">
        <v>1653.75</v>
      </c>
      <c r="BU351" s="165">
        <v>1741.86</v>
      </c>
      <c r="BV351" s="165">
        <v>746.21</v>
      </c>
      <c r="BW351" s="165">
        <v>621.05999999999995</v>
      </c>
      <c r="BX351" s="165">
        <v>755.89</v>
      </c>
      <c r="BY351" s="165">
        <v>1161</v>
      </c>
      <c r="BZ351" s="165">
        <v>1653.75</v>
      </c>
      <c r="CA351" s="165">
        <v>1741.86</v>
      </c>
      <c r="CB351" s="176"/>
      <c r="CC351" s="126"/>
      <c r="CD351" s="126"/>
      <c r="CE351" s="143"/>
    </row>
    <row r="352" spans="1:83">
      <c r="A352" s="107"/>
      <c r="B352" s="107"/>
      <c r="C352" s="107"/>
      <c r="D352" s="107"/>
      <c r="E352" s="551"/>
      <c r="F352" s="552"/>
      <c r="G352" s="552"/>
      <c r="H352" s="553"/>
      <c r="I352" s="545"/>
      <c r="J352" s="546"/>
      <c r="K352" s="546"/>
      <c r="L352" s="547"/>
      <c r="M352" s="545"/>
      <c r="N352" s="546"/>
      <c r="O352" s="546"/>
      <c r="P352" s="547"/>
      <c r="Q352" s="545"/>
      <c r="R352" s="546"/>
      <c r="S352" s="546"/>
      <c r="T352" s="547"/>
      <c r="U352" s="545"/>
      <c r="V352" s="546"/>
      <c r="W352" s="546"/>
      <c r="X352" s="547"/>
      <c r="Y352" s="545"/>
      <c r="Z352" s="546"/>
      <c r="AA352" s="546"/>
      <c r="AB352" s="547"/>
      <c r="AC352" s="545"/>
      <c r="AD352" s="546"/>
      <c r="AE352" s="546"/>
      <c r="AF352" s="547"/>
      <c r="AG352" s="545"/>
      <c r="AH352" s="546"/>
      <c r="AI352" s="546"/>
      <c r="AJ352" s="547"/>
      <c r="AK352" s="545"/>
      <c r="AL352" s="546"/>
      <c r="AM352" s="546"/>
      <c r="AN352" s="547"/>
      <c r="AO352" s="545"/>
      <c r="AP352" s="546"/>
      <c r="AQ352" s="546"/>
      <c r="AR352" s="547"/>
      <c r="AS352" s="545"/>
      <c r="AT352" s="546"/>
      <c r="AU352" s="546"/>
      <c r="AV352" s="547"/>
      <c r="AW352" s="545"/>
      <c r="AX352" s="546"/>
      <c r="AY352" s="546"/>
      <c r="AZ352" s="547"/>
      <c r="BG352" s="93"/>
      <c r="BH352" s="93"/>
      <c r="BI352" s="93"/>
      <c r="BJ352" s="176">
        <v>293</v>
      </c>
      <c r="BK352" s="164">
        <v>0</v>
      </c>
      <c r="BL352" s="165">
        <v>336.99</v>
      </c>
      <c r="BM352" s="165">
        <v>500.95</v>
      </c>
      <c r="BN352" s="165">
        <v>699.01</v>
      </c>
      <c r="BO352" s="165">
        <v>701.72</v>
      </c>
      <c r="BP352" s="165">
        <v>748.83</v>
      </c>
      <c r="BQ352" s="165">
        <v>623.24</v>
      </c>
      <c r="BR352" s="165">
        <v>758.55</v>
      </c>
      <c r="BS352" s="165">
        <v>1165.1300000000001</v>
      </c>
      <c r="BT352" s="165">
        <v>1659.66</v>
      </c>
      <c r="BU352" s="165">
        <v>1748.06</v>
      </c>
      <c r="BV352" s="165">
        <v>748.83</v>
      </c>
      <c r="BW352" s="165">
        <v>623.24</v>
      </c>
      <c r="BX352" s="165">
        <v>758.55</v>
      </c>
      <c r="BY352" s="165">
        <v>1165.1300000000001</v>
      </c>
      <c r="BZ352" s="165">
        <v>1659.66</v>
      </c>
      <c r="CA352" s="165">
        <v>1748.06</v>
      </c>
      <c r="CB352" s="176"/>
      <c r="CC352" s="126"/>
      <c r="CD352" s="126"/>
      <c r="CE352" s="143"/>
    </row>
    <row r="353" spans="1:83">
      <c r="A353" s="107"/>
      <c r="B353" s="107"/>
      <c r="C353" s="107"/>
      <c r="D353" s="107"/>
      <c r="E353" s="548"/>
      <c r="F353" s="549"/>
      <c r="G353" s="549"/>
      <c r="H353" s="550"/>
      <c r="I353" s="540"/>
      <c r="J353" s="541"/>
      <c r="K353" s="541"/>
      <c r="L353" s="542"/>
      <c r="M353" s="540"/>
      <c r="N353" s="541"/>
      <c r="O353" s="541"/>
      <c r="P353" s="542"/>
      <c r="Q353" s="540"/>
      <c r="R353" s="541"/>
      <c r="S353" s="541"/>
      <c r="T353" s="542"/>
      <c r="U353" s="540"/>
      <c r="V353" s="541"/>
      <c r="W353" s="541"/>
      <c r="X353" s="542"/>
      <c r="Y353" s="540"/>
      <c r="Z353" s="541"/>
      <c r="AA353" s="541"/>
      <c r="AB353" s="542"/>
      <c r="AC353" s="540"/>
      <c r="AD353" s="541"/>
      <c r="AE353" s="541"/>
      <c r="AF353" s="542"/>
      <c r="AG353" s="540"/>
      <c r="AH353" s="541"/>
      <c r="AI353" s="541"/>
      <c r="AJ353" s="542"/>
      <c r="AK353" s="540"/>
      <c r="AL353" s="541"/>
      <c r="AM353" s="541"/>
      <c r="AN353" s="542"/>
      <c r="AO353" s="540"/>
      <c r="AP353" s="541"/>
      <c r="AQ353" s="541"/>
      <c r="AR353" s="542"/>
      <c r="AS353" s="540"/>
      <c r="AT353" s="541"/>
      <c r="AU353" s="541"/>
      <c r="AV353" s="542"/>
      <c r="AW353" s="540"/>
      <c r="AX353" s="541"/>
      <c r="AY353" s="541"/>
      <c r="AZ353" s="542"/>
      <c r="BG353" s="93"/>
      <c r="BH353" s="93"/>
      <c r="BI353" s="93"/>
      <c r="BJ353" s="176">
        <v>294</v>
      </c>
      <c r="BK353" s="164">
        <v>0</v>
      </c>
      <c r="BL353" s="165">
        <v>338.16</v>
      </c>
      <c r="BM353" s="165">
        <v>502.71</v>
      </c>
      <c r="BN353" s="165">
        <v>701.45</v>
      </c>
      <c r="BO353" s="165">
        <v>704.16</v>
      </c>
      <c r="BP353" s="165">
        <v>751.45</v>
      </c>
      <c r="BQ353" s="165">
        <v>625.41999999999996</v>
      </c>
      <c r="BR353" s="165">
        <v>761.21</v>
      </c>
      <c r="BS353" s="165">
        <v>1169.27</v>
      </c>
      <c r="BT353" s="165">
        <v>1665.57</v>
      </c>
      <c r="BU353" s="165">
        <v>1754.27</v>
      </c>
      <c r="BV353" s="165">
        <v>751.45</v>
      </c>
      <c r="BW353" s="165">
        <v>625.41999999999996</v>
      </c>
      <c r="BX353" s="165">
        <v>761.21</v>
      </c>
      <c r="BY353" s="165">
        <v>1169.27</v>
      </c>
      <c r="BZ353" s="165">
        <v>1665.57</v>
      </c>
      <c r="CA353" s="165">
        <v>1754.27</v>
      </c>
      <c r="CB353" s="176"/>
      <c r="CC353" s="126"/>
      <c r="CD353" s="126"/>
      <c r="CE353" s="143"/>
    </row>
    <row r="354" spans="1:83">
      <c r="A354" s="107"/>
      <c r="B354" s="107"/>
      <c r="C354" s="107"/>
      <c r="D354" s="107"/>
      <c r="E354" s="551"/>
      <c r="F354" s="552"/>
      <c r="G354" s="552"/>
      <c r="H354" s="553"/>
      <c r="I354" s="545"/>
      <c r="J354" s="546"/>
      <c r="K354" s="546"/>
      <c r="L354" s="547"/>
      <c r="M354" s="545"/>
      <c r="N354" s="546"/>
      <c r="O354" s="546"/>
      <c r="P354" s="547"/>
      <c r="Q354" s="545"/>
      <c r="R354" s="546"/>
      <c r="S354" s="546"/>
      <c r="T354" s="547"/>
      <c r="U354" s="545"/>
      <c r="V354" s="546"/>
      <c r="W354" s="546"/>
      <c r="X354" s="547"/>
      <c r="Y354" s="545"/>
      <c r="Z354" s="546"/>
      <c r="AA354" s="546"/>
      <c r="AB354" s="547"/>
      <c r="AC354" s="545"/>
      <c r="AD354" s="546"/>
      <c r="AE354" s="546"/>
      <c r="AF354" s="547"/>
      <c r="AG354" s="545"/>
      <c r="AH354" s="546"/>
      <c r="AI354" s="546"/>
      <c r="AJ354" s="547"/>
      <c r="AK354" s="545"/>
      <c r="AL354" s="546"/>
      <c r="AM354" s="546"/>
      <c r="AN354" s="547"/>
      <c r="AO354" s="545"/>
      <c r="AP354" s="546"/>
      <c r="AQ354" s="546"/>
      <c r="AR354" s="547"/>
      <c r="AS354" s="545"/>
      <c r="AT354" s="546"/>
      <c r="AU354" s="546"/>
      <c r="AV354" s="547"/>
      <c r="AW354" s="545"/>
      <c r="AX354" s="546"/>
      <c r="AY354" s="546"/>
      <c r="AZ354" s="547"/>
      <c r="BG354" s="93"/>
      <c r="BH354" s="93"/>
      <c r="BI354" s="93"/>
      <c r="BJ354" s="176">
        <v>295</v>
      </c>
      <c r="BK354" s="164">
        <v>0</v>
      </c>
      <c r="BL354" s="165">
        <v>339.32</v>
      </c>
      <c r="BM354" s="165">
        <v>504.47</v>
      </c>
      <c r="BN354" s="165">
        <v>703.9</v>
      </c>
      <c r="BO354" s="165">
        <v>706.6</v>
      </c>
      <c r="BP354" s="165">
        <v>754.08</v>
      </c>
      <c r="BQ354" s="165">
        <v>627.59</v>
      </c>
      <c r="BR354" s="165">
        <v>763.87</v>
      </c>
      <c r="BS354" s="165">
        <v>1173.4000000000001</v>
      </c>
      <c r="BT354" s="165">
        <v>1671.48</v>
      </c>
      <c r="BU354" s="165">
        <v>1760.47</v>
      </c>
      <c r="BV354" s="165">
        <v>754.08</v>
      </c>
      <c r="BW354" s="165">
        <v>627.59</v>
      </c>
      <c r="BX354" s="165">
        <v>763.87</v>
      </c>
      <c r="BY354" s="165">
        <v>1173.4000000000001</v>
      </c>
      <c r="BZ354" s="165">
        <v>1671.48</v>
      </c>
      <c r="CA354" s="165">
        <v>1760.47</v>
      </c>
      <c r="CB354" s="176"/>
      <c r="CC354" s="126"/>
      <c r="CD354" s="126"/>
      <c r="CE354" s="143"/>
    </row>
    <row r="355" spans="1:83">
      <c r="A355" s="107"/>
      <c r="B355" s="107"/>
      <c r="C355" s="107"/>
      <c r="D355" s="107"/>
      <c r="E355" s="548"/>
      <c r="F355" s="549"/>
      <c r="G355" s="549"/>
      <c r="H355" s="550"/>
      <c r="I355" s="540"/>
      <c r="J355" s="541"/>
      <c r="K355" s="541"/>
      <c r="L355" s="542"/>
      <c r="M355" s="540"/>
      <c r="N355" s="541"/>
      <c r="O355" s="541"/>
      <c r="P355" s="542"/>
      <c r="Q355" s="540"/>
      <c r="R355" s="541"/>
      <c r="S355" s="541"/>
      <c r="T355" s="542"/>
      <c r="U355" s="540"/>
      <c r="V355" s="541"/>
      <c r="W355" s="541"/>
      <c r="X355" s="542"/>
      <c r="Y355" s="540"/>
      <c r="Z355" s="541"/>
      <c r="AA355" s="541"/>
      <c r="AB355" s="542"/>
      <c r="AC355" s="540"/>
      <c r="AD355" s="541"/>
      <c r="AE355" s="541"/>
      <c r="AF355" s="542"/>
      <c r="AG355" s="540"/>
      <c r="AH355" s="541"/>
      <c r="AI355" s="541"/>
      <c r="AJ355" s="542"/>
      <c r="AK355" s="540"/>
      <c r="AL355" s="541"/>
      <c r="AM355" s="541"/>
      <c r="AN355" s="542"/>
      <c r="AO355" s="540"/>
      <c r="AP355" s="541"/>
      <c r="AQ355" s="541"/>
      <c r="AR355" s="542"/>
      <c r="AS355" s="540"/>
      <c r="AT355" s="541"/>
      <c r="AU355" s="541"/>
      <c r="AV355" s="542"/>
      <c r="AW355" s="540"/>
      <c r="AX355" s="541"/>
      <c r="AY355" s="541"/>
      <c r="AZ355" s="542"/>
      <c r="BG355" s="93"/>
      <c r="BH355" s="93"/>
      <c r="BI355" s="93"/>
      <c r="BJ355" s="176">
        <v>296</v>
      </c>
      <c r="BK355" s="164">
        <v>0</v>
      </c>
      <c r="BL355" s="165">
        <v>340.49</v>
      </c>
      <c r="BM355" s="165">
        <v>506.23</v>
      </c>
      <c r="BN355" s="165">
        <v>706.34</v>
      </c>
      <c r="BO355" s="165">
        <v>709.05</v>
      </c>
      <c r="BP355" s="165">
        <v>756.7</v>
      </c>
      <c r="BQ355" s="165">
        <v>629.77</v>
      </c>
      <c r="BR355" s="165">
        <v>766.53</v>
      </c>
      <c r="BS355" s="165">
        <v>1177.54</v>
      </c>
      <c r="BT355" s="165">
        <v>1677.39</v>
      </c>
      <c r="BU355" s="165">
        <v>1766.68</v>
      </c>
      <c r="BV355" s="165">
        <v>756.7</v>
      </c>
      <c r="BW355" s="165">
        <v>629.77</v>
      </c>
      <c r="BX355" s="165">
        <v>766.53</v>
      </c>
      <c r="BY355" s="165">
        <v>1177.54</v>
      </c>
      <c r="BZ355" s="165">
        <v>1677.39</v>
      </c>
      <c r="CA355" s="165">
        <v>1766.68</v>
      </c>
      <c r="CB355" s="176"/>
      <c r="CC355" s="126"/>
      <c r="CD355" s="126"/>
      <c r="CE355" s="143"/>
    </row>
    <row r="356" spans="1:83">
      <c r="A356" s="107"/>
      <c r="B356" s="107"/>
      <c r="C356" s="107"/>
      <c r="D356" s="107"/>
      <c r="E356" s="551"/>
      <c r="F356" s="552"/>
      <c r="G356" s="552"/>
      <c r="H356" s="553"/>
      <c r="I356" s="545"/>
      <c r="J356" s="546"/>
      <c r="K356" s="546"/>
      <c r="L356" s="547"/>
      <c r="M356" s="545"/>
      <c r="N356" s="546"/>
      <c r="O356" s="546"/>
      <c r="P356" s="547"/>
      <c r="Q356" s="545"/>
      <c r="R356" s="546"/>
      <c r="S356" s="546"/>
      <c r="T356" s="547"/>
      <c r="U356" s="545"/>
      <c r="V356" s="546"/>
      <c r="W356" s="546"/>
      <c r="X356" s="547"/>
      <c r="Y356" s="545"/>
      <c r="Z356" s="546"/>
      <c r="AA356" s="546"/>
      <c r="AB356" s="547"/>
      <c r="AC356" s="545"/>
      <c r="AD356" s="546"/>
      <c r="AE356" s="546"/>
      <c r="AF356" s="547"/>
      <c r="AG356" s="545"/>
      <c r="AH356" s="546"/>
      <c r="AI356" s="546"/>
      <c r="AJ356" s="547"/>
      <c r="AK356" s="545"/>
      <c r="AL356" s="546"/>
      <c r="AM356" s="546"/>
      <c r="AN356" s="547"/>
      <c r="AO356" s="545"/>
      <c r="AP356" s="546"/>
      <c r="AQ356" s="546"/>
      <c r="AR356" s="547"/>
      <c r="AS356" s="545"/>
      <c r="AT356" s="546"/>
      <c r="AU356" s="546"/>
      <c r="AV356" s="547"/>
      <c r="AW356" s="545"/>
      <c r="AX356" s="546"/>
      <c r="AY356" s="546"/>
      <c r="AZ356" s="547"/>
      <c r="BG356" s="93"/>
      <c r="BH356" s="93"/>
      <c r="BI356" s="93"/>
      <c r="BJ356" s="176">
        <v>297</v>
      </c>
      <c r="BK356" s="164">
        <v>0</v>
      </c>
      <c r="BL356" s="165">
        <v>341.66</v>
      </c>
      <c r="BM356" s="165">
        <v>507.99</v>
      </c>
      <c r="BN356" s="165">
        <v>708.78</v>
      </c>
      <c r="BO356" s="165">
        <v>711.49</v>
      </c>
      <c r="BP356" s="165">
        <v>759.32</v>
      </c>
      <c r="BQ356" s="165">
        <v>631.95000000000005</v>
      </c>
      <c r="BR356" s="165">
        <v>769.19</v>
      </c>
      <c r="BS356" s="165">
        <v>1181.67</v>
      </c>
      <c r="BT356" s="165">
        <v>1683.3</v>
      </c>
      <c r="BU356" s="165">
        <v>1772.89</v>
      </c>
      <c r="BV356" s="165">
        <v>759.32</v>
      </c>
      <c r="BW356" s="165">
        <v>631.95000000000005</v>
      </c>
      <c r="BX356" s="165">
        <v>769.19</v>
      </c>
      <c r="BY356" s="165">
        <v>1181.67</v>
      </c>
      <c r="BZ356" s="165">
        <v>1683.3</v>
      </c>
      <c r="CA356" s="165">
        <v>1772.89</v>
      </c>
      <c r="CB356" s="176"/>
      <c r="CC356" s="126"/>
      <c r="CD356" s="126"/>
      <c r="CE356" s="143"/>
    </row>
    <row r="357" spans="1:83">
      <c r="A357" s="107"/>
      <c r="B357" s="107"/>
      <c r="C357" s="107"/>
      <c r="D357" s="107"/>
      <c r="E357" s="548"/>
      <c r="F357" s="549"/>
      <c r="G357" s="549"/>
      <c r="H357" s="550"/>
      <c r="I357" s="540"/>
      <c r="J357" s="541"/>
      <c r="K357" s="541"/>
      <c r="L357" s="542"/>
      <c r="M357" s="540"/>
      <c r="N357" s="541"/>
      <c r="O357" s="541"/>
      <c r="P357" s="542"/>
      <c r="Q357" s="540"/>
      <c r="R357" s="541"/>
      <c r="S357" s="541"/>
      <c r="T357" s="542"/>
      <c r="U357" s="540"/>
      <c r="V357" s="541"/>
      <c r="W357" s="541"/>
      <c r="X357" s="542"/>
      <c r="Y357" s="540"/>
      <c r="Z357" s="541"/>
      <c r="AA357" s="541"/>
      <c r="AB357" s="542"/>
      <c r="AC357" s="540"/>
      <c r="AD357" s="541"/>
      <c r="AE357" s="541"/>
      <c r="AF357" s="542"/>
      <c r="AG357" s="540"/>
      <c r="AH357" s="541"/>
      <c r="AI357" s="541"/>
      <c r="AJ357" s="542"/>
      <c r="AK357" s="540"/>
      <c r="AL357" s="541"/>
      <c r="AM357" s="541"/>
      <c r="AN357" s="542"/>
      <c r="AO357" s="540"/>
      <c r="AP357" s="541"/>
      <c r="AQ357" s="541"/>
      <c r="AR357" s="542"/>
      <c r="AS357" s="540"/>
      <c r="AT357" s="541"/>
      <c r="AU357" s="541"/>
      <c r="AV357" s="542"/>
      <c r="AW357" s="540"/>
      <c r="AX357" s="541"/>
      <c r="AY357" s="541"/>
      <c r="AZ357" s="542"/>
      <c r="BG357" s="93"/>
      <c r="BH357" s="93"/>
      <c r="BI357" s="93"/>
      <c r="BJ357" s="176">
        <v>298</v>
      </c>
      <c r="BK357" s="164">
        <v>0</v>
      </c>
      <c r="BL357" s="165">
        <v>342.82</v>
      </c>
      <c r="BM357" s="165">
        <v>509.75</v>
      </c>
      <c r="BN357" s="165">
        <v>711.23</v>
      </c>
      <c r="BO357" s="165">
        <v>713.93</v>
      </c>
      <c r="BP357" s="165">
        <v>761.94</v>
      </c>
      <c r="BQ357" s="165">
        <v>634.12</v>
      </c>
      <c r="BR357" s="165">
        <v>771.85</v>
      </c>
      <c r="BS357" s="165">
        <v>1185.81</v>
      </c>
      <c r="BT357" s="165">
        <v>1689.21</v>
      </c>
      <c r="BU357" s="165">
        <v>1779.09</v>
      </c>
      <c r="BV357" s="165">
        <v>761.94</v>
      </c>
      <c r="BW357" s="165">
        <v>634.12</v>
      </c>
      <c r="BX357" s="165">
        <v>771.85</v>
      </c>
      <c r="BY357" s="165">
        <v>1185.81</v>
      </c>
      <c r="BZ357" s="165">
        <v>1689.21</v>
      </c>
      <c r="CA357" s="165">
        <v>1779.09</v>
      </c>
      <c r="CB357" s="176"/>
      <c r="CC357" s="126"/>
      <c r="CD357" s="126"/>
      <c r="CE357" s="143"/>
    </row>
    <row r="358" spans="1:83">
      <c r="A358" s="107"/>
      <c r="B358" s="107"/>
      <c r="C358" s="107"/>
      <c r="D358" s="107"/>
      <c r="E358" s="551"/>
      <c r="F358" s="552"/>
      <c r="G358" s="552"/>
      <c r="H358" s="553"/>
      <c r="I358" s="545"/>
      <c r="J358" s="546"/>
      <c r="K358" s="546"/>
      <c r="L358" s="547"/>
      <c r="M358" s="545"/>
      <c r="N358" s="546"/>
      <c r="O358" s="546"/>
      <c r="P358" s="547"/>
      <c r="Q358" s="545"/>
      <c r="R358" s="546"/>
      <c r="S358" s="546"/>
      <c r="T358" s="547"/>
      <c r="U358" s="545"/>
      <c r="V358" s="546"/>
      <c r="W358" s="546"/>
      <c r="X358" s="547"/>
      <c r="Y358" s="545"/>
      <c r="Z358" s="546"/>
      <c r="AA358" s="546"/>
      <c r="AB358" s="547"/>
      <c r="AC358" s="545"/>
      <c r="AD358" s="546"/>
      <c r="AE358" s="546"/>
      <c r="AF358" s="547"/>
      <c r="AG358" s="545"/>
      <c r="AH358" s="546"/>
      <c r="AI358" s="546"/>
      <c r="AJ358" s="547"/>
      <c r="AK358" s="545"/>
      <c r="AL358" s="546"/>
      <c r="AM358" s="546"/>
      <c r="AN358" s="547"/>
      <c r="AO358" s="545"/>
      <c r="AP358" s="546"/>
      <c r="AQ358" s="546"/>
      <c r="AR358" s="547"/>
      <c r="AS358" s="545"/>
      <c r="AT358" s="546"/>
      <c r="AU358" s="546"/>
      <c r="AV358" s="547"/>
      <c r="AW358" s="545"/>
      <c r="AX358" s="546"/>
      <c r="AY358" s="546"/>
      <c r="AZ358" s="547"/>
      <c r="BG358" s="93"/>
      <c r="BH358" s="93"/>
      <c r="BI358" s="93"/>
      <c r="BJ358" s="176">
        <v>299</v>
      </c>
      <c r="BK358" s="164">
        <v>0</v>
      </c>
      <c r="BL358" s="165">
        <v>343.99</v>
      </c>
      <c r="BM358" s="165">
        <v>511.51</v>
      </c>
      <c r="BN358" s="165">
        <v>713.67</v>
      </c>
      <c r="BO358" s="165">
        <v>716.38</v>
      </c>
      <c r="BP358" s="165">
        <v>764.57</v>
      </c>
      <c r="BQ358" s="165">
        <v>636.29999999999995</v>
      </c>
      <c r="BR358" s="165">
        <v>774.51</v>
      </c>
      <c r="BS358" s="165">
        <v>1189.94</v>
      </c>
      <c r="BT358" s="165">
        <v>1695.12</v>
      </c>
      <c r="BU358" s="165">
        <v>1785.3</v>
      </c>
      <c r="BV358" s="165">
        <v>764.57</v>
      </c>
      <c r="BW358" s="165">
        <v>636.29999999999995</v>
      </c>
      <c r="BX358" s="165">
        <v>774.51</v>
      </c>
      <c r="BY358" s="165">
        <v>1189.94</v>
      </c>
      <c r="BZ358" s="165">
        <v>1695.12</v>
      </c>
      <c r="CA358" s="165">
        <v>1785.3</v>
      </c>
      <c r="CB358" s="176"/>
      <c r="CC358" s="126"/>
      <c r="CD358" s="126"/>
      <c r="CE358" s="143"/>
    </row>
    <row r="359" spans="1:83">
      <c r="A359" s="107"/>
      <c r="B359" s="107"/>
      <c r="C359" s="107"/>
      <c r="D359" s="107"/>
      <c r="E359" s="548"/>
      <c r="F359" s="549"/>
      <c r="G359" s="549"/>
      <c r="H359" s="550"/>
      <c r="I359" s="540"/>
      <c r="J359" s="541"/>
      <c r="K359" s="541"/>
      <c r="L359" s="542"/>
      <c r="M359" s="540"/>
      <c r="N359" s="541"/>
      <c r="O359" s="541"/>
      <c r="P359" s="542"/>
      <c r="Q359" s="540"/>
      <c r="R359" s="541"/>
      <c r="S359" s="541"/>
      <c r="T359" s="542"/>
      <c r="U359" s="540"/>
      <c r="V359" s="541"/>
      <c r="W359" s="541"/>
      <c r="X359" s="542"/>
      <c r="Y359" s="540"/>
      <c r="Z359" s="541"/>
      <c r="AA359" s="541"/>
      <c r="AB359" s="542"/>
      <c r="AC359" s="540"/>
      <c r="AD359" s="541"/>
      <c r="AE359" s="541"/>
      <c r="AF359" s="542"/>
      <c r="AG359" s="540"/>
      <c r="AH359" s="541"/>
      <c r="AI359" s="541"/>
      <c r="AJ359" s="542"/>
      <c r="AK359" s="540"/>
      <c r="AL359" s="541"/>
      <c r="AM359" s="541"/>
      <c r="AN359" s="542"/>
      <c r="AO359" s="540"/>
      <c r="AP359" s="541"/>
      <c r="AQ359" s="541"/>
      <c r="AR359" s="542"/>
      <c r="AS359" s="540"/>
      <c r="AT359" s="541"/>
      <c r="AU359" s="541"/>
      <c r="AV359" s="542"/>
      <c r="AW359" s="540"/>
      <c r="AX359" s="541"/>
      <c r="AY359" s="541"/>
      <c r="AZ359" s="542"/>
      <c r="BG359" s="93"/>
      <c r="BH359" s="93"/>
      <c r="BI359" s="93"/>
      <c r="BJ359" s="176">
        <v>300</v>
      </c>
      <c r="BK359" s="164">
        <v>0</v>
      </c>
      <c r="BL359" s="165">
        <v>345.16</v>
      </c>
      <c r="BM359" s="165">
        <v>513.27</v>
      </c>
      <c r="BN359" s="165">
        <v>716.11</v>
      </c>
      <c r="BO359" s="165">
        <v>718.82</v>
      </c>
      <c r="BP359" s="165">
        <v>767.19</v>
      </c>
      <c r="BQ359" s="165">
        <v>638.48</v>
      </c>
      <c r="BR359" s="165">
        <v>777.17</v>
      </c>
      <c r="BS359" s="165">
        <v>1194.08</v>
      </c>
      <c r="BT359" s="165">
        <v>1701.02</v>
      </c>
      <c r="BU359" s="165">
        <v>1791.51</v>
      </c>
      <c r="BV359" s="165">
        <v>767.19</v>
      </c>
      <c r="BW359" s="165">
        <v>638.48</v>
      </c>
      <c r="BX359" s="165">
        <v>777.17</v>
      </c>
      <c r="BY359" s="165">
        <v>1194.08</v>
      </c>
      <c r="BZ359" s="165">
        <v>1701.02</v>
      </c>
      <c r="CA359" s="165">
        <v>1791.51</v>
      </c>
      <c r="CB359" s="176"/>
      <c r="CC359" s="126"/>
      <c r="CD359" s="126"/>
      <c r="CE359" s="143"/>
    </row>
    <row r="360" spans="1:83">
      <c r="A360" s="107"/>
      <c r="B360" s="107"/>
      <c r="C360" s="107"/>
      <c r="D360" s="107"/>
      <c r="E360" s="551"/>
      <c r="F360" s="552"/>
      <c r="G360" s="552"/>
      <c r="H360" s="553"/>
      <c r="I360" s="545"/>
      <c r="J360" s="546"/>
      <c r="K360" s="546"/>
      <c r="L360" s="547"/>
      <c r="M360" s="545"/>
      <c r="N360" s="546"/>
      <c r="O360" s="546"/>
      <c r="P360" s="547"/>
      <c r="Q360" s="545"/>
      <c r="R360" s="546"/>
      <c r="S360" s="546"/>
      <c r="T360" s="547"/>
      <c r="U360" s="545"/>
      <c r="V360" s="546"/>
      <c r="W360" s="546"/>
      <c r="X360" s="547"/>
      <c r="Y360" s="545"/>
      <c r="Z360" s="546"/>
      <c r="AA360" s="546"/>
      <c r="AB360" s="547"/>
      <c r="AC360" s="545"/>
      <c r="AD360" s="546"/>
      <c r="AE360" s="546"/>
      <c r="AF360" s="547"/>
      <c r="AG360" s="545"/>
      <c r="AH360" s="546"/>
      <c r="AI360" s="546"/>
      <c r="AJ360" s="547"/>
      <c r="AK360" s="545"/>
      <c r="AL360" s="546"/>
      <c r="AM360" s="546"/>
      <c r="AN360" s="547"/>
      <c r="AO360" s="545"/>
      <c r="AP360" s="546"/>
      <c r="AQ360" s="546"/>
      <c r="AR360" s="547"/>
      <c r="AS360" s="545"/>
      <c r="AT360" s="546"/>
      <c r="AU360" s="546"/>
      <c r="AV360" s="547"/>
      <c r="AW360" s="545"/>
      <c r="AX360" s="546"/>
      <c r="AY360" s="546"/>
      <c r="AZ360" s="547"/>
      <c r="BG360" s="93"/>
      <c r="BH360" s="93"/>
      <c r="BI360" s="93"/>
      <c r="BJ360" s="217"/>
      <c r="BK360" s="164"/>
      <c r="BL360" s="165"/>
      <c r="BM360" s="165"/>
      <c r="BN360" s="165"/>
      <c r="BO360" s="165"/>
      <c r="BP360" s="165"/>
      <c r="BQ360" s="165"/>
      <c r="BR360" s="165"/>
      <c r="BS360" s="165"/>
      <c r="BT360" s="165"/>
      <c r="BU360" s="165"/>
      <c r="BV360" s="165"/>
      <c r="BW360" s="165"/>
      <c r="BX360" s="165"/>
      <c r="BY360" s="165"/>
      <c r="BZ360" s="165"/>
      <c r="CA360" s="165"/>
      <c r="CB360" s="217"/>
      <c r="CC360" s="126"/>
      <c r="CD360" s="126"/>
      <c r="CE360" s="143"/>
    </row>
    <row r="361" spans="1:83">
      <c r="A361" s="107"/>
      <c r="B361" s="107"/>
      <c r="C361" s="107"/>
      <c r="D361" s="107"/>
      <c r="E361" s="548"/>
      <c r="F361" s="549"/>
      <c r="G361" s="549"/>
      <c r="H361" s="550"/>
      <c r="I361" s="540"/>
      <c r="J361" s="541"/>
      <c r="K361" s="541"/>
      <c r="L361" s="542"/>
      <c r="M361" s="540"/>
      <c r="N361" s="541"/>
      <c r="O361" s="541"/>
      <c r="P361" s="542"/>
      <c r="Q361" s="540"/>
      <c r="R361" s="541"/>
      <c r="S361" s="541"/>
      <c r="T361" s="542"/>
      <c r="U361" s="540"/>
      <c r="V361" s="541"/>
      <c r="W361" s="541"/>
      <c r="X361" s="542"/>
      <c r="Y361" s="540"/>
      <c r="Z361" s="541"/>
      <c r="AA361" s="541"/>
      <c r="AB361" s="542"/>
      <c r="AC361" s="540"/>
      <c r="AD361" s="541"/>
      <c r="AE361" s="541"/>
      <c r="AF361" s="542"/>
      <c r="AG361" s="540"/>
      <c r="AH361" s="541"/>
      <c r="AI361" s="541"/>
      <c r="AJ361" s="542"/>
      <c r="AK361" s="540"/>
      <c r="AL361" s="541"/>
      <c r="AM361" s="541"/>
      <c r="AN361" s="542"/>
      <c r="AO361" s="540"/>
      <c r="AP361" s="541"/>
      <c r="AQ361" s="541"/>
      <c r="AR361" s="542"/>
      <c r="AS361" s="540"/>
      <c r="AT361" s="541"/>
      <c r="AU361" s="541"/>
      <c r="AV361" s="542"/>
      <c r="AW361" s="540"/>
      <c r="AX361" s="541"/>
      <c r="AY361" s="541"/>
      <c r="AZ361" s="542"/>
      <c r="BG361" s="93"/>
      <c r="BH361" s="93"/>
      <c r="BI361" s="93"/>
      <c r="BJ361" s="217"/>
      <c r="BK361" s="164"/>
      <c r="BL361" s="165"/>
      <c r="BM361" s="165"/>
      <c r="BN361" s="165"/>
      <c r="BO361" s="165"/>
      <c r="BP361" s="165"/>
      <c r="BQ361" s="165"/>
      <c r="BR361" s="165"/>
      <c r="BS361" s="165"/>
      <c r="BT361" s="165"/>
      <c r="BU361" s="165"/>
      <c r="BV361" s="165"/>
      <c r="BW361" s="165"/>
      <c r="BX361" s="165"/>
      <c r="BY361" s="165"/>
      <c r="BZ361" s="165"/>
      <c r="CA361" s="165"/>
      <c r="CB361" s="217"/>
      <c r="CC361" s="126"/>
      <c r="CD361" s="126"/>
      <c r="CE361" s="143"/>
    </row>
    <row r="362" spans="1:83">
      <c r="A362" s="107"/>
      <c r="B362" s="107"/>
      <c r="C362" s="107"/>
      <c r="D362" s="107"/>
      <c r="E362" s="551"/>
      <c r="F362" s="552"/>
      <c r="G362" s="552"/>
      <c r="H362" s="553"/>
      <c r="I362" s="545"/>
      <c r="J362" s="546"/>
      <c r="K362" s="546"/>
      <c r="L362" s="547"/>
      <c r="M362" s="545"/>
      <c r="N362" s="546"/>
      <c r="O362" s="546"/>
      <c r="P362" s="547"/>
      <c r="Q362" s="545"/>
      <c r="R362" s="546"/>
      <c r="S362" s="546"/>
      <c r="T362" s="547"/>
      <c r="U362" s="545"/>
      <c r="V362" s="546"/>
      <c r="W362" s="546"/>
      <c r="X362" s="547"/>
      <c r="Y362" s="545"/>
      <c r="Z362" s="546"/>
      <c r="AA362" s="546"/>
      <c r="AB362" s="547"/>
      <c r="AC362" s="545"/>
      <c r="AD362" s="546"/>
      <c r="AE362" s="546"/>
      <c r="AF362" s="547"/>
      <c r="AG362" s="545"/>
      <c r="AH362" s="546"/>
      <c r="AI362" s="546"/>
      <c r="AJ362" s="547"/>
      <c r="AK362" s="545"/>
      <c r="AL362" s="546"/>
      <c r="AM362" s="546"/>
      <c r="AN362" s="547"/>
      <c r="AO362" s="545"/>
      <c r="AP362" s="546"/>
      <c r="AQ362" s="546"/>
      <c r="AR362" s="547"/>
      <c r="AS362" s="545"/>
      <c r="AT362" s="546"/>
      <c r="AU362" s="546"/>
      <c r="AV362" s="547"/>
      <c r="AW362" s="545"/>
      <c r="AX362" s="546"/>
      <c r="AY362" s="546"/>
      <c r="AZ362" s="547"/>
      <c r="BG362" s="93"/>
      <c r="BH362" s="93"/>
      <c r="BI362" s="93"/>
      <c r="BJ362" s="217"/>
      <c r="BK362" s="164"/>
      <c r="BL362" s="165"/>
      <c r="BM362" s="165"/>
      <c r="BN362" s="165"/>
      <c r="BO362" s="165"/>
      <c r="BP362" s="165"/>
      <c r="BQ362" s="165"/>
      <c r="BR362" s="165"/>
      <c r="BS362" s="165"/>
      <c r="BT362" s="165"/>
      <c r="BU362" s="165"/>
      <c r="BV362" s="165"/>
      <c r="BW362" s="165"/>
      <c r="BX362" s="165"/>
      <c r="BY362" s="165"/>
      <c r="BZ362" s="165"/>
      <c r="CA362" s="165"/>
      <c r="CB362" s="217"/>
      <c r="CC362" s="126"/>
      <c r="CD362" s="126"/>
      <c r="CE362" s="143"/>
    </row>
    <row r="363" spans="1:83">
      <c r="A363" s="107"/>
      <c r="B363" s="107"/>
      <c r="C363" s="107"/>
      <c r="D363" s="107"/>
      <c r="E363" s="548"/>
      <c r="F363" s="549"/>
      <c r="G363" s="549"/>
      <c r="H363" s="550"/>
      <c r="I363" s="540"/>
      <c r="J363" s="541"/>
      <c r="K363" s="541"/>
      <c r="L363" s="542"/>
      <c r="M363" s="540"/>
      <c r="N363" s="541"/>
      <c r="O363" s="541"/>
      <c r="P363" s="542"/>
      <c r="Q363" s="540"/>
      <c r="R363" s="541"/>
      <c r="S363" s="541"/>
      <c r="T363" s="542"/>
      <c r="U363" s="540"/>
      <c r="V363" s="541"/>
      <c r="W363" s="541"/>
      <c r="X363" s="542"/>
      <c r="Y363" s="540"/>
      <c r="Z363" s="541"/>
      <c r="AA363" s="541"/>
      <c r="AB363" s="542"/>
      <c r="AC363" s="540"/>
      <c r="AD363" s="541"/>
      <c r="AE363" s="541"/>
      <c r="AF363" s="542"/>
      <c r="AG363" s="540"/>
      <c r="AH363" s="541"/>
      <c r="AI363" s="541"/>
      <c r="AJ363" s="542"/>
      <c r="AK363" s="540"/>
      <c r="AL363" s="541"/>
      <c r="AM363" s="541"/>
      <c r="AN363" s="542"/>
      <c r="AO363" s="540"/>
      <c r="AP363" s="541"/>
      <c r="AQ363" s="541"/>
      <c r="AR363" s="542"/>
      <c r="AS363" s="540"/>
      <c r="AT363" s="541"/>
      <c r="AU363" s="541"/>
      <c r="AV363" s="542"/>
      <c r="AW363" s="540"/>
      <c r="AX363" s="541"/>
      <c r="AY363" s="541"/>
      <c r="AZ363" s="542"/>
      <c r="BG363" s="93"/>
      <c r="BH363" s="93"/>
      <c r="BI363" s="93"/>
      <c r="BJ363" s="217"/>
      <c r="BK363" s="164"/>
      <c r="BL363" s="165"/>
      <c r="BM363" s="165"/>
      <c r="BN363" s="165"/>
      <c r="BO363" s="165"/>
      <c r="BP363" s="165"/>
      <c r="BQ363" s="165"/>
      <c r="BR363" s="165"/>
      <c r="BS363" s="165"/>
      <c r="BT363" s="165"/>
      <c r="BU363" s="165"/>
      <c r="BV363" s="165"/>
      <c r="BW363" s="165"/>
      <c r="BX363" s="165"/>
      <c r="BY363" s="165"/>
      <c r="BZ363" s="165"/>
      <c r="CA363" s="165"/>
      <c r="CB363" s="217"/>
      <c r="CC363" s="126"/>
      <c r="CD363" s="126"/>
      <c r="CE363" s="143"/>
    </row>
    <row r="364" spans="1:83">
      <c r="A364" s="107"/>
      <c r="B364" s="107"/>
      <c r="C364" s="107"/>
      <c r="D364" s="107"/>
      <c r="E364" s="551"/>
      <c r="F364" s="552"/>
      <c r="G364" s="552"/>
      <c r="H364" s="553"/>
      <c r="I364" s="545"/>
      <c r="J364" s="546"/>
      <c r="K364" s="546"/>
      <c r="L364" s="547"/>
      <c r="M364" s="545"/>
      <c r="N364" s="546"/>
      <c r="O364" s="546"/>
      <c r="P364" s="547"/>
      <c r="Q364" s="545"/>
      <c r="R364" s="546"/>
      <c r="S364" s="546"/>
      <c r="T364" s="547"/>
      <c r="U364" s="545"/>
      <c r="V364" s="546"/>
      <c r="W364" s="546"/>
      <c r="X364" s="547"/>
      <c r="Y364" s="545"/>
      <c r="Z364" s="546"/>
      <c r="AA364" s="546"/>
      <c r="AB364" s="547"/>
      <c r="AC364" s="545"/>
      <c r="AD364" s="546"/>
      <c r="AE364" s="546"/>
      <c r="AF364" s="547"/>
      <c r="AG364" s="545"/>
      <c r="AH364" s="546"/>
      <c r="AI364" s="546"/>
      <c r="AJ364" s="547"/>
      <c r="AK364" s="545"/>
      <c r="AL364" s="546"/>
      <c r="AM364" s="546"/>
      <c r="AN364" s="547"/>
      <c r="AO364" s="545"/>
      <c r="AP364" s="546"/>
      <c r="AQ364" s="546"/>
      <c r="AR364" s="547"/>
      <c r="AS364" s="545"/>
      <c r="AT364" s="546"/>
      <c r="AU364" s="546"/>
      <c r="AV364" s="547"/>
      <c r="AW364" s="545"/>
      <c r="AX364" s="546"/>
      <c r="AY364" s="546"/>
      <c r="AZ364" s="547"/>
      <c r="BG364" s="93"/>
      <c r="BH364" s="93"/>
      <c r="BI364" s="93"/>
      <c r="BJ364" s="217"/>
      <c r="BK364" s="164"/>
      <c r="BL364" s="165"/>
      <c r="BM364" s="165"/>
      <c r="BN364" s="165"/>
      <c r="BO364" s="165"/>
      <c r="BP364" s="165"/>
      <c r="BQ364" s="165"/>
      <c r="BR364" s="165"/>
      <c r="BS364" s="165"/>
      <c r="BT364" s="165"/>
      <c r="BU364" s="165"/>
      <c r="BV364" s="165"/>
      <c r="BW364" s="165"/>
      <c r="BX364" s="165"/>
      <c r="BY364" s="165"/>
      <c r="BZ364" s="165"/>
      <c r="CA364" s="165"/>
      <c r="CB364" s="217"/>
      <c r="CC364" s="126"/>
      <c r="CD364" s="126"/>
      <c r="CE364" s="143"/>
    </row>
    <row r="365" spans="1:83">
      <c r="A365" s="107"/>
      <c r="B365" s="107"/>
      <c r="C365" s="107"/>
      <c r="D365" s="107"/>
      <c r="E365" s="548"/>
      <c r="F365" s="549"/>
      <c r="G365" s="549"/>
      <c r="H365" s="550"/>
      <c r="I365" s="540"/>
      <c r="J365" s="541"/>
      <c r="K365" s="541"/>
      <c r="L365" s="542"/>
      <c r="M365" s="540"/>
      <c r="N365" s="541"/>
      <c r="O365" s="541"/>
      <c r="P365" s="542"/>
      <c r="Q365" s="540"/>
      <c r="R365" s="541"/>
      <c r="S365" s="541"/>
      <c r="T365" s="542"/>
      <c r="U365" s="540"/>
      <c r="V365" s="541"/>
      <c r="W365" s="541"/>
      <c r="X365" s="542"/>
      <c r="Y365" s="540"/>
      <c r="Z365" s="541"/>
      <c r="AA365" s="541"/>
      <c r="AB365" s="542"/>
      <c r="AC365" s="540"/>
      <c r="AD365" s="541"/>
      <c r="AE365" s="541"/>
      <c r="AF365" s="542"/>
      <c r="AG365" s="540"/>
      <c r="AH365" s="541"/>
      <c r="AI365" s="541"/>
      <c r="AJ365" s="542"/>
      <c r="AK365" s="540"/>
      <c r="AL365" s="541"/>
      <c r="AM365" s="541"/>
      <c r="AN365" s="542"/>
      <c r="AO365" s="540"/>
      <c r="AP365" s="541"/>
      <c r="AQ365" s="541"/>
      <c r="AR365" s="542"/>
      <c r="AS365" s="540"/>
      <c r="AT365" s="541"/>
      <c r="AU365" s="541"/>
      <c r="AV365" s="542"/>
      <c r="AW365" s="540"/>
      <c r="AX365" s="541"/>
      <c r="AY365" s="541"/>
      <c r="AZ365" s="542"/>
      <c r="BG365" s="93"/>
      <c r="BH365" s="93"/>
      <c r="BI365" s="93"/>
      <c r="BJ365" s="217"/>
      <c r="BK365" s="164"/>
      <c r="BL365" s="165"/>
      <c r="BM365" s="165"/>
      <c r="BN365" s="165"/>
      <c r="BO365" s="165"/>
      <c r="BP365" s="165"/>
      <c r="BQ365" s="165"/>
      <c r="BR365" s="165"/>
      <c r="BS365" s="165"/>
      <c r="BT365" s="165"/>
      <c r="BU365" s="165"/>
      <c r="BV365" s="165"/>
      <c r="BW365" s="165"/>
      <c r="BX365" s="165"/>
      <c r="BY365" s="165"/>
      <c r="BZ365" s="165"/>
      <c r="CA365" s="165"/>
      <c r="CB365" s="217"/>
      <c r="CC365" s="126"/>
      <c r="CD365" s="126"/>
      <c r="CE365" s="143"/>
    </row>
    <row r="366" spans="1:83">
      <c r="A366" s="107"/>
      <c r="B366" s="107"/>
      <c r="C366" s="107"/>
      <c r="D366" s="107"/>
      <c r="E366" s="551"/>
      <c r="F366" s="552"/>
      <c r="G366" s="552"/>
      <c r="H366" s="553"/>
      <c r="I366" s="545"/>
      <c r="J366" s="546"/>
      <c r="K366" s="546"/>
      <c r="L366" s="547"/>
      <c r="M366" s="545"/>
      <c r="N366" s="546"/>
      <c r="O366" s="546"/>
      <c r="P366" s="547"/>
      <c r="Q366" s="545"/>
      <c r="R366" s="546"/>
      <c r="S366" s="546"/>
      <c r="T366" s="547"/>
      <c r="U366" s="545"/>
      <c r="V366" s="546"/>
      <c r="W366" s="546"/>
      <c r="X366" s="547"/>
      <c r="Y366" s="545"/>
      <c r="Z366" s="546"/>
      <c r="AA366" s="546"/>
      <c r="AB366" s="547"/>
      <c r="AC366" s="545"/>
      <c r="AD366" s="546"/>
      <c r="AE366" s="546"/>
      <c r="AF366" s="547"/>
      <c r="AG366" s="545"/>
      <c r="AH366" s="546"/>
      <c r="AI366" s="546"/>
      <c r="AJ366" s="547"/>
      <c r="AK366" s="545"/>
      <c r="AL366" s="546"/>
      <c r="AM366" s="546"/>
      <c r="AN366" s="547"/>
      <c r="AO366" s="545"/>
      <c r="AP366" s="546"/>
      <c r="AQ366" s="546"/>
      <c r="AR366" s="547"/>
      <c r="AS366" s="545"/>
      <c r="AT366" s="546"/>
      <c r="AU366" s="546"/>
      <c r="AV366" s="547"/>
      <c r="AW366" s="545"/>
      <c r="AX366" s="546"/>
      <c r="AY366" s="546"/>
      <c r="AZ366" s="547"/>
      <c r="BG366" s="93"/>
      <c r="BH366" s="93"/>
      <c r="BI366" s="93"/>
      <c r="BJ366" s="217"/>
      <c r="BK366" s="164"/>
      <c r="BL366" s="165"/>
      <c r="BM366" s="165"/>
      <c r="BN366" s="165"/>
      <c r="BO366" s="165"/>
      <c r="BP366" s="165"/>
      <c r="BQ366" s="165"/>
      <c r="BR366" s="165"/>
      <c r="BS366" s="165"/>
      <c r="BT366" s="165"/>
      <c r="BU366" s="165"/>
      <c r="BV366" s="165"/>
      <c r="BW366" s="165"/>
      <c r="BX366" s="165"/>
      <c r="BY366" s="165"/>
      <c r="BZ366" s="165"/>
      <c r="CA366" s="165"/>
      <c r="CB366" s="217"/>
      <c r="CC366" s="126"/>
      <c r="CD366" s="126"/>
      <c r="CE366" s="143"/>
    </row>
    <row r="367" spans="1:83">
      <c r="A367" s="107"/>
      <c r="B367" s="107"/>
      <c r="C367" s="107"/>
      <c r="D367" s="107"/>
      <c r="E367" s="548"/>
      <c r="F367" s="549"/>
      <c r="G367" s="549"/>
      <c r="H367" s="550"/>
      <c r="I367" s="540"/>
      <c r="J367" s="541"/>
      <c r="K367" s="541"/>
      <c r="L367" s="542"/>
      <c r="M367" s="540"/>
      <c r="N367" s="541"/>
      <c r="O367" s="541"/>
      <c r="P367" s="542"/>
      <c r="Q367" s="540"/>
      <c r="R367" s="541"/>
      <c r="S367" s="541"/>
      <c r="T367" s="542"/>
      <c r="U367" s="540"/>
      <c r="V367" s="541"/>
      <c r="W367" s="541"/>
      <c r="X367" s="542"/>
      <c r="Y367" s="540"/>
      <c r="Z367" s="541"/>
      <c r="AA367" s="541"/>
      <c r="AB367" s="542"/>
      <c r="AC367" s="540"/>
      <c r="AD367" s="541"/>
      <c r="AE367" s="541"/>
      <c r="AF367" s="542"/>
      <c r="AG367" s="540"/>
      <c r="AH367" s="541"/>
      <c r="AI367" s="541"/>
      <c r="AJ367" s="542"/>
      <c r="AK367" s="540"/>
      <c r="AL367" s="541"/>
      <c r="AM367" s="541"/>
      <c r="AN367" s="542"/>
      <c r="AO367" s="540"/>
      <c r="AP367" s="541"/>
      <c r="AQ367" s="541"/>
      <c r="AR367" s="542"/>
      <c r="AS367" s="540"/>
      <c r="AT367" s="541"/>
      <c r="AU367" s="541"/>
      <c r="AV367" s="542"/>
      <c r="AW367" s="540"/>
      <c r="AX367" s="541"/>
      <c r="AY367" s="541"/>
      <c r="AZ367" s="542"/>
      <c r="BG367" s="93"/>
      <c r="BH367" s="93"/>
      <c r="BI367" s="93"/>
      <c r="BJ367" s="217"/>
      <c r="BK367" s="164"/>
      <c r="BL367" s="165"/>
      <c r="BM367" s="165"/>
      <c r="BN367" s="165"/>
      <c r="BO367" s="165"/>
      <c r="BP367" s="165"/>
      <c r="BQ367" s="165"/>
      <c r="BR367" s="165"/>
      <c r="BS367" s="165"/>
      <c r="BT367" s="165"/>
      <c r="BU367" s="165"/>
      <c r="BV367" s="165"/>
      <c r="BW367" s="165"/>
      <c r="BX367" s="165"/>
      <c r="BY367" s="165"/>
      <c r="BZ367" s="165"/>
      <c r="CA367" s="165"/>
      <c r="CB367" s="217"/>
      <c r="CC367" s="126"/>
      <c r="CD367" s="126"/>
      <c r="CE367" s="143"/>
    </row>
    <row r="368" spans="1:83">
      <c r="A368" s="107"/>
      <c r="B368" s="107"/>
      <c r="C368" s="107"/>
      <c r="D368" s="107"/>
      <c r="E368" s="551"/>
      <c r="F368" s="552"/>
      <c r="G368" s="552"/>
      <c r="H368" s="553"/>
      <c r="I368" s="545"/>
      <c r="J368" s="546"/>
      <c r="K368" s="546"/>
      <c r="L368" s="547"/>
      <c r="M368" s="545"/>
      <c r="N368" s="546"/>
      <c r="O368" s="546"/>
      <c r="P368" s="547"/>
      <c r="Q368" s="545"/>
      <c r="R368" s="546"/>
      <c r="S368" s="546"/>
      <c r="T368" s="547"/>
      <c r="U368" s="545"/>
      <c r="V368" s="546"/>
      <c r="W368" s="546"/>
      <c r="X368" s="547"/>
      <c r="Y368" s="545"/>
      <c r="Z368" s="546"/>
      <c r="AA368" s="546"/>
      <c r="AB368" s="547"/>
      <c r="AC368" s="545"/>
      <c r="AD368" s="546"/>
      <c r="AE368" s="546"/>
      <c r="AF368" s="547"/>
      <c r="AG368" s="545"/>
      <c r="AH368" s="546"/>
      <c r="AI368" s="546"/>
      <c r="AJ368" s="547"/>
      <c r="AK368" s="545"/>
      <c r="AL368" s="546"/>
      <c r="AM368" s="546"/>
      <c r="AN368" s="547"/>
      <c r="AO368" s="545"/>
      <c r="AP368" s="546"/>
      <c r="AQ368" s="546"/>
      <c r="AR368" s="547"/>
      <c r="AS368" s="545"/>
      <c r="AT368" s="546"/>
      <c r="AU368" s="546"/>
      <c r="AV368" s="547"/>
      <c r="AW368" s="545"/>
      <c r="AX368" s="546"/>
      <c r="AY368" s="546"/>
      <c r="AZ368" s="547"/>
      <c r="BG368" s="93"/>
      <c r="BH368" s="93"/>
      <c r="BI368" s="93"/>
      <c r="BJ368" s="217"/>
      <c r="BK368" s="164"/>
      <c r="BL368" s="165"/>
      <c r="BM368" s="165"/>
      <c r="BN368" s="165"/>
      <c r="BO368" s="165"/>
      <c r="BP368" s="165"/>
      <c r="BQ368" s="165"/>
      <c r="BR368" s="165"/>
      <c r="BS368" s="165"/>
      <c r="BT368" s="165"/>
      <c r="BU368" s="165"/>
      <c r="BV368" s="165"/>
      <c r="BW368" s="165"/>
      <c r="BX368" s="165"/>
      <c r="BY368" s="165"/>
      <c r="BZ368" s="165"/>
      <c r="CA368" s="165"/>
      <c r="CB368" s="217"/>
      <c r="CC368" s="126"/>
      <c r="CD368" s="126"/>
      <c r="CE368" s="143"/>
    </row>
    <row r="369" spans="1:83">
      <c r="A369" s="107"/>
      <c r="B369" s="107"/>
      <c r="C369" s="107"/>
      <c r="D369" s="107"/>
      <c r="E369" s="548"/>
      <c r="F369" s="549"/>
      <c r="G369" s="549"/>
      <c r="H369" s="550"/>
      <c r="I369" s="540"/>
      <c r="J369" s="541"/>
      <c r="K369" s="541"/>
      <c r="L369" s="542"/>
      <c r="M369" s="540"/>
      <c r="N369" s="541"/>
      <c r="O369" s="541"/>
      <c r="P369" s="542"/>
      <c r="Q369" s="540"/>
      <c r="R369" s="541"/>
      <c r="S369" s="541"/>
      <c r="T369" s="542"/>
      <c r="U369" s="540"/>
      <c r="V369" s="541"/>
      <c r="W369" s="541"/>
      <c r="X369" s="542"/>
      <c r="Y369" s="540"/>
      <c r="Z369" s="541"/>
      <c r="AA369" s="541"/>
      <c r="AB369" s="542"/>
      <c r="AC369" s="540"/>
      <c r="AD369" s="541"/>
      <c r="AE369" s="541"/>
      <c r="AF369" s="542"/>
      <c r="AG369" s="540"/>
      <c r="AH369" s="541"/>
      <c r="AI369" s="541"/>
      <c r="AJ369" s="542"/>
      <c r="AK369" s="540"/>
      <c r="AL369" s="541"/>
      <c r="AM369" s="541"/>
      <c r="AN369" s="542"/>
      <c r="AO369" s="540"/>
      <c r="AP369" s="541"/>
      <c r="AQ369" s="541"/>
      <c r="AR369" s="542"/>
      <c r="AS369" s="540"/>
      <c r="AT369" s="541"/>
      <c r="AU369" s="541"/>
      <c r="AV369" s="542"/>
      <c r="AW369" s="540"/>
      <c r="AX369" s="541"/>
      <c r="AY369" s="541"/>
      <c r="AZ369" s="542"/>
      <c r="BG369" s="93"/>
      <c r="BH369" s="93"/>
      <c r="BI369" s="93"/>
      <c r="BJ369" s="217"/>
      <c r="BK369" s="164"/>
      <c r="BL369" s="165"/>
      <c r="BM369" s="165"/>
      <c r="BN369" s="165"/>
      <c r="BO369" s="165"/>
      <c r="BP369" s="165"/>
      <c r="BQ369" s="165"/>
      <c r="BR369" s="165"/>
      <c r="BS369" s="165"/>
      <c r="BT369" s="165"/>
      <c r="BU369" s="165"/>
      <c r="BV369" s="165"/>
      <c r="BW369" s="165"/>
      <c r="BX369" s="165"/>
      <c r="BY369" s="165"/>
      <c r="BZ369" s="165"/>
      <c r="CA369" s="165"/>
      <c r="CB369" s="217"/>
      <c r="CC369" s="126"/>
      <c r="CD369" s="126"/>
      <c r="CE369" s="143"/>
    </row>
    <row r="370" spans="1:83">
      <c r="A370" s="107"/>
      <c r="B370" s="107"/>
      <c r="C370" s="107"/>
      <c r="D370" s="107"/>
      <c r="E370" s="551"/>
      <c r="F370" s="552"/>
      <c r="G370" s="552"/>
      <c r="H370" s="553"/>
      <c r="I370" s="545"/>
      <c r="J370" s="546"/>
      <c r="K370" s="546"/>
      <c r="L370" s="547"/>
      <c r="M370" s="545"/>
      <c r="N370" s="546"/>
      <c r="O370" s="546"/>
      <c r="P370" s="547"/>
      <c r="Q370" s="545"/>
      <c r="R370" s="546"/>
      <c r="S370" s="546"/>
      <c r="T370" s="547"/>
      <c r="U370" s="545"/>
      <c r="V370" s="546"/>
      <c r="W370" s="546"/>
      <c r="X370" s="547"/>
      <c r="Y370" s="545"/>
      <c r="Z370" s="546"/>
      <c r="AA370" s="546"/>
      <c r="AB370" s="547"/>
      <c r="AC370" s="545"/>
      <c r="AD370" s="546"/>
      <c r="AE370" s="546"/>
      <c r="AF370" s="547"/>
      <c r="AG370" s="545"/>
      <c r="AH370" s="546"/>
      <c r="AI370" s="546"/>
      <c r="AJ370" s="547"/>
      <c r="AK370" s="545"/>
      <c r="AL370" s="546"/>
      <c r="AM370" s="546"/>
      <c r="AN370" s="547"/>
      <c r="AO370" s="545"/>
      <c r="AP370" s="546"/>
      <c r="AQ370" s="546"/>
      <c r="AR370" s="547"/>
      <c r="AS370" s="545"/>
      <c r="AT370" s="546"/>
      <c r="AU370" s="546"/>
      <c r="AV370" s="547"/>
      <c r="AW370" s="545"/>
      <c r="AX370" s="546"/>
      <c r="AY370" s="546"/>
      <c r="AZ370" s="547"/>
      <c r="BG370" s="93"/>
      <c r="BH370" s="93"/>
      <c r="BI370" s="93"/>
      <c r="BJ370" s="217"/>
      <c r="BK370" s="164"/>
      <c r="BL370" s="165"/>
      <c r="BM370" s="165"/>
      <c r="BN370" s="165"/>
      <c r="BO370" s="165"/>
      <c r="BP370" s="165"/>
      <c r="BQ370" s="165"/>
      <c r="BR370" s="165"/>
      <c r="BS370" s="165"/>
      <c r="BT370" s="165"/>
      <c r="BU370" s="165"/>
      <c r="BV370" s="165"/>
      <c r="BW370" s="165"/>
      <c r="BX370" s="165"/>
      <c r="BY370" s="165"/>
      <c r="BZ370" s="165"/>
      <c r="CA370" s="165"/>
      <c r="CB370" s="217"/>
      <c r="CC370" s="126"/>
      <c r="CD370" s="126"/>
      <c r="CE370" s="143"/>
    </row>
    <row r="371" spans="1:83">
      <c r="A371" s="107"/>
      <c r="B371" s="107"/>
      <c r="C371" s="107"/>
      <c r="D371" s="107"/>
      <c r="E371" s="548"/>
      <c r="F371" s="549"/>
      <c r="G371" s="549"/>
      <c r="H371" s="550"/>
      <c r="I371" s="540"/>
      <c r="J371" s="541"/>
      <c r="K371" s="541"/>
      <c r="L371" s="542"/>
      <c r="M371" s="540"/>
      <c r="N371" s="541"/>
      <c r="O371" s="541"/>
      <c r="P371" s="542"/>
      <c r="Q371" s="540"/>
      <c r="R371" s="541"/>
      <c r="S371" s="541"/>
      <c r="T371" s="542"/>
      <c r="U371" s="540"/>
      <c r="V371" s="541"/>
      <c r="W371" s="541"/>
      <c r="X371" s="542"/>
      <c r="Y371" s="540"/>
      <c r="Z371" s="541"/>
      <c r="AA371" s="541"/>
      <c r="AB371" s="542"/>
      <c r="AC371" s="540"/>
      <c r="AD371" s="541"/>
      <c r="AE371" s="541"/>
      <c r="AF371" s="542"/>
      <c r="AG371" s="540"/>
      <c r="AH371" s="541"/>
      <c r="AI371" s="541"/>
      <c r="AJ371" s="542"/>
      <c r="AK371" s="540"/>
      <c r="AL371" s="541"/>
      <c r="AM371" s="541"/>
      <c r="AN371" s="542"/>
      <c r="AO371" s="540"/>
      <c r="AP371" s="541"/>
      <c r="AQ371" s="541"/>
      <c r="AR371" s="542"/>
      <c r="AS371" s="540"/>
      <c r="AT371" s="541"/>
      <c r="AU371" s="541"/>
      <c r="AV371" s="542"/>
      <c r="AW371" s="540"/>
      <c r="AX371" s="541"/>
      <c r="AY371" s="541"/>
      <c r="AZ371" s="542"/>
      <c r="BG371" s="93"/>
      <c r="BH371" s="93"/>
      <c r="BI371" s="93"/>
      <c r="BJ371" s="217"/>
      <c r="BK371" s="164"/>
      <c r="BL371" s="165"/>
      <c r="BM371" s="165"/>
      <c r="BN371" s="165"/>
      <c r="BO371" s="165"/>
      <c r="BP371" s="165"/>
      <c r="BQ371" s="165"/>
      <c r="BR371" s="165"/>
      <c r="BS371" s="165"/>
      <c r="BT371" s="165"/>
      <c r="BU371" s="165"/>
      <c r="BV371" s="165"/>
      <c r="BW371" s="165"/>
      <c r="BX371" s="165"/>
      <c r="BY371" s="165"/>
      <c r="BZ371" s="165"/>
      <c r="CA371" s="165"/>
      <c r="CB371" s="217"/>
      <c r="CC371" s="126"/>
      <c r="CD371" s="126"/>
      <c r="CE371" s="143"/>
    </row>
    <row r="372" spans="1:83">
      <c r="A372" s="107"/>
      <c r="B372" s="107"/>
      <c r="C372" s="107"/>
      <c r="D372" s="107"/>
      <c r="E372" s="551"/>
      <c r="F372" s="552"/>
      <c r="G372" s="552"/>
      <c r="H372" s="553"/>
      <c r="I372" s="545"/>
      <c r="J372" s="546"/>
      <c r="K372" s="546"/>
      <c r="L372" s="547"/>
      <c r="M372" s="545"/>
      <c r="N372" s="546"/>
      <c r="O372" s="546"/>
      <c r="P372" s="547"/>
      <c r="Q372" s="545"/>
      <c r="R372" s="546"/>
      <c r="S372" s="546"/>
      <c r="T372" s="547"/>
      <c r="U372" s="545"/>
      <c r="V372" s="546"/>
      <c r="W372" s="546"/>
      <c r="X372" s="547"/>
      <c r="Y372" s="545"/>
      <c r="Z372" s="546"/>
      <c r="AA372" s="546"/>
      <c r="AB372" s="547"/>
      <c r="AC372" s="545"/>
      <c r="AD372" s="546"/>
      <c r="AE372" s="546"/>
      <c r="AF372" s="547"/>
      <c r="AG372" s="545"/>
      <c r="AH372" s="546"/>
      <c r="AI372" s="546"/>
      <c r="AJ372" s="547"/>
      <c r="AK372" s="545"/>
      <c r="AL372" s="546"/>
      <c r="AM372" s="546"/>
      <c r="AN372" s="547"/>
      <c r="AO372" s="545"/>
      <c r="AP372" s="546"/>
      <c r="AQ372" s="546"/>
      <c r="AR372" s="547"/>
      <c r="AS372" s="545"/>
      <c r="AT372" s="546"/>
      <c r="AU372" s="546"/>
      <c r="AV372" s="547"/>
      <c r="AW372" s="545"/>
      <c r="AX372" s="546"/>
      <c r="AY372" s="546"/>
      <c r="AZ372" s="547"/>
      <c r="BG372" s="93"/>
      <c r="BH372" s="93"/>
      <c r="BI372" s="93"/>
      <c r="BJ372" s="217"/>
      <c r="BK372" s="164"/>
      <c r="BL372" s="165"/>
      <c r="BM372" s="165"/>
      <c r="BN372" s="165"/>
      <c r="BO372" s="165"/>
      <c r="BP372" s="165"/>
      <c r="BQ372" s="165"/>
      <c r="BR372" s="165"/>
      <c r="BS372" s="165"/>
      <c r="BT372" s="165"/>
      <c r="BU372" s="165"/>
      <c r="BV372" s="165"/>
      <c r="BW372" s="165"/>
      <c r="BX372" s="165"/>
      <c r="BY372" s="165"/>
      <c r="BZ372" s="165"/>
      <c r="CA372" s="165"/>
      <c r="CB372" s="217"/>
      <c r="CC372" s="126"/>
      <c r="CD372" s="126"/>
      <c r="CE372" s="143"/>
    </row>
    <row r="373" spans="1:83">
      <c r="A373" s="107"/>
      <c r="B373" s="107"/>
      <c r="C373" s="107"/>
      <c r="D373" s="107"/>
      <c r="E373" s="548"/>
      <c r="F373" s="549"/>
      <c r="G373" s="549"/>
      <c r="H373" s="550"/>
      <c r="I373" s="540"/>
      <c r="J373" s="541"/>
      <c r="K373" s="541"/>
      <c r="L373" s="542"/>
      <c r="M373" s="540"/>
      <c r="N373" s="541"/>
      <c r="O373" s="541"/>
      <c r="P373" s="542"/>
      <c r="Q373" s="540"/>
      <c r="R373" s="541"/>
      <c r="S373" s="541"/>
      <c r="T373" s="542"/>
      <c r="U373" s="540"/>
      <c r="V373" s="541"/>
      <c r="W373" s="541"/>
      <c r="X373" s="542"/>
      <c r="Y373" s="540"/>
      <c r="Z373" s="541"/>
      <c r="AA373" s="541"/>
      <c r="AB373" s="542"/>
      <c r="AC373" s="540"/>
      <c r="AD373" s="541"/>
      <c r="AE373" s="541"/>
      <c r="AF373" s="542"/>
      <c r="AG373" s="540"/>
      <c r="AH373" s="541"/>
      <c r="AI373" s="541"/>
      <c r="AJ373" s="542"/>
      <c r="AK373" s="540"/>
      <c r="AL373" s="541"/>
      <c r="AM373" s="541"/>
      <c r="AN373" s="542"/>
      <c r="AO373" s="540"/>
      <c r="AP373" s="541"/>
      <c r="AQ373" s="541"/>
      <c r="AR373" s="542"/>
      <c r="AS373" s="540"/>
      <c r="AT373" s="541"/>
      <c r="AU373" s="541"/>
      <c r="AV373" s="542"/>
      <c r="AW373" s="540"/>
      <c r="AX373" s="541"/>
      <c r="AY373" s="541"/>
      <c r="AZ373" s="542"/>
      <c r="BG373" s="93"/>
      <c r="BH373" s="93"/>
      <c r="BI373" s="93"/>
      <c r="BJ373" s="217"/>
      <c r="BK373" s="164"/>
      <c r="BL373" s="165"/>
      <c r="BM373" s="165"/>
      <c r="BN373" s="165"/>
      <c r="BO373" s="165"/>
      <c r="BP373" s="165"/>
      <c r="BQ373" s="165"/>
      <c r="BR373" s="165"/>
      <c r="BS373" s="165"/>
      <c r="BT373" s="165"/>
      <c r="BU373" s="165"/>
      <c r="BV373" s="165"/>
      <c r="BW373" s="165"/>
      <c r="BX373" s="165"/>
      <c r="BY373" s="165"/>
      <c r="BZ373" s="165"/>
      <c r="CA373" s="165"/>
      <c r="CB373" s="217"/>
      <c r="CC373" s="126"/>
      <c r="CD373" s="126"/>
      <c r="CE373" s="143"/>
    </row>
    <row r="374" spans="1:83">
      <c r="A374" s="107"/>
      <c r="B374" s="107"/>
      <c r="C374" s="107"/>
      <c r="D374" s="107"/>
      <c r="E374" s="551"/>
      <c r="F374" s="552"/>
      <c r="G374" s="552"/>
      <c r="H374" s="553"/>
      <c r="I374" s="545"/>
      <c r="J374" s="546"/>
      <c r="K374" s="546"/>
      <c r="L374" s="547"/>
      <c r="M374" s="545"/>
      <c r="N374" s="546"/>
      <c r="O374" s="546"/>
      <c r="P374" s="547"/>
      <c r="Q374" s="545"/>
      <c r="R374" s="546"/>
      <c r="S374" s="546"/>
      <c r="T374" s="547"/>
      <c r="U374" s="545"/>
      <c r="V374" s="546"/>
      <c r="W374" s="546"/>
      <c r="X374" s="547"/>
      <c r="Y374" s="545"/>
      <c r="Z374" s="546"/>
      <c r="AA374" s="546"/>
      <c r="AB374" s="547"/>
      <c r="AC374" s="545"/>
      <c r="AD374" s="546"/>
      <c r="AE374" s="546"/>
      <c r="AF374" s="547"/>
      <c r="AG374" s="545"/>
      <c r="AH374" s="546"/>
      <c r="AI374" s="546"/>
      <c r="AJ374" s="547"/>
      <c r="AK374" s="545"/>
      <c r="AL374" s="546"/>
      <c r="AM374" s="546"/>
      <c r="AN374" s="547"/>
      <c r="AO374" s="545"/>
      <c r="AP374" s="546"/>
      <c r="AQ374" s="546"/>
      <c r="AR374" s="547"/>
      <c r="AS374" s="545"/>
      <c r="AT374" s="546"/>
      <c r="AU374" s="546"/>
      <c r="AV374" s="547"/>
      <c r="AW374" s="545"/>
      <c r="AX374" s="546"/>
      <c r="AY374" s="546"/>
      <c r="AZ374" s="547"/>
      <c r="BG374" s="93"/>
      <c r="BH374" s="93"/>
      <c r="BI374" s="93"/>
      <c r="BJ374" s="217"/>
      <c r="BK374" s="164"/>
      <c r="BL374" s="165"/>
      <c r="BM374" s="165"/>
      <c r="BN374" s="165"/>
      <c r="BO374" s="165"/>
      <c r="BP374" s="165"/>
      <c r="BQ374" s="165"/>
      <c r="BR374" s="165"/>
      <c r="BS374" s="165"/>
      <c r="BT374" s="165"/>
      <c r="BU374" s="165"/>
      <c r="BV374" s="165"/>
      <c r="BW374" s="165"/>
      <c r="BX374" s="165"/>
      <c r="BY374" s="165"/>
      <c r="BZ374" s="165"/>
      <c r="CA374" s="165"/>
      <c r="CB374" s="217"/>
      <c r="CC374" s="126"/>
      <c r="CD374" s="126"/>
      <c r="CE374" s="143"/>
    </row>
    <row r="375" spans="1:83">
      <c r="A375" s="107"/>
      <c r="B375" s="107"/>
      <c r="C375" s="107"/>
      <c r="D375" s="107"/>
      <c r="E375" s="548"/>
      <c r="F375" s="549"/>
      <c r="G375" s="549"/>
      <c r="H375" s="550"/>
      <c r="I375" s="540"/>
      <c r="J375" s="541"/>
      <c r="K375" s="541"/>
      <c r="L375" s="542"/>
      <c r="M375" s="540"/>
      <c r="N375" s="541"/>
      <c r="O375" s="541"/>
      <c r="P375" s="542"/>
      <c r="Q375" s="540"/>
      <c r="R375" s="541"/>
      <c r="S375" s="541"/>
      <c r="T375" s="542"/>
      <c r="U375" s="540"/>
      <c r="V375" s="541"/>
      <c r="W375" s="541"/>
      <c r="X375" s="542"/>
      <c r="Y375" s="540"/>
      <c r="Z375" s="541"/>
      <c r="AA375" s="541"/>
      <c r="AB375" s="542"/>
      <c r="AC375" s="540"/>
      <c r="AD375" s="541"/>
      <c r="AE375" s="541"/>
      <c r="AF375" s="542"/>
      <c r="AG375" s="540"/>
      <c r="AH375" s="541"/>
      <c r="AI375" s="541"/>
      <c r="AJ375" s="542"/>
      <c r="AK375" s="540"/>
      <c r="AL375" s="541"/>
      <c r="AM375" s="541"/>
      <c r="AN375" s="542"/>
      <c r="AO375" s="540"/>
      <c r="AP375" s="541"/>
      <c r="AQ375" s="541"/>
      <c r="AR375" s="542"/>
      <c r="AS375" s="540"/>
      <c r="AT375" s="541"/>
      <c r="AU375" s="541"/>
      <c r="AV375" s="542"/>
      <c r="AW375" s="540"/>
      <c r="AX375" s="541"/>
      <c r="AY375" s="541"/>
      <c r="AZ375" s="542"/>
      <c r="BG375" s="93"/>
      <c r="BH375" s="93"/>
      <c r="BI375" s="93"/>
      <c r="BJ375" s="217"/>
      <c r="BK375" s="164"/>
      <c r="BL375" s="165"/>
      <c r="BM375" s="165"/>
      <c r="BN375" s="165"/>
      <c r="BO375" s="165"/>
      <c r="BP375" s="165"/>
      <c r="BQ375" s="165"/>
      <c r="BR375" s="165"/>
      <c r="BS375" s="165"/>
      <c r="BT375" s="165"/>
      <c r="BU375" s="165"/>
      <c r="BV375" s="165"/>
      <c r="BW375" s="165"/>
      <c r="BX375" s="165"/>
      <c r="BY375" s="165"/>
      <c r="BZ375" s="165"/>
      <c r="CA375" s="165"/>
      <c r="CB375" s="217"/>
      <c r="CC375" s="126"/>
      <c r="CD375" s="126"/>
      <c r="CE375" s="143"/>
    </row>
    <row r="376" spans="1:83">
      <c r="A376" s="107"/>
      <c r="B376" s="107"/>
      <c r="C376" s="107"/>
      <c r="D376" s="107"/>
      <c r="E376" s="551"/>
      <c r="F376" s="552"/>
      <c r="G376" s="552"/>
      <c r="H376" s="553"/>
      <c r="I376" s="545"/>
      <c r="J376" s="546"/>
      <c r="K376" s="546"/>
      <c r="L376" s="547"/>
      <c r="M376" s="545"/>
      <c r="N376" s="546"/>
      <c r="O376" s="546"/>
      <c r="P376" s="547"/>
      <c r="Q376" s="545"/>
      <c r="R376" s="546"/>
      <c r="S376" s="546"/>
      <c r="T376" s="547"/>
      <c r="U376" s="545"/>
      <c r="V376" s="546"/>
      <c r="W376" s="546"/>
      <c r="X376" s="547"/>
      <c r="Y376" s="545"/>
      <c r="Z376" s="546"/>
      <c r="AA376" s="546"/>
      <c r="AB376" s="547"/>
      <c r="AC376" s="545"/>
      <c r="AD376" s="546"/>
      <c r="AE376" s="546"/>
      <c r="AF376" s="547"/>
      <c r="AG376" s="545"/>
      <c r="AH376" s="546"/>
      <c r="AI376" s="546"/>
      <c r="AJ376" s="547"/>
      <c r="AK376" s="545"/>
      <c r="AL376" s="546"/>
      <c r="AM376" s="546"/>
      <c r="AN376" s="547"/>
      <c r="AO376" s="545"/>
      <c r="AP376" s="546"/>
      <c r="AQ376" s="546"/>
      <c r="AR376" s="547"/>
      <c r="AS376" s="545"/>
      <c r="AT376" s="546"/>
      <c r="AU376" s="546"/>
      <c r="AV376" s="547"/>
      <c r="AW376" s="545"/>
      <c r="AX376" s="546"/>
      <c r="AY376" s="546"/>
      <c r="AZ376" s="547"/>
      <c r="BG376" s="93"/>
      <c r="BH376" s="93"/>
      <c r="BI376" s="93"/>
      <c r="BJ376" s="217"/>
      <c r="BK376" s="164"/>
      <c r="BL376" s="165"/>
      <c r="BM376" s="165"/>
      <c r="BN376" s="165"/>
      <c r="BO376" s="165"/>
      <c r="BP376" s="165"/>
      <c r="BQ376" s="165"/>
      <c r="BR376" s="165"/>
      <c r="BS376" s="165"/>
      <c r="BT376" s="165"/>
      <c r="BU376" s="165"/>
      <c r="BV376" s="165"/>
      <c r="BW376" s="165"/>
      <c r="BX376" s="165"/>
      <c r="BY376" s="165"/>
      <c r="BZ376" s="165"/>
      <c r="CA376" s="165"/>
      <c r="CB376" s="217"/>
      <c r="CC376" s="126"/>
      <c r="CD376" s="126"/>
      <c r="CE376" s="143"/>
    </row>
    <row r="377" spans="1:83">
      <c r="A377" s="107"/>
      <c r="B377" s="107"/>
      <c r="C377" s="107"/>
      <c r="D377" s="107"/>
      <c r="E377" s="548"/>
      <c r="F377" s="549"/>
      <c r="G377" s="549"/>
      <c r="H377" s="550"/>
      <c r="I377" s="540"/>
      <c r="J377" s="541"/>
      <c r="K377" s="541"/>
      <c r="L377" s="542"/>
      <c r="M377" s="540"/>
      <c r="N377" s="541"/>
      <c r="O377" s="541"/>
      <c r="P377" s="542"/>
      <c r="Q377" s="540"/>
      <c r="R377" s="541"/>
      <c r="S377" s="541"/>
      <c r="T377" s="542"/>
      <c r="U377" s="540"/>
      <c r="V377" s="541"/>
      <c r="W377" s="541"/>
      <c r="X377" s="542"/>
      <c r="Y377" s="540"/>
      <c r="Z377" s="541"/>
      <c r="AA377" s="541"/>
      <c r="AB377" s="542"/>
      <c r="AC377" s="540"/>
      <c r="AD377" s="541"/>
      <c r="AE377" s="541"/>
      <c r="AF377" s="542"/>
      <c r="AG377" s="540"/>
      <c r="AH377" s="541"/>
      <c r="AI377" s="541"/>
      <c r="AJ377" s="542"/>
      <c r="AK377" s="540"/>
      <c r="AL377" s="541"/>
      <c r="AM377" s="541"/>
      <c r="AN377" s="542"/>
      <c r="AO377" s="540"/>
      <c r="AP377" s="541"/>
      <c r="AQ377" s="541"/>
      <c r="AR377" s="542"/>
      <c r="AS377" s="540"/>
      <c r="AT377" s="541"/>
      <c r="AU377" s="541"/>
      <c r="AV377" s="542"/>
      <c r="AW377" s="540"/>
      <c r="AX377" s="541"/>
      <c r="AY377" s="541"/>
      <c r="AZ377" s="542"/>
      <c r="BG377" s="93"/>
      <c r="BH377" s="93"/>
      <c r="BI377" s="93"/>
      <c r="BJ377" s="217"/>
      <c r="BK377" s="164"/>
      <c r="BL377" s="165"/>
      <c r="BM377" s="165"/>
      <c r="BN377" s="165"/>
      <c r="BO377" s="165"/>
      <c r="BP377" s="165"/>
      <c r="BQ377" s="165"/>
      <c r="BR377" s="165"/>
      <c r="BS377" s="165"/>
      <c r="BT377" s="165"/>
      <c r="BU377" s="165"/>
      <c r="BV377" s="165"/>
      <c r="BW377" s="165"/>
      <c r="BX377" s="165"/>
      <c r="BY377" s="165"/>
      <c r="BZ377" s="165"/>
      <c r="CA377" s="165"/>
      <c r="CB377" s="217"/>
      <c r="CC377" s="126"/>
      <c r="CD377" s="126"/>
      <c r="CE377" s="143"/>
    </row>
    <row r="378" spans="1:83">
      <c r="A378" s="107"/>
      <c r="B378" s="107"/>
      <c r="C378" s="107"/>
      <c r="D378" s="107"/>
      <c r="E378" s="551"/>
      <c r="F378" s="552"/>
      <c r="G378" s="552"/>
      <c r="H378" s="553"/>
      <c r="I378" s="545"/>
      <c r="J378" s="546"/>
      <c r="K378" s="546"/>
      <c r="L378" s="547"/>
      <c r="M378" s="545"/>
      <c r="N378" s="546"/>
      <c r="O378" s="546"/>
      <c r="P378" s="547"/>
      <c r="Q378" s="545"/>
      <c r="R378" s="546"/>
      <c r="S378" s="546"/>
      <c r="T378" s="547"/>
      <c r="U378" s="545"/>
      <c r="V378" s="546"/>
      <c r="W378" s="546"/>
      <c r="X378" s="547"/>
      <c r="Y378" s="545"/>
      <c r="Z378" s="546"/>
      <c r="AA378" s="546"/>
      <c r="AB378" s="547"/>
      <c r="AC378" s="545"/>
      <c r="AD378" s="546"/>
      <c r="AE378" s="546"/>
      <c r="AF378" s="547"/>
      <c r="AG378" s="545"/>
      <c r="AH378" s="546"/>
      <c r="AI378" s="546"/>
      <c r="AJ378" s="547"/>
      <c r="AK378" s="545"/>
      <c r="AL378" s="546"/>
      <c r="AM378" s="546"/>
      <c r="AN378" s="547"/>
      <c r="AO378" s="545"/>
      <c r="AP378" s="546"/>
      <c r="AQ378" s="546"/>
      <c r="AR378" s="547"/>
      <c r="AS378" s="545"/>
      <c r="AT378" s="546"/>
      <c r="AU378" s="546"/>
      <c r="AV378" s="547"/>
      <c r="AW378" s="545"/>
      <c r="AX378" s="546"/>
      <c r="AY378" s="546"/>
      <c r="AZ378" s="547"/>
      <c r="BG378" s="93"/>
      <c r="BH378" s="93"/>
      <c r="BI378" s="93"/>
      <c r="BJ378" s="217"/>
      <c r="BK378" s="164"/>
      <c r="BL378" s="165"/>
      <c r="BM378" s="165"/>
      <c r="BN378" s="165"/>
      <c r="BO378" s="165"/>
      <c r="BP378" s="165"/>
      <c r="BQ378" s="165"/>
      <c r="BR378" s="165"/>
      <c r="BS378" s="165"/>
      <c r="BT378" s="165"/>
      <c r="BU378" s="165"/>
      <c r="BV378" s="165"/>
      <c r="BW378" s="165"/>
      <c r="BX378" s="165"/>
      <c r="BY378" s="165"/>
      <c r="BZ378" s="165"/>
      <c r="CA378" s="165"/>
      <c r="CB378" s="217"/>
      <c r="CC378" s="126"/>
      <c r="CD378" s="126"/>
      <c r="CE378" s="143"/>
    </row>
    <row r="379" spans="1:83">
      <c r="A379" s="107"/>
      <c r="B379" s="107"/>
      <c r="C379" s="107"/>
      <c r="D379" s="107"/>
      <c r="E379" s="548"/>
      <c r="F379" s="549"/>
      <c r="G379" s="549"/>
      <c r="H379" s="550"/>
      <c r="I379" s="540"/>
      <c r="J379" s="541"/>
      <c r="K379" s="541"/>
      <c r="L379" s="542"/>
      <c r="M379" s="540"/>
      <c r="N379" s="541"/>
      <c r="O379" s="541"/>
      <c r="P379" s="542"/>
      <c r="Q379" s="540"/>
      <c r="R379" s="541"/>
      <c r="S379" s="541"/>
      <c r="T379" s="542"/>
      <c r="U379" s="540"/>
      <c r="V379" s="541"/>
      <c r="W379" s="541"/>
      <c r="X379" s="542"/>
      <c r="Y379" s="540"/>
      <c r="Z379" s="541"/>
      <c r="AA379" s="541"/>
      <c r="AB379" s="542"/>
      <c r="AC379" s="540"/>
      <c r="AD379" s="541"/>
      <c r="AE379" s="541"/>
      <c r="AF379" s="542"/>
      <c r="AG379" s="540"/>
      <c r="AH379" s="541"/>
      <c r="AI379" s="541"/>
      <c r="AJ379" s="542"/>
      <c r="AK379" s="540"/>
      <c r="AL379" s="541"/>
      <c r="AM379" s="541"/>
      <c r="AN379" s="542"/>
      <c r="AO379" s="540"/>
      <c r="AP379" s="541"/>
      <c r="AQ379" s="541"/>
      <c r="AR379" s="542"/>
      <c r="AS379" s="540"/>
      <c r="AT379" s="541"/>
      <c r="AU379" s="541"/>
      <c r="AV379" s="542"/>
      <c r="AW379" s="540"/>
      <c r="AX379" s="541"/>
      <c r="AY379" s="541"/>
      <c r="AZ379" s="542"/>
      <c r="BG379" s="93"/>
      <c r="BH379" s="93"/>
      <c r="BI379" s="93"/>
      <c r="BJ379" s="217"/>
      <c r="BK379" s="164"/>
      <c r="BL379" s="165"/>
      <c r="BM379" s="165"/>
      <c r="BN379" s="165"/>
      <c r="BO379" s="165"/>
      <c r="BP379" s="165"/>
      <c r="BQ379" s="165"/>
      <c r="BR379" s="165"/>
      <c r="BS379" s="165"/>
      <c r="BT379" s="165"/>
      <c r="BU379" s="165"/>
      <c r="BV379" s="165"/>
      <c r="BW379" s="165"/>
      <c r="BX379" s="165"/>
      <c r="BY379" s="165"/>
      <c r="BZ379" s="165"/>
      <c r="CA379" s="165"/>
      <c r="CB379" s="217"/>
      <c r="CC379" s="126"/>
      <c r="CD379" s="126"/>
      <c r="CE379" s="143"/>
    </row>
    <row r="380" spans="1:83">
      <c r="A380" s="107"/>
      <c r="B380" s="107"/>
      <c r="C380" s="107"/>
      <c r="D380" s="107"/>
      <c r="E380" s="551"/>
      <c r="F380" s="552"/>
      <c r="G380" s="552"/>
      <c r="H380" s="553"/>
      <c r="I380" s="545"/>
      <c r="J380" s="546"/>
      <c r="K380" s="546"/>
      <c r="L380" s="547"/>
      <c r="M380" s="545"/>
      <c r="N380" s="546"/>
      <c r="O380" s="546"/>
      <c r="P380" s="547"/>
      <c r="Q380" s="545"/>
      <c r="R380" s="546"/>
      <c r="S380" s="546"/>
      <c r="T380" s="547"/>
      <c r="U380" s="545"/>
      <c r="V380" s="546"/>
      <c r="W380" s="546"/>
      <c r="X380" s="547"/>
      <c r="Y380" s="545"/>
      <c r="Z380" s="546"/>
      <c r="AA380" s="546"/>
      <c r="AB380" s="547"/>
      <c r="AC380" s="545"/>
      <c r="AD380" s="546"/>
      <c r="AE380" s="546"/>
      <c r="AF380" s="547"/>
      <c r="AG380" s="545"/>
      <c r="AH380" s="546"/>
      <c r="AI380" s="546"/>
      <c r="AJ380" s="547"/>
      <c r="AK380" s="545"/>
      <c r="AL380" s="546"/>
      <c r="AM380" s="546"/>
      <c r="AN380" s="547"/>
      <c r="AO380" s="545"/>
      <c r="AP380" s="546"/>
      <c r="AQ380" s="546"/>
      <c r="AR380" s="547"/>
      <c r="AS380" s="545"/>
      <c r="AT380" s="546"/>
      <c r="AU380" s="546"/>
      <c r="AV380" s="547"/>
      <c r="AW380" s="545"/>
      <c r="AX380" s="546"/>
      <c r="AY380" s="546"/>
      <c r="AZ380" s="547"/>
      <c r="BG380" s="93"/>
      <c r="BH380" s="93"/>
      <c r="BI380" s="93"/>
      <c r="BJ380" s="217"/>
      <c r="BK380" s="164"/>
      <c r="BL380" s="165"/>
      <c r="BM380" s="165"/>
      <c r="BN380" s="165"/>
      <c r="BO380" s="165"/>
      <c r="BP380" s="165"/>
      <c r="BQ380" s="165"/>
      <c r="BR380" s="165"/>
      <c r="BS380" s="165"/>
      <c r="BT380" s="165"/>
      <c r="BU380" s="165"/>
      <c r="BV380" s="165"/>
      <c r="BW380" s="165"/>
      <c r="BX380" s="165"/>
      <c r="BY380" s="165"/>
      <c r="BZ380" s="165"/>
      <c r="CA380" s="165"/>
      <c r="CB380" s="217"/>
      <c r="CC380" s="126"/>
      <c r="CD380" s="126"/>
      <c r="CE380" s="143"/>
    </row>
    <row r="381" spans="1:83">
      <c r="A381" s="107"/>
      <c r="B381" s="107"/>
      <c r="C381" s="107"/>
      <c r="D381" s="107"/>
      <c r="E381" s="548"/>
      <c r="F381" s="549"/>
      <c r="G381" s="549"/>
      <c r="H381" s="550"/>
      <c r="I381" s="540"/>
      <c r="J381" s="541"/>
      <c r="K381" s="541"/>
      <c r="L381" s="542"/>
      <c r="M381" s="540"/>
      <c r="N381" s="541"/>
      <c r="O381" s="541"/>
      <c r="P381" s="542"/>
      <c r="Q381" s="540"/>
      <c r="R381" s="541"/>
      <c r="S381" s="541"/>
      <c r="T381" s="542"/>
      <c r="U381" s="540"/>
      <c r="V381" s="541"/>
      <c r="W381" s="541"/>
      <c r="X381" s="542"/>
      <c r="Y381" s="540"/>
      <c r="Z381" s="541"/>
      <c r="AA381" s="541"/>
      <c r="AB381" s="542"/>
      <c r="AC381" s="540"/>
      <c r="AD381" s="541"/>
      <c r="AE381" s="541"/>
      <c r="AF381" s="542"/>
      <c r="AG381" s="540"/>
      <c r="AH381" s="541"/>
      <c r="AI381" s="541"/>
      <c r="AJ381" s="542"/>
      <c r="AK381" s="540"/>
      <c r="AL381" s="541"/>
      <c r="AM381" s="541"/>
      <c r="AN381" s="542"/>
      <c r="AO381" s="540"/>
      <c r="AP381" s="541"/>
      <c r="AQ381" s="541"/>
      <c r="AR381" s="542"/>
      <c r="AS381" s="540"/>
      <c r="AT381" s="541"/>
      <c r="AU381" s="541"/>
      <c r="AV381" s="542"/>
      <c r="AW381" s="540"/>
      <c r="AX381" s="541"/>
      <c r="AY381" s="541"/>
      <c r="AZ381" s="542"/>
      <c r="BG381" s="93"/>
      <c r="BH381" s="93"/>
      <c r="BI381" s="93"/>
      <c r="BJ381" s="217"/>
      <c r="BK381" s="164"/>
      <c r="BL381" s="165"/>
      <c r="BM381" s="165"/>
      <c r="BN381" s="165"/>
      <c r="BO381" s="165"/>
      <c r="BP381" s="165"/>
      <c r="BQ381" s="165"/>
      <c r="BR381" s="165"/>
      <c r="BS381" s="165"/>
      <c r="BT381" s="165"/>
      <c r="BU381" s="165"/>
      <c r="BV381" s="165"/>
      <c r="BW381" s="165"/>
      <c r="BX381" s="165"/>
      <c r="BY381" s="165"/>
      <c r="BZ381" s="165"/>
      <c r="CA381" s="165"/>
      <c r="CB381" s="217"/>
      <c r="CC381" s="126"/>
      <c r="CD381" s="126"/>
      <c r="CE381" s="143"/>
    </row>
    <row r="382" spans="1:83">
      <c r="A382" s="107"/>
      <c r="B382" s="107"/>
      <c r="C382" s="107"/>
      <c r="D382" s="107"/>
      <c r="E382" s="551"/>
      <c r="F382" s="552"/>
      <c r="G382" s="552"/>
      <c r="H382" s="553"/>
      <c r="I382" s="545"/>
      <c r="J382" s="546"/>
      <c r="K382" s="546"/>
      <c r="L382" s="547"/>
      <c r="M382" s="545"/>
      <c r="N382" s="546"/>
      <c r="O382" s="546"/>
      <c r="P382" s="547"/>
      <c r="Q382" s="545"/>
      <c r="R382" s="546"/>
      <c r="S382" s="546"/>
      <c r="T382" s="547"/>
      <c r="U382" s="545"/>
      <c r="V382" s="546"/>
      <c r="W382" s="546"/>
      <c r="X382" s="547"/>
      <c r="Y382" s="545"/>
      <c r="Z382" s="546"/>
      <c r="AA382" s="546"/>
      <c r="AB382" s="547"/>
      <c r="AC382" s="545"/>
      <c r="AD382" s="546"/>
      <c r="AE382" s="546"/>
      <c r="AF382" s="547"/>
      <c r="AG382" s="545"/>
      <c r="AH382" s="546"/>
      <c r="AI382" s="546"/>
      <c r="AJ382" s="547"/>
      <c r="AK382" s="545"/>
      <c r="AL382" s="546"/>
      <c r="AM382" s="546"/>
      <c r="AN382" s="547"/>
      <c r="AO382" s="545"/>
      <c r="AP382" s="546"/>
      <c r="AQ382" s="546"/>
      <c r="AR382" s="547"/>
      <c r="AS382" s="545"/>
      <c r="AT382" s="546"/>
      <c r="AU382" s="546"/>
      <c r="AV382" s="547"/>
      <c r="AW382" s="545"/>
      <c r="AX382" s="546"/>
      <c r="AY382" s="546"/>
      <c r="AZ382" s="547"/>
      <c r="BG382" s="93"/>
      <c r="BH382" s="93"/>
      <c r="BI382" s="93"/>
      <c r="BJ382" s="217"/>
      <c r="BK382" s="164"/>
      <c r="BL382" s="165"/>
      <c r="BM382" s="165"/>
      <c r="BN382" s="165"/>
      <c r="BO382" s="165"/>
      <c r="BP382" s="165"/>
      <c r="BQ382" s="165"/>
      <c r="BR382" s="165"/>
      <c r="BS382" s="165"/>
      <c r="BT382" s="165"/>
      <c r="BU382" s="165"/>
      <c r="BV382" s="165"/>
      <c r="BW382" s="165"/>
      <c r="BX382" s="165"/>
      <c r="BY382" s="165"/>
      <c r="BZ382" s="165"/>
      <c r="CA382" s="165"/>
      <c r="CB382" s="217"/>
      <c r="CC382" s="126"/>
      <c r="CD382" s="126"/>
      <c r="CE382" s="143"/>
    </row>
    <row r="383" spans="1:83">
      <c r="A383" s="107"/>
      <c r="B383" s="107"/>
      <c r="C383" s="107"/>
      <c r="D383" s="107"/>
      <c r="E383" s="548"/>
      <c r="F383" s="549"/>
      <c r="G383" s="549"/>
      <c r="H383" s="550"/>
      <c r="I383" s="540"/>
      <c r="J383" s="541"/>
      <c r="K383" s="541"/>
      <c r="L383" s="542"/>
      <c r="M383" s="540"/>
      <c r="N383" s="541"/>
      <c r="O383" s="541"/>
      <c r="P383" s="542"/>
      <c r="Q383" s="540"/>
      <c r="R383" s="541"/>
      <c r="S383" s="541"/>
      <c r="T383" s="542"/>
      <c r="U383" s="540"/>
      <c r="V383" s="541"/>
      <c r="W383" s="541"/>
      <c r="X383" s="542"/>
      <c r="Y383" s="540"/>
      <c r="Z383" s="541"/>
      <c r="AA383" s="541"/>
      <c r="AB383" s="542"/>
      <c r="AC383" s="540"/>
      <c r="AD383" s="541"/>
      <c r="AE383" s="541"/>
      <c r="AF383" s="542"/>
      <c r="AG383" s="540"/>
      <c r="AH383" s="541"/>
      <c r="AI383" s="541"/>
      <c r="AJ383" s="542"/>
      <c r="AK383" s="540"/>
      <c r="AL383" s="541"/>
      <c r="AM383" s="541"/>
      <c r="AN383" s="542"/>
      <c r="AO383" s="540"/>
      <c r="AP383" s="541"/>
      <c r="AQ383" s="541"/>
      <c r="AR383" s="542"/>
      <c r="AS383" s="540"/>
      <c r="AT383" s="541"/>
      <c r="AU383" s="541"/>
      <c r="AV383" s="542"/>
      <c r="AW383" s="540"/>
      <c r="AX383" s="541"/>
      <c r="AY383" s="541"/>
      <c r="AZ383" s="542"/>
      <c r="BG383" s="93"/>
      <c r="BH383" s="93"/>
      <c r="BI383" s="93"/>
      <c r="BJ383" s="217"/>
      <c r="BK383" s="164"/>
      <c r="BL383" s="165"/>
      <c r="BM383" s="165"/>
      <c r="BN383" s="165"/>
      <c r="BO383" s="165"/>
      <c r="BP383" s="165"/>
      <c r="BQ383" s="165"/>
      <c r="BR383" s="165"/>
      <c r="BS383" s="165"/>
      <c r="BT383" s="165"/>
      <c r="BU383" s="165"/>
      <c r="BV383" s="165"/>
      <c r="BW383" s="165"/>
      <c r="BX383" s="165"/>
      <c r="BY383" s="165"/>
      <c r="BZ383" s="165"/>
      <c r="CA383" s="165"/>
      <c r="CB383" s="217"/>
      <c r="CC383" s="126"/>
      <c r="CD383" s="126"/>
      <c r="CE383" s="143"/>
    </row>
    <row r="384" spans="1:83">
      <c r="A384" s="107"/>
      <c r="B384" s="107"/>
      <c r="C384" s="107"/>
      <c r="D384" s="107"/>
      <c r="E384" s="551"/>
      <c r="F384" s="552"/>
      <c r="G384" s="552"/>
      <c r="H384" s="553"/>
      <c r="I384" s="545"/>
      <c r="J384" s="546"/>
      <c r="K384" s="546"/>
      <c r="L384" s="547"/>
      <c r="M384" s="545"/>
      <c r="N384" s="546"/>
      <c r="O384" s="546"/>
      <c r="P384" s="547"/>
      <c r="Q384" s="545"/>
      <c r="R384" s="546"/>
      <c r="S384" s="546"/>
      <c r="T384" s="547"/>
      <c r="U384" s="545"/>
      <c r="V384" s="546"/>
      <c r="W384" s="546"/>
      <c r="X384" s="547"/>
      <c r="Y384" s="545"/>
      <c r="Z384" s="546"/>
      <c r="AA384" s="546"/>
      <c r="AB384" s="547"/>
      <c r="AC384" s="545"/>
      <c r="AD384" s="546"/>
      <c r="AE384" s="546"/>
      <c r="AF384" s="547"/>
      <c r="AG384" s="545"/>
      <c r="AH384" s="546"/>
      <c r="AI384" s="546"/>
      <c r="AJ384" s="547"/>
      <c r="AK384" s="545"/>
      <c r="AL384" s="546"/>
      <c r="AM384" s="546"/>
      <c r="AN384" s="547"/>
      <c r="AO384" s="545"/>
      <c r="AP384" s="546"/>
      <c r="AQ384" s="546"/>
      <c r="AR384" s="547"/>
      <c r="AS384" s="545"/>
      <c r="AT384" s="546"/>
      <c r="AU384" s="546"/>
      <c r="AV384" s="547"/>
      <c r="AW384" s="545"/>
      <c r="AX384" s="546"/>
      <c r="AY384" s="546"/>
      <c r="AZ384" s="547"/>
      <c r="BG384" s="93"/>
      <c r="BH384" s="93"/>
      <c r="BI384" s="93"/>
      <c r="BJ384" s="217"/>
      <c r="BK384" s="164"/>
      <c r="BL384" s="165"/>
      <c r="BM384" s="165"/>
      <c r="BN384" s="165"/>
      <c r="BO384" s="165"/>
      <c r="BP384" s="165"/>
      <c r="BQ384" s="165"/>
      <c r="BR384" s="165"/>
      <c r="BS384" s="165"/>
      <c r="BT384" s="165"/>
      <c r="BU384" s="165"/>
      <c r="BV384" s="165"/>
      <c r="BW384" s="165"/>
      <c r="BX384" s="165"/>
      <c r="BY384" s="165"/>
      <c r="BZ384" s="165"/>
      <c r="CA384" s="165"/>
      <c r="CB384" s="217"/>
      <c r="CC384" s="126"/>
      <c r="CD384" s="126"/>
      <c r="CE384" s="143"/>
    </row>
    <row r="385" spans="1:83">
      <c r="A385" s="107"/>
      <c r="B385" s="107"/>
      <c r="C385" s="107"/>
      <c r="D385" s="107"/>
      <c r="E385" s="548"/>
      <c r="F385" s="549"/>
      <c r="G385" s="549"/>
      <c r="H385" s="550"/>
      <c r="I385" s="540"/>
      <c r="J385" s="541"/>
      <c r="K385" s="541"/>
      <c r="L385" s="542"/>
      <c r="M385" s="540"/>
      <c r="N385" s="541"/>
      <c r="O385" s="541"/>
      <c r="P385" s="542"/>
      <c r="Q385" s="540"/>
      <c r="R385" s="541"/>
      <c r="S385" s="541"/>
      <c r="T385" s="542"/>
      <c r="U385" s="540"/>
      <c r="V385" s="541"/>
      <c r="W385" s="541"/>
      <c r="X385" s="542"/>
      <c r="Y385" s="540"/>
      <c r="Z385" s="541"/>
      <c r="AA385" s="541"/>
      <c r="AB385" s="542"/>
      <c r="AC385" s="540"/>
      <c r="AD385" s="541"/>
      <c r="AE385" s="541"/>
      <c r="AF385" s="542"/>
      <c r="AG385" s="540"/>
      <c r="AH385" s="541"/>
      <c r="AI385" s="541"/>
      <c r="AJ385" s="542"/>
      <c r="AK385" s="540"/>
      <c r="AL385" s="541"/>
      <c r="AM385" s="541"/>
      <c r="AN385" s="542"/>
      <c r="AO385" s="540"/>
      <c r="AP385" s="541"/>
      <c r="AQ385" s="541"/>
      <c r="AR385" s="542"/>
      <c r="AS385" s="540"/>
      <c r="AT385" s="541"/>
      <c r="AU385" s="541"/>
      <c r="AV385" s="542"/>
      <c r="AW385" s="540"/>
      <c r="AX385" s="541"/>
      <c r="AY385" s="541"/>
      <c r="AZ385" s="542"/>
      <c r="BG385" s="93"/>
      <c r="BH385" s="93"/>
      <c r="BI385" s="93"/>
      <c r="BJ385" s="217"/>
      <c r="BK385" s="164"/>
      <c r="BL385" s="165"/>
      <c r="BM385" s="165"/>
      <c r="BN385" s="165"/>
      <c r="BO385" s="165"/>
      <c r="BP385" s="165"/>
      <c r="BQ385" s="165"/>
      <c r="BR385" s="165"/>
      <c r="BS385" s="165"/>
      <c r="BT385" s="165"/>
      <c r="BU385" s="165"/>
      <c r="BV385" s="165"/>
      <c r="BW385" s="165"/>
      <c r="BX385" s="165"/>
      <c r="BY385" s="165"/>
      <c r="BZ385" s="165"/>
      <c r="CA385" s="165"/>
      <c r="CB385" s="217"/>
      <c r="CC385" s="126"/>
      <c r="CD385" s="126"/>
      <c r="CE385" s="143"/>
    </row>
    <row r="386" spans="1:83">
      <c r="A386" s="107"/>
      <c r="B386" s="107"/>
      <c r="C386" s="107"/>
      <c r="D386" s="107"/>
      <c r="E386" s="551"/>
      <c r="F386" s="552"/>
      <c r="G386" s="552"/>
      <c r="H386" s="553"/>
      <c r="I386" s="545"/>
      <c r="J386" s="546"/>
      <c r="K386" s="546"/>
      <c r="L386" s="547"/>
      <c r="M386" s="545"/>
      <c r="N386" s="546"/>
      <c r="O386" s="546"/>
      <c r="P386" s="547"/>
      <c r="Q386" s="545"/>
      <c r="R386" s="546"/>
      <c r="S386" s="546"/>
      <c r="T386" s="547"/>
      <c r="U386" s="545"/>
      <c r="V386" s="546"/>
      <c r="W386" s="546"/>
      <c r="X386" s="547"/>
      <c r="Y386" s="545"/>
      <c r="Z386" s="546"/>
      <c r="AA386" s="546"/>
      <c r="AB386" s="547"/>
      <c r="AC386" s="545"/>
      <c r="AD386" s="546"/>
      <c r="AE386" s="546"/>
      <c r="AF386" s="547"/>
      <c r="AG386" s="545"/>
      <c r="AH386" s="546"/>
      <c r="AI386" s="546"/>
      <c r="AJ386" s="547"/>
      <c r="AK386" s="545"/>
      <c r="AL386" s="546"/>
      <c r="AM386" s="546"/>
      <c r="AN386" s="547"/>
      <c r="AO386" s="545"/>
      <c r="AP386" s="546"/>
      <c r="AQ386" s="546"/>
      <c r="AR386" s="547"/>
      <c r="AS386" s="545"/>
      <c r="AT386" s="546"/>
      <c r="AU386" s="546"/>
      <c r="AV386" s="547"/>
      <c r="AW386" s="545"/>
      <c r="AX386" s="546"/>
      <c r="AY386" s="546"/>
      <c r="AZ386" s="547"/>
      <c r="BG386" s="93"/>
      <c r="BH386" s="93"/>
      <c r="BI386" s="93"/>
      <c r="BJ386" s="217"/>
      <c r="BK386" s="164"/>
      <c r="BL386" s="165"/>
      <c r="BM386" s="165"/>
      <c r="BN386" s="165"/>
      <c r="BO386" s="165"/>
      <c r="BP386" s="165"/>
      <c r="BQ386" s="165"/>
      <c r="BR386" s="165"/>
      <c r="BS386" s="165"/>
      <c r="BT386" s="165"/>
      <c r="BU386" s="165"/>
      <c r="BV386" s="165"/>
      <c r="BW386" s="165"/>
      <c r="BX386" s="165"/>
      <c r="BY386" s="165"/>
      <c r="BZ386" s="165"/>
      <c r="CA386" s="165"/>
      <c r="CB386" s="217"/>
      <c r="CC386" s="126"/>
      <c r="CD386" s="126"/>
      <c r="CE386" s="143"/>
    </row>
    <row r="387" spans="1:83">
      <c r="A387" s="107"/>
      <c r="B387" s="107"/>
      <c r="C387" s="107"/>
      <c r="D387" s="107"/>
      <c r="E387" s="548"/>
      <c r="F387" s="549"/>
      <c r="G387" s="549"/>
      <c r="H387" s="550"/>
      <c r="I387" s="540"/>
      <c r="J387" s="541"/>
      <c r="K387" s="541"/>
      <c r="L387" s="542"/>
      <c r="M387" s="540"/>
      <c r="N387" s="541"/>
      <c r="O387" s="541"/>
      <c r="P387" s="542"/>
      <c r="Q387" s="540"/>
      <c r="R387" s="541"/>
      <c r="S387" s="541"/>
      <c r="T387" s="542"/>
      <c r="U387" s="540"/>
      <c r="V387" s="541"/>
      <c r="W387" s="541"/>
      <c r="X387" s="542"/>
      <c r="Y387" s="540"/>
      <c r="Z387" s="541"/>
      <c r="AA387" s="541"/>
      <c r="AB387" s="542"/>
      <c r="AC387" s="540"/>
      <c r="AD387" s="541"/>
      <c r="AE387" s="541"/>
      <c r="AF387" s="542"/>
      <c r="AG387" s="540"/>
      <c r="AH387" s="541"/>
      <c r="AI387" s="541"/>
      <c r="AJ387" s="542"/>
      <c r="AK387" s="540"/>
      <c r="AL387" s="541"/>
      <c r="AM387" s="541"/>
      <c r="AN387" s="542"/>
      <c r="AO387" s="540"/>
      <c r="AP387" s="541"/>
      <c r="AQ387" s="541"/>
      <c r="AR387" s="542"/>
      <c r="AS387" s="540"/>
      <c r="AT387" s="541"/>
      <c r="AU387" s="541"/>
      <c r="AV387" s="542"/>
      <c r="AW387" s="540"/>
      <c r="AX387" s="541"/>
      <c r="AY387" s="541"/>
      <c r="AZ387" s="542"/>
      <c r="BG387" s="93"/>
      <c r="BH387" s="93"/>
      <c r="BI387" s="93"/>
      <c r="BJ387" s="217"/>
      <c r="BK387" s="164"/>
      <c r="BL387" s="165"/>
      <c r="BM387" s="165"/>
      <c r="BN387" s="165"/>
      <c r="BO387" s="165"/>
      <c r="BP387" s="165"/>
      <c r="BQ387" s="165"/>
      <c r="BR387" s="165"/>
      <c r="BS387" s="165"/>
      <c r="BT387" s="165"/>
      <c r="BU387" s="165"/>
      <c r="BV387" s="165"/>
      <c r="BW387" s="165"/>
      <c r="BX387" s="165"/>
      <c r="BY387" s="165"/>
      <c r="BZ387" s="165"/>
      <c r="CA387" s="165"/>
      <c r="CB387" s="217"/>
      <c r="CC387" s="126"/>
      <c r="CD387" s="126"/>
      <c r="CE387" s="143"/>
    </row>
    <row r="388" spans="1:83">
      <c r="A388" s="107"/>
      <c r="B388" s="107"/>
      <c r="C388" s="107"/>
      <c r="D388" s="107"/>
      <c r="E388" s="551"/>
      <c r="F388" s="552"/>
      <c r="G388" s="552"/>
      <c r="H388" s="553"/>
      <c r="I388" s="545"/>
      <c r="J388" s="546"/>
      <c r="K388" s="546"/>
      <c r="L388" s="547"/>
      <c r="M388" s="545"/>
      <c r="N388" s="546"/>
      <c r="O388" s="546"/>
      <c r="P388" s="547"/>
      <c r="Q388" s="545"/>
      <c r="R388" s="546"/>
      <c r="S388" s="546"/>
      <c r="T388" s="547"/>
      <c r="U388" s="545"/>
      <c r="V388" s="546"/>
      <c r="W388" s="546"/>
      <c r="X388" s="547"/>
      <c r="Y388" s="545"/>
      <c r="Z388" s="546"/>
      <c r="AA388" s="546"/>
      <c r="AB388" s="547"/>
      <c r="AC388" s="545"/>
      <c r="AD388" s="546"/>
      <c r="AE388" s="546"/>
      <c r="AF388" s="547"/>
      <c r="AG388" s="545"/>
      <c r="AH388" s="546"/>
      <c r="AI388" s="546"/>
      <c r="AJ388" s="547"/>
      <c r="AK388" s="545"/>
      <c r="AL388" s="546"/>
      <c r="AM388" s="546"/>
      <c r="AN388" s="547"/>
      <c r="AO388" s="545"/>
      <c r="AP388" s="546"/>
      <c r="AQ388" s="546"/>
      <c r="AR388" s="547"/>
      <c r="AS388" s="545"/>
      <c r="AT388" s="546"/>
      <c r="AU388" s="546"/>
      <c r="AV388" s="547"/>
      <c r="AW388" s="545"/>
      <c r="AX388" s="546"/>
      <c r="AY388" s="546"/>
      <c r="AZ388" s="547"/>
      <c r="BG388" s="93"/>
      <c r="BH388" s="93"/>
      <c r="BI388" s="93"/>
      <c r="BJ388" s="217"/>
      <c r="BK388" s="164"/>
      <c r="BL388" s="165"/>
      <c r="BM388" s="165"/>
      <c r="BN388" s="165"/>
      <c r="BO388" s="165"/>
      <c r="BP388" s="165"/>
      <c r="BQ388" s="165"/>
      <c r="BR388" s="165"/>
      <c r="BS388" s="165"/>
      <c r="BT388" s="165"/>
      <c r="BU388" s="165"/>
      <c r="BV388" s="165"/>
      <c r="BW388" s="165"/>
      <c r="BX388" s="165"/>
      <c r="BY388" s="165"/>
      <c r="BZ388" s="165"/>
      <c r="CA388" s="165"/>
      <c r="CB388" s="217"/>
      <c r="CC388" s="126"/>
      <c r="CD388" s="126"/>
      <c r="CE388" s="143"/>
    </row>
    <row r="389" spans="1:83">
      <c r="A389" s="107"/>
      <c r="B389" s="107"/>
      <c r="C389" s="107"/>
      <c r="D389" s="107"/>
      <c r="E389" s="548"/>
      <c r="F389" s="549"/>
      <c r="G389" s="549"/>
      <c r="H389" s="550"/>
      <c r="I389" s="540"/>
      <c r="J389" s="541"/>
      <c r="K389" s="541"/>
      <c r="L389" s="542"/>
      <c r="M389" s="540"/>
      <c r="N389" s="541"/>
      <c r="O389" s="541"/>
      <c r="P389" s="542"/>
      <c r="Q389" s="540"/>
      <c r="R389" s="541"/>
      <c r="S389" s="541"/>
      <c r="T389" s="542"/>
      <c r="U389" s="540"/>
      <c r="V389" s="541"/>
      <c r="W389" s="541"/>
      <c r="X389" s="542"/>
      <c r="Y389" s="540"/>
      <c r="Z389" s="541"/>
      <c r="AA389" s="541"/>
      <c r="AB389" s="542"/>
      <c r="AC389" s="540"/>
      <c r="AD389" s="541"/>
      <c r="AE389" s="541"/>
      <c r="AF389" s="542"/>
      <c r="AG389" s="540"/>
      <c r="AH389" s="541"/>
      <c r="AI389" s="541"/>
      <c r="AJ389" s="542"/>
      <c r="AK389" s="540"/>
      <c r="AL389" s="541"/>
      <c r="AM389" s="541"/>
      <c r="AN389" s="542"/>
      <c r="AO389" s="540"/>
      <c r="AP389" s="541"/>
      <c r="AQ389" s="541"/>
      <c r="AR389" s="542"/>
      <c r="AS389" s="540"/>
      <c r="AT389" s="541"/>
      <c r="AU389" s="541"/>
      <c r="AV389" s="542"/>
      <c r="AW389" s="540"/>
      <c r="AX389" s="541"/>
      <c r="AY389" s="541"/>
      <c r="AZ389" s="542"/>
      <c r="BG389" s="93"/>
      <c r="BH389" s="93"/>
      <c r="BI389" s="93"/>
      <c r="BJ389" s="217"/>
      <c r="BK389" s="164"/>
      <c r="BL389" s="165"/>
      <c r="BM389" s="165"/>
      <c r="BN389" s="165"/>
      <c r="BO389" s="165"/>
      <c r="BP389" s="165"/>
      <c r="BQ389" s="165"/>
      <c r="BR389" s="165"/>
      <c r="BS389" s="165"/>
      <c r="BT389" s="165"/>
      <c r="BU389" s="165"/>
      <c r="BV389" s="165"/>
      <c r="BW389" s="165"/>
      <c r="BX389" s="165"/>
      <c r="BY389" s="165"/>
      <c r="BZ389" s="165"/>
      <c r="CA389" s="165"/>
      <c r="CB389" s="217"/>
      <c r="CC389" s="126"/>
      <c r="CD389" s="126"/>
      <c r="CE389" s="143"/>
    </row>
    <row r="390" spans="1:83">
      <c r="A390" s="107"/>
      <c r="B390" s="107"/>
      <c r="C390" s="107"/>
      <c r="D390" s="107"/>
      <c r="E390" s="551"/>
      <c r="F390" s="552"/>
      <c r="G390" s="552"/>
      <c r="H390" s="553"/>
      <c r="I390" s="545"/>
      <c r="J390" s="546"/>
      <c r="K390" s="546"/>
      <c r="L390" s="547"/>
      <c r="M390" s="545"/>
      <c r="N390" s="546"/>
      <c r="O390" s="546"/>
      <c r="P390" s="547"/>
      <c r="Q390" s="545"/>
      <c r="R390" s="546"/>
      <c r="S390" s="546"/>
      <c r="T390" s="547"/>
      <c r="U390" s="545"/>
      <c r="V390" s="546"/>
      <c r="W390" s="546"/>
      <c r="X390" s="547"/>
      <c r="Y390" s="545"/>
      <c r="Z390" s="546"/>
      <c r="AA390" s="546"/>
      <c r="AB390" s="547"/>
      <c r="AC390" s="545"/>
      <c r="AD390" s="546"/>
      <c r="AE390" s="546"/>
      <c r="AF390" s="547"/>
      <c r="AG390" s="545"/>
      <c r="AH390" s="546"/>
      <c r="AI390" s="546"/>
      <c r="AJ390" s="547"/>
      <c r="AK390" s="545"/>
      <c r="AL390" s="546"/>
      <c r="AM390" s="546"/>
      <c r="AN390" s="547"/>
      <c r="AO390" s="545"/>
      <c r="AP390" s="546"/>
      <c r="AQ390" s="546"/>
      <c r="AR390" s="547"/>
      <c r="AS390" s="545"/>
      <c r="AT390" s="546"/>
      <c r="AU390" s="546"/>
      <c r="AV390" s="547"/>
      <c r="AW390" s="545"/>
      <c r="AX390" s="546"/>
      <c r="AY390" s="546"/>
      <c r="AZ390" s="547"/>
      <c r="BG390" s="93"/>
      <c r="BH390" s="93"/>
      <c r="BI390" s="93"/>
      <c r="BJ390" s="217"/>
      <c r="BK390" s="164"/>
      <c r="BL390" s="165"/>
      <c r="BM390" s="165"/>
      <c r="BN390" s="165"/>
      <c r="BO390" s="165"/>
      <c r="BP390" s="165"/>
      <c r="BQ390" s="165"/>
      <c r="BR390" s="165"/>
      <c r="BS390" s="165"/>
      <c r="BT390" s="165"/>
      <c r="BU390" s="165"/>
      <c r="BV390" s="165"/>
      <c r="BW390" s="165"/>
      <c r="BX390" s="165"/>
      <c r="BY390" s="165"/>
      <c r="BZ390" s="165"/>
      <c r="CA390" s="165"/>
      <c r="CB390" s="217"/>
      <c r="CC390" s="126"/>
      <c r="CD390" s="126"/>
      <c r="CE390" s="143"/>
    </row>
    <row r="391" spans="1:83">
      <c r="A391" s="107"/>
      <c r="B391" s="107"/>
      <c r="C391" s="107"/>
      <c r="D391" s="107"/>
      <c r="E391" s="548"/>
      <c r="F391" s="549"/>
      <c r="G391" s="549"/>
      <c r="H391" s="550"/>
      <c r="I391" s="540"/>
      <c r="J391" s="541"/>
      <c r="K391" s="541"/>
      <c r="L391" s="542"/>
      <c r="M391" s="540"/>
      <c r="N391" s="541"/>
      <c r="O391" s="541"/>
      <c r="P391" s="542"/>
      <c r="Q391" s="540"/>
      <c r="R391" s="541"/>
      <c r="S391" s="541"/>
      <c r="T391" s="542"/>
      <c r="U391" s="540"/>
      <c r="V391" s="541"/>
      <c r="W391" s="541"/>
      <c r="X391" s="542"/>
      <c r="Y391" s="540"/>
      <c r="Z391" s="541"/>
      <c r="AA391" s="541"/>
      <c r="AB391" s="542"/>
      <c r="AC391" s="540"/>
      <c r="AD391" s="541"/>
      <c r="AE391" s="541"/>
      <c r="AF391" s="542"/>
      <c r="AG391" s="540"/>
      <c r="AH391" s="541"/>
      <c r="AI391" s="541"/>
      <c r="AJ391" s="542"/>
      <c r="AK391" s="540"/>
      <c r="AL391" s="541"/>
      <c r="AM391" s="541"/>
      <c r="AN391" s="542"/>
      <c r="AO391" s="540"/>
      <c r="AP391" s="541"/>
      <c r="AQ391" s="541"/>
      <c r="AR391" s="542"/>
      <c r="AS391" s="540"/>
      <c r="AT391" s="541"/>
      <c r="AU391" s="541"/>
      <c r="AV391" s="542"/>
      <c r="AW391" s="540"/>
      <c r="AX391" s="541"/>
      <c r="AY391" s="541"/>
      <c r="AZ391" s="542"/>
      <c r="BG391" s="93"/>
      <c r="BH391" s="93"/>
      <c r="BI391" s="93"/>
      <c r="BJ391" s="217"/>
      <c r="BK391" s="164"/>
      <c r="BL391" s="165"/>
      <c r="BM391" s="165"/>
      <c r="BN391" s="165"/>
      <c r="BO391" s="165"/>
      <c r="BP391" s="165"/>
      <c r="BQ391" s="165"/>
      <c r="BR391" s="165"/>
      <c r="BS391" s="165"/>
      <c r="BT391" s="165"/>
      <c r="BU391" s="165"/>
      <c r="BV391" s="165"/>
      <c r="BW391" s="165"/>
      <c r="BX391" s="165"/>
      <c r="BY391" s="165"/>
      <c r="BZ391" s="165"/>
      <c r="CA391" s="165"/>
      <c r="CB391" s="217"/>
      <c r="CC391" s="126"/>
      <c r="CD391" s="126"/>
      <c r="CE391" s="143"/>
    </row>
    <row r="392" spans="1:83">
      <c r="A392" s="107"/>
      <c r="B392" s="107"/>
      <c r="C392" s="107"/>
      <c r="D392" s="107"/>
      <c r="E392" s="551"/>
      <c r="F392" s="552"/>
      <c r="G392" s="552"/>
      <c r="H392" s="553"/>
      <c r="I392" s="545"/>
      <c r="J392" s="546"/>
      <c r="K392" s="546"/>
      <c r="L392" s="547"/>
      <c r="M392" s="545"/>
      <c r="N392" s="546"/>
      <c r="O392" s="546"/>
      <c r="P392" s="547"/>
      <c r="Q392" s="545"/>
      <c r="R392" s="546"/>
      <c r="S392" s="546"/>
      <c r="T392" s="547"/>
      <c r="U392" s="545"/>
      <c r="V392" s="546"/>
      <c r="W392" s="546"/>
      <c r="X392" s="547"/>
      <c r="Y392" s="545"/>
      <c r="Z392" s="546"/>
      <c r="AA392" s="546"/>
      <c r="AB392" s="547"/>
      <c r="AC392" s="545"/>
      <c r="AD392" s="546"/>
      <c r="AE392" s="546"/>
      <c r="AF392" s="547"/>
      <c r="AG392" s="545"/>
      <c r="AH392" s="546"/>
      <c r="AI392" s="546"/>
      <c r="AJ392" s="547"/>
      <c r="AK392" s="545"/>
      <c r="AL392" s="546"/>
      <c r="AM392" s="546"/>
      <c r="AN392" s="547"/>
      <c r="AO392" s="545"/>
      <c r="AP392" s="546"/>
      <c r="AQ392" s="546"/>
      <c r="AR392" s="547"/>
      <c r="AS392" s="545"/>
      <c r="AT392" s="546"/>
      <c r="AU392" s="546"/>
      <c r="AV392" s="547"/>
      <c r="AW392" s="545"/>
      <c r="AX392" s="546"/>
      <c r="AY392" s="546"/>
      <c r="AZ392" s="547"/>
      <c r="BG392" s="93"/>
      <c r="BH392" s="93"/>
      <c r="BI392" s="93"/>
      <c r="BJ392" s="217"/>
      <c r="BK392" s="164"/>
      <c r="BL392" s="165"/>
      <c r="BM392" s="165"/>
      <c r="BN392" s="165"/>
      <c r="BO392" s="165"/>
      <c r="BP392" s="165"/>
      <c r="BQ392" s="165"/>
      <c r="BR392" s="165"/>
      <c r="BS392" s="165"/>
      <c r="BT392" s="165"/>
      <c r="BU392" s="165"/>
      <c r="BV392" s="165"/>
      <c r="BW392" s="165"/>
      <c r="BX392" s="165"/>
      <c r="BY392" s="165"/>
      <c r="BZ392" s="165"/>
      <c r="CA392" s="165"/>
      <c r="CB392" s="217"/>
      <c r="CC392" s="126"/>
      <c r="CD392" s="126"/>
      <c r="CE392" s="143"/>
    </row>
    <row r="393" spans="1:83">
      <c r="A393" s="107"/>
      <c r="B393" s="107"/>
      <c r="C393" s="107"/>
      <c r="D393" s="107"/>
      <c r="E393" s="548"/>
      <c r="F393" s="549"/>
      <c r="G393" s="549"/>
      <c r="H393" s="550"/>
      <c r="I393" s="540"/>
      <c r="J393" s="541"/>
      <c r="K393" s="541"/>
      <c r="L393" s="542"/>
      <c r="M393" s="540"/>
      <c r="N393" s="541"/>
      <c r="O393" s="541"/>
      <c r="P393" s="542"/>
      <c r="Q393" s="540"/>
      <c r="R393" s="541"/>
      <c r="S393" s="541"/>
      <c r="T393" s="542"/>
      <c r="U393" s="540"/>
      <c r="V393" s="541"/>
      <c r="W393" s="541"/>
      <c r="X393" s="542"/>
      <c r="Y393" s="540"/>
      <c r="Z393" s="541"/>
      <c r="AA393" s="541"/>
      <c r="AB393" s="542"/>
      <c r="AC393" s="540"/>
      <c r="AD393" s="541"/>
      <c r="AE393" s="541"/>
      <c r="AF393" s="542"/>
      <c r="AG393" s="540"/>
      <c r="AH393" s="541"/>
      <c r="AI393" s="541"/>
      <c r="AJ393" s="542"/>
      <c r="AK393" s="540"/>
      <c r="AL393" s="541"/>
      <c r="AM393" s="541"/>
      <c r="AN393" s="542"/>
      <c r="AO393" s="540"/>
      <c r="AP393" s="541"/>
      <c r="AQ393" s="541"/>
      <c r="AR393" s="542"/>
      <c r="AS393" s="540"/>
      <c r="AT393" s="541"/>
      <c r="AU393" s="541"/>
      <c r="AV393" s="542"/>
      <c r="AW393" s="540"/>
      <c r="AX393" s="541"/>
      <c r="AY393" s="541"/>
      <c r="AZ393" s="542"/>
      <c r="BG393" s="93"/>
      <c r="BH393" s="93"/>
      <c r="BI393" s="93"/>
      <c r="BJ393" s="217"/>
      <c r="BK393" s="164"/>
      <c r="BL393" s="165"/>
      <c r="BM393" s="165"/>
      <c r="BN393" s="165"/>
      <c r="BO393" s="165"/>
      <c r="BP393" s="165"/>
      <c r="BQ393" s="165"/>
      <c r="BR393" s="165"/>
      <c r="BS393" s="165"/>
      <c r="BT393" s="165"/>
      <c r="BU393" s="165"/>
      <c r="BV393" s="165"/>
      <c r="BW393" s="165"/>
      <c r="BX393" s="165"/>
      <c r="BY393" s="165"/>
      <c r="BZ393" s="165"/>
      <c r="CA393" s="165"/>
      <c r="CB393" s="217"/>
      <c r="CC393" s="126"/>
      <c r="CD393" s="126"/>
      <c r="CE393" s="143"/>
    </row>
    <row r="394" spans="1:83">
      <c r="A394" s="107"/>
      <c r="B394" s="107"/>
      <c r="C394" s="107"/>
      <c r="D394" s="107"/>
      <c r="E394" s="551"/>
      <c r="F394" s="552"/>
      <c r="G394" s="552"/>
      <c r="H394" s="553"/>
      <c r="I394" s="545"/>
      <c r="J394" s="546"/>
      <c r="K394" s="546"/>
      <c r="L394" s="547"/>
      <c r="M394" s="545"/>
      <c r="N394" s="546"/>
      <c r="O394" s="546"/>
      <c r="P394" s="547"/>
      <c r="Q394" s="545"/>
      <c r="R394" s="546"/>
      <c r="S394" s="546"/>
      <c r="T394" s="547"/>
      <c r="U394" s="545"/>
      <c r="V394" s="546"/>
      <c r="W394" s="546"/>
      <c r="X394" s="547"/>
      <c r="Y394" s="545"/>
      <c r="Z394" s="546"/>
      <c r="AA394" s="546"/>
      <c r="AB394" s="547"/>
      <c r="AC394" s="545"/>
      <c r="AD394" s="546"/>
      <c r="AE394" s="546"/>
      <c r="AF394" s="547"/>
      <c r="AG394" s="545"/>
      <c r="AH394" s="546"/>
      <c r="AI394" s="546"/>
      <c r="AJ394" s="547"/>
      <c r="AK394" s="545"/>
      <c r="AL394" s="546"/>
      <c r="AM394" s="546"/>
      <c r="AN394" s="547"/>
      <c r="AO394" s="545"/>
      <c r="AP394" s="546"/>
      <c r="AQ394" s="546"/>
      <c r="AR394" s="547"/>
      <c r="AS394" s="545"/>
      <c r="AT394" s="546"/>
      <c r="AU394" s="546"/>
      <c r="AV394" s="547"/>
      <c r="AW394" s="545"/>
      <c r="AX394" s="546"/>
      <c r="AY394" s="546"/>
      <c r="AZ394" s="547"/>
      <c r="BG394" s="93"/>
      <c r="BH394" s="93"/>
      <c r="BI394" s="93"/>
      <c r="BJ394" s="217"/>
      <c r="BK394" s="164"/>
      <c r="BL394" s="165"/>
      <c r="BM394" s="165"/>
      <c r="BN394" s="165"/>
      <c r="BO394" s="165"/>
      <c r="BP394" s="165"/>
      <c r="BQ394" s="165"/>
      <c r="BR394" s="165"/>
      <c r="BS394" s="165"/>
      <c r="BT394" s="165"/>
      <c r="BU394" s="165"/>
      <c r="BV394" s="165"/>
      <c r="BW394" s="165"/>
      <c r="BX394" s="165"/>
      <c r="BY394" s="165"/>
      <c r="BZ394" s="165"/>
      <c r="CA394" s="165"/>
      <c r="CB394" s="217"/>
      <c r="CC394" s="126"/>
      <c r="CD394" s="126"/>
      <c r="CE394" s="143"/>
    </row>
    <row r="395" spans="1:83">
      <c r="A395" s="107"/>
      <c r="B395" s="107"/>
      <c r="C395" s="107"/>
      <c r="D395" s="107"/>
      <c r="E395" s="548"/>
      <c r="F395" s="549"/>
      <c r="G395" s="549"/>
      <c r="H395" s="550"/>
      <c r="I395" s="540"/>
      <c r="J395" s="541"/>
      <c r="K395" s="541"/>
      <c r="L395" s="542"/>
      <c r="M395" s="540"/>
      <c r="N395" s="541"/>
      <c r="O395" s="541"/>
      <c r="P395" s="542"/>
      <c r="Q395" s="540"/>
      <c r="R395" s="541"/>
      <c r="S395" s="541"/>
      <c r="T395" s="542"/>
      <c r="U395" s="540"/>
      <c r="V395" s="541"/>
      <c r="W395" s="541"/>
      <c r="X395" s="542"/>
      <c r="Y395" s="540"/>
      <c r="Z395" s="541"/>
      <c r="AA395" s="541"/>
      <c r="AB395" s="542"/>
      <c r="AC395" s="540"/>
      <c r="AD395" s="541"/>
      <c r="AE395" s="541"/>
      <c r="AF395" s="542"/>
      <c r="AG395" s="540"/>
      <c r="AH395" s="541"/>
      <c r="AI395" s="541"/>
      <c r="AJ395" s="542"/>
      <c r="AK395" s="540"/>
      <c r="AL395" s="541"/>
      <c r="AM395" s="541"/>
      <c r="AN395" s="542"/>
      <c r="AO395" s="540"/>
      <c r="AP395" s="541"/>
      <c r="AQ395" s="541"/>
      <c r="AR395" s="542"/>
      <c r="AS395" s="540"/>
      <c r="AT395" s="541"/>
      <c r="AU395" s="541"/>
      <c r="AV395" s="542"/>
      <c r="AW395" s="540"/>
      <c r="AX395" s="541"/>
      <c r="AY395" s="541"/>
      <c r="AZ395" s="542"/>
      <c r="BG395" s="93"/>
      <c r="BH395" s="93"/>
      <c r="BI395" s="93"/>
      <c r="BJ395" s="217"/>
      <c r="BK395" s="164"/>
      <c r="BL395" s="165"/>
      <c r="BM395" s="165"/>
      <c r="BN395" s="165"/>
      <c r="BO395" s="165"/>
      <c r="BP395" s="165"/>
      <c r="BQ395" s="165"/>
      <c r="BR395" s="165"/>
      <c r="BS395" s="165"/>
      <c r="BT395" s="165"/>
      <c r="BU395" s="165"/>
      <c r="BV395" s="165"/>
      <c r="BW395" s="165"/>
      <c r="BX395" s="165"/>
      <c r="BY395" s="165"/>
      <c r="BZ395" s="165"/>
      <c r="CA395" s="165"/>
      <c r="CB395" s="217"/>
      <c r="CC395" s="126"/>
      <c r="CD395" s="126"/>
      <c r="CE395" s="143"/>
    </row>
    <row r="396" spans="1:83">
      <c r="A396" s="107"/>
      <c r="B396" s="107"/>
      <c r="C396" s="107"/>
      <c r="D396" s="107"/>
      <c r="E396" s="551"/>
      <c r="F396" s="552"/>
      <c r="G396" s="552"/>
      <c r="H396" s="553"/>
      <c r="I396" s="545"/>
      <c r="J396" s="546"/>
      <c r="K396" s="546"/>
      <c r="L396" s="547"/>
      <c r="M396" s="545"/>
      <c r="N396" s="546"/>
      <c r="O396" s="546"/>
      <c r="P396" s="547"/>
      <c r="Q396" s="545"/>
      <c r="R396" s="546"/>
      <c r="S396" s="546"/>
      <c r="T396" s="547"/>
      <c r="U396" s="545"/>
      <c r="V396" s="546"/>
      <c r="W396" s="546"/>
      <c r="X396" s="547"/>
      <c r="Y396" s="545"/>
      <c r="Z396" s="546"/>
      <c r="AA396" s="546"/>
      <c r="AB396" s="547"/>
      <c r="AC396" s="545"/>
      <c r="AD396" s="546"/>
      <c r="AE396" s="546"/>
      <c r="AF396" s="547"/>
      <c r="AG396" s="545"/>
      <c r="AH396" s="546"/>
      <c r="AI396" s="546"/>
      <c r="AJ396" s="547"/>
      <c r="AK396" s="545"/>
      <c r="AL396" s="546"/>
      <c r="AM396" s="546"/>
      <c r="AN396" s="547"/>
      <c r="AO396" s="545"/>
      <c r="AP396" s="546"/>
      <c r="AQ396" s="546"/>
      <c r="AR396" s="547"/>
      <c r="AS396" s="545"/>
      <c r="AT396" s="546"/>
      <c r="AU396" s="546"/>
      <c r="AV396" s="547"/>
      <c r="AW396" s="545"/>
      <c r="AX396" s="546"/>
      <c r="AY396" s="546"/>
      <c r="AZ396" s="547"/>
      <c r="BG396" s="93"/>
      <c r="BH396" s="93"/>
      <c r="BI396" s="93"/>
      <c r="BJ396" s="217"/>
      <c r="BK396" s="164"/>
      <c r="BL396" s="165"/>
      <c r="BM396" s="165"/>
      <c r="BN396" s="165"/>
      <c r="BO396" s="165"/>
      <c r="BP396" s="165"/>
      <c r="BQ396" s="165"/>
      <c r="BR396" s="165"/>
      <c r="BS396" s="165"/>
      <c r="BT396" s="165"/>
      <c r="BU396" s="165"/>
      <c r="BV396" s="165"/>
      <c r="BW396" s="165"/>
      <c r="BX396" s="165"/>
      <c r="BY396" s="165"/>
      <c r="BZ396" s="165"/>
      <c r="CA396" s="165"/>
      <c r="CB396" s="217"/>
      <c r="CC396" s="126"/>
      <c r="CD396" s="126"/>
      <c r="CE396" s="143"/>
    </row>
    <row r="397" spans="1:83">
      <c r="A397" s="107"/>
      <c r="B397" s="107"/>
      <c r="C397" s="107"/>
      <c r="D397" s="107"/>
      <c r="E397" s="548"/>
      <c r="F397" s="549"/>
      <c r="G397" s="549"/>
      <c r="H397" s="550"/>
      <c r="I397" s="540"/>
      <c r="J397" s="541"/>
      <c r="K397" s="541"/>
      <c r="L397" s="542"/>
      <c r="M397" s="540"/>
      <c r="N397" s="541"/>
      <c r="O397" s="541"/>
      <c r="P397" s="542"/>
      <c r="Q397" s="540"/>
      <c r="R397" s="541"/>
      <c r="S397" s="541"/>
      <c r="T397" s="542"/>
      <c r="U397" s="540"/>
      <c r="V397" s="541"/>
      <c r="W397" s="541"/>
      <c r="X397" s="542"/>
      <c r="Y397" s="540"/>
      <c r="Z397" s="541"/>
      <c r="AA397" s="541"/>
      <c r="AB397" s="542"/>
      <c r="AC397" s="540"/>
      <c r="AD397" s="541"/>
      <c r="AE397" s="541"/>
      <c r="AF397" s="542"/>
      <c r="AG397" s="540"/>
      <c r="AH397" s="541"/>
      <c r="AI397" s="541"/>
      <c r="AJ397" s="542"/>
      <c r="AK397" s="540"/>
      <c r="AL397" s="541"/>
      <c r="AM397" s="541"/>
      <c r="AN397" s="542"/>
      <c r="AO397" s="540"/>
      <c r="AP397" s="541"/>
      <c r="AQ397" s="541"/>
      <c r="AR397" s="542"/>
      <c r="AS397" s="540"/>
      <c r="AT397" s="541"/>
      <c r="AU397" s="541"/>
      <c r="AV397" s="542"/>
      <c r="AW397" s="540"/>
      <c r="AX397" s="541"/>
      <c r="AY397" s="541"/>
      <c r="AZ397" s="542"/>
      <c r="BG397" s="93"/>
      <c r="BH397" s="93"/>
      <c r="BI397" s="93"/>
      <c r="BJ397" s="217"/>
      <c r="BK397" s="164"/>
      <c r="BL397" s="165"/>
      <c r="BM397" s="165"/>
      <c r="BN397" s="165"/>
      <c r="BO397" s="165"/>
      <c r="BP397" s="165"/>
      <c r="BQ397" s="165"/>
      <c r="BR397" s="165"/>
      <c r="BS397" s="165"/>
      <c r="BT397" s="165"/>
      <c r="BU397" s="165"/>
      <c r="BV397" s="165"/>
      <c r="BW397" s="165"/>
      <c r="BX397" s="165"/>
      <c r="BY397" s="165"/>
      <c r="BZ397" s="165"/>
      <c r="CA397" s="165"/>
      <c r="CB397" s="217"/>
      <c r="CC397" s="126"/>
      <c r="CD397" s="126"/>
      <c r="CE397" s="143"/>
    </row>
    <row r="398" spans="1:83">
      <c r="A398" s="107"/>
      <c r="B398" s="107"/>
      <c r="C398" s="107"/>
      <c r="D398" s="107"/>
      <c r="E398" s="551"/>
      <c r="F398" s="552"/>
      <c r="G398" s="552"/>
      <c r="H398" s="553"/>
      <c r="I398" s="545"/>
      <c r="J398" s="546"/>
      <c r="K398" s="546"/>
      <c r="L398" s="547"/>
      <c r="M398" s="545"/>
      <c r="N398" s="546"/>
      <c r="O398" s="546"/>
      <c r="P398" s="547"/>
      <c r="Q398" s="545"/>
      <c r="R398" s="546"/>
      <c r="S398" s="546"/>
      <c r="T398" s="547"/>
      <c r="U398" s="545"/>
      <c r="V398" s="546"/>
      <c r="W398" s="546"/>
      <c r="X398" s="547"/>
      <c r="Y398" s="545"/>
      <c r="Z398" s="546"/>
      <c r="AA398" s="546"/>
      <c r="AB398" s="547"/>
      <c r="AC398" s="545"/>
      <c r="AD398" s="546"/>
      <c r="AE398" s="546"/>
      <c r="AF398" s="547"/>
      <c r="AG398" s="545"/>
      <c r="AH398" s="546"/>
      <c r="AI398" s="546"/>
      <c r="AJ398" s="547"/>
      <c r="AK398" s="545"/>
      <c r="AL398" s="546"/>
      <c r="AM398" s="546"/>
      <c r="AN398" s="547"/>
      <c r="AO398" s="545"/>
      <c r="AP398" s="546"/>
      <c r="AQ398" s="546"/>
      <c r="AR398" s="547"/>
      <c r="AS398" s="545"/>
      <c r="AT398" s="546"/>
      <c r="AU398" s="546"/>
      <c r="AV398" s="547"/>
      <c r="AW398" s="545"/>
      <c r="AX398" s="546"/>
      <c r="AY398" s="546"/>
      <c r="AZ398" s="547"/>
      <c r="BG398" s="93"/>
      <c r="BH398" s="93"/>
      <c r="BI398" s="93"/>
      <c r="BJ398" s="217"/>
      <c r="BK398" s="164"/>
      <c r="BL398" s="165"/>
      <c r="BM398" s="165"/>
      <c r="BN398" s="165"/>
      <c r="BO398" s="165"/>
      <c r="BP398" s="165"/>
      <c r="BQ398" s="165"/>
      <c r="BR398" s="165"/>
      <c r="BS398" s="165"/>
      <c r="BT398" s="165"/>
      <c r="BU398" s="165"/>
      <c r="BV398" s="165"/>
      <c r="BW398" s="165"/>
      <c r="BX398" s="165"/>
      <c r="BY398" s="165"/>
      <c r="BZ398" s="165"/>
      <c r="CA398" s="165"/>
      <c r="CB398" s="217"/>
      <c r="CC398" s="126"/>
      <c r="CD398" s="126"/>
      <c r="CE398" s="143"/>
    </row>
    <row r="399" spans="1:83">
      <c r="A399" s="107"/>
      <c r="B399" s="107"/>
      <c r="C399" s="107"/>
      <c r="D399" s="107"/>
      <c r="E399" s="548"/>
      <c r="F399" s="549"/>
      <c r="G399" s="549"/>
      <c r="H399" s="550"/>
      <c r="I399" s="540"/>
      <c r="J399" s="541"/>
      <c r="K399" s="541"/>
      <c r="L399" s="542"/>
      <c r="M399" s="540"/>
      <c r="N399" s="541"/>
      <c r="O399" s="541"/>
      <c r="P399" s="542"/>
      <c r="Q399" s="540"/>
      <c r="R399" s="541"/>
      <c r="S399" s="541"/>
      <c r="T399" s="542"/>
      <c r="U399" s="540"/>
      <c r="V399" s="541"/>
      <c r="W399" s="541"/>
      <c r="X399" s="542"/>
      <c r="Y399" s="540"/>
      <c r="Z399" s="541"/>
      <c r="AA399" s="541"/>
      <c r="AB399" s="542"/>
      <c r="AC399" s="540"/>
      <c r="AD399" s="541"/>
      <c r="AE399" s="541"/>
      <c r="AF399" s="542"/>
      <c r="AG399" s="540"/>
      <c r="AH399" s="541"/>
      <c r="AI399" s="541"/>
      <c r="AJ399" s="542"/>
      <c r="AK399" s="540"/>
      <c r="AL399" s="541"/>
      <c r="AM399" s="541"/>
      <c r="AN399" s="542"/>
      <c r="AO399" s="540"/>
      <c r="AP399" s="541"/>
      <c r="AQ399" s="541"/>
      <c r="AR399" s="542"/>
      <c r="AS399" s="540"/>
      <c r="AT399" s="541"/>
      <c r="AU399" s="541"/>
      <c r="AV399" s="542"/>
      <c r="AW399" s="540"/>
      <c r="AX399" s="541"/>
      <c r="AY399" s="541"/>
      <c r="AZ399" s="542"/>
      <c r="BG399" s="93"/>
      <c r="BH399" s="93"/>
      <c r="BI399" s="93"/>
      <c r="BJ399" s="217"/>
      <c r="BK399" s="164"/>
      <c r="BL399" s="165"/>
      <c r="BM399" s="165"/>
      <c r="BN399" s="165"/>
      <c r="BO399" s="165"/>
      <c r="BP399" s="165"/>
      <c r="BQ399" s="165"/>
      <c r="BR399" s="165"/>
      <c r="BS399" s="165"/>
      <c r="BT399" s="165"/>
      <c r="BU399" s="165"/>
      <c r="BV399" s="165"/>
      <c r="BW399" s="165"/>
      <c r="BX399" s="165"/>
      <c r="BY399" s="165"/>
      <c r="BZ399" s="165"/>
      <c r="CA399" s="165"/>
      <c r="CB399" s="217"/>
      <c r="CC399" s="126"/>
      <c r="CD399" s="126"/>
      <c r="CE399" s="143"/>
    </row>
    <row r="400" spans="1:83">
      <c r="A400" s="107"/>
      <c r="B400" s="107"/>
      <c r="C400" s="107"/>
      <c r="D400" s="107"/>
      <c r="E400" s="551"/>
      <c r="F400" s="552"/>
      <c r="G400" s="552"/>
      <c r="H400" s="553"/>
      <c r="I400" s="545"/>
      <c r="J400" s="546"/>
      <c r="K400" s="546"/>
      <c r="L400" s="547"/>
      <c r="M400" s="545"/>
      <c r="N400" s="546"/>
      <c r="O400" s="546"/>
      <c r="P400" s="547"/>
      <c r="Q400" s="545"/>
      <c r="R400" s="546"/>
      <c r="S400" s="546"/>
      <c r="T400" s="547"/>
      <c r="U400" s="545"/>
      <c r="V400" s="546"/>
      <c r="W400" s="546"/>
      <c r="X400" s="547"/>
      <c r="Y400" s="545"/>
      <c r="Z400" s="546"/>
      <c r="AA400" s="546"/>
      <c r="AB400" s="547"/>
      <c r="AC400" s="545"/>
      <c r="AD400" s="546"/>
      <c r="AE400" s="546"/>
      <c r="AF400" s="547"/>
      <c r="AG400" s="545"/>
      <c r="AH400" s="546"/>
      <c r="AI400" s="546"/>
      <c r="AJ400" s="547"/>
      <c r="AK400" s="545"/>
      <c r="AL400" s="546"/>
      <c r="AM400" s="546"/>
      <c r="AN400" s="547"/>
      <c r="AO400" s="545"/>
      <c r="AP400" s="546"/>
      <c r="AQ400" s="546"/>
      <c r="AR400" s="547"/>
      <c r="AS400" s="545"/>
      <c r="AT400" s="546"/>
      <c r="AU400" s="546"/>
      <c r="AV400" s="547"/>
      <c r="AW400" s="545"/>
      <c r="AX400" s="546"/>
      <c r="AY400" s="546"/>
      <c r="AZ400" s="547"/>
      <c r="BG400" s="93"/>
      <c r="BH400" s="93"/>
      <c r="BI400" s="93"/>
      <c r="BJ400" s="217"/>
      <c r="BK400" s="164"/>
      <c r="BL400" s="165"/>
      <c r="BM400" s="165"/>
      <c r="BN400" s="165"/>
      <c r="BO400" s="165"/>
      <c r="BP400" s="165"/>
      <c r="BQ400" s="165"/>
      <c r="BR400" s="165"/>
      <c r="BS400" s="165"/>
      <c r="BT400" s="165"/>
      <c r="BU400" s="165"/>
      <c r="BV400" s="165"/>
      <c r="BW400" s="165"/>
      <c r="BX400" s="165"/>
      <c r="BY400" s="165"/>
      <c r="BZ400" s="165"/>
      <c r="CA400" s="165"/>
      <c r="CB400" s="217"/>
      <c r="CC400" s="126"/>
      <c r="CD400" s="126"/>
      <c r="CE400" s="143"/>
    </row>
    <row r="401" spans="1:83">
      <c r="A401" s="107"/>
      <c r="B401" s="107"/>
      <c r="C401" s="107"/>
      <c r="D401" s="107"/>
      <c r="E401" s="548"/>
      <c r="F401" s="549"/>
      <c r="G401" s="549"/>
      <c r="H401" s="550"/>
      <c r="I401" s="540"/>
      <c r="J401" s="541"/>
      <c r="K401" s="541"/>
      <c r="L401" s="542"/>
      <c r="M401" s="540"/>
      <c r="N401" s="541"/>
      <c r="O401" s="541"/>
      <c r="P401" s="542"/>
      <c r="Q401" s="540"/>
      <c r="R401" s="541"/>
      <c r="S401" s="541"/>
      <c r="T401" s="542"/>
      <c r="U401" s="540"/>
      <c r="V401" s="541"/>
      <c r="W401" s="541"/>
      <c r="X401" s="542"/>
      <c r="Y401" s="540"/>
      <c r="Z401" s="541"/>
      <c r="AA401" s="541"/>
      <c r="AB401" s="542"/>
      <c r="AC401" s="540"/>
      <c r="AD401" s="541"/>
      <c r="AE401" s="541"/>
      <c r="AF401" s="542"/>
      <c r="AG401" s="540"/>
      <c r="AH401" s="541"/>
      <c r="AI401" s="541"/>
      <c r="AJ401" s="542"/>
      <c r="AK401" s="540"/>
      <c r="AL401" s="541"/>
      <c r="AM401" s="541"/>
      <c r="AN401" s="542"/>
      <c r="AO401" s="540"/>
      <c r="AP401" s="541"/>
      <c r="AQ401" s="541"/>
      <c r="AR401" s="542"/>
      <c r="AS401" s="540"/>
      <c r="AT401" s="541"/>
      <c r="AU401" s="541"/>
      <c r="AV401" s="542"/>
      <c r="AW401" s="540"/>
      <c r="AX401" s="541"/>
      <c r="AY401" s="541"/>
      <c r="AZ401" s="542"/>
      <c r="BG401" s="93"/>
      <c r="BH401" s="93"/>
      <c r="BI401" s="93"/>
      <c r="BJ401" s="217"/>
      <c r="BK401" s="164"/>
      <c r="BL401" s="165"/>
      <c r="BM401" s="165"/>
      <c r="BN401" s="165"/>
      <c r="BO401" s="165"/>
      <c r="BP401" s="165"/>
      <c r="BQ401" s="165"/>
      <c r="BR401" s="165"/>
      <c r="BS401" s="165"/>
      <c r="BT401" s="165"/>
      <c r="BU401" s="165"/>
      <c r="BV401" s="165"/>
      <c r="BW401" s="165"/>
      <c r="BX401" s="165"/>
      <c r="BY401" s="165"/>
      <c r="BZ401" s="165"/>
      <c r="CA401" s="165"/>
      <c r="CB401" s="217"/>
      <c r="CC401" s="126"/>
      <c r="CD401" s="126"/>
      <c r="CE401" s="143"/>
    </row>
    <row r="402" spans="1:83">
      <c r="A402" s="107"/>
      <c r="B402" s="107"/>
      <c r="C402" s="107"/>
      <c r="D402" s="107"/>
      <c r="E402" s="551"/>
      <c r="F402" s="552"/>
      <c r="G402" s="552"/>
      <c r="H402" s="553"/>
      <c r="I402" s="545"/>
      <c r="J402" s="546"/>
      <c r="K402" s="546"/>
      <c r="L402" s="547"/>
      <c r="M402" s="545"/>
      <c r="N402" s="546"/>
      <c r="O402" s="546"/>
      <c r="P402" s="547"/>
      <c r="Q402" s="545"/>
      <c r="R402" s="546"/>
      <c r="S402" s="546"/>
      <c r="T402" s="547"/>
      <c r="U402" s="545"/>
      <c r="V402" s="546"/>
      <c r="W402" s="546"/>
      <c r="X402" s="547"/>
      <c r="Y402" s="545"/>
      <c r="Z402" s="546"/>
      <c r="AA402" s="546"/>
      <c r="AB402" s="547"/>
      <c r="AC402" s="545"/>
      <c r="AD402" s="546"/>
      <c r="AE402" s="546"/>
      <c r="AF402" s="547"/>
      <c r="AG402" s="545"/>
      <c r="AH402" s="546"/>
      <c r="AI402" s="546"/>
      <c r="AJ402" s="547"/>
      <c r="AK402" s="545"/>
      <c r="AL402" s="546"/>
      <c r="AM402" s="546"/>
      <c r="AN402" s="547"/>
      <c r="AO402" s="545"/>
      <c r="AP402" s="546"/>
      <c r="AQ402" s="546"/>
      <c r="AR402" s="547"/>
      <c r="AS402" s="545"/>
      <c r="AT402" s="546"/>
      <c r="AU402" s="546"/>
      <c r="AV402" s="547"/>
      <c r="AW402" s="545"/>
      <c r="AX402" s="546"/>
      <c r="AY402" s="546"/>
      <c r="AZ402" s="547"/>
      <c r="BG402" s="93"/>
      <c r="BH402" s="93"/>
      <c r="BI402" s="93"/>
      <c r="BJ402" s="217"/>
      <c r="BK402" s="164"/>
      <c r="BL402" s="165"/>
      <c r="BM402" s="165"/>
      <c r="BN402" s="165"/>
      <c r="BO402" s="165"/>
      <c r="BP402" s="165"/>
      <c r="BQ402" s="165"/>
      <c r="BR402" s="165"/>
      <c r="BS402" s="165"/>
      <c r="BT402" s="165"/>
      <c r="BU402" s="165"/>
      <c r="BV402" s="165"/>
      <c r="BW402" s="165"/>
      <c r="BX402" s="165"/>
      <c r="BY402" s="165"/>
      <c r="BZ402" s="165"/>
      <c r="CA402" s="165"/>
      <c r="CB402" s="217"/>
      <c r="CC402" s="126"/>
      <c r="CD402" s="126"/>
      <c r="CE402" s="143"/>
    </row>
    <row r="403" spans="1:83">
      <c r="A403" s="107"/>
      <c r="B403" s="107"/>
      <c r="C403" s="107"/>
      <c r="D403" s="107"/>
      <c r="E403" s="548"/>
      <c r="F403" s="549"/>
      <c r="G403" s="549"/>
      <c r="H403" s="550"/>
      <c r="I403" s="540"/>
      <c r="J403" s="541"/>
      <c r="K403" s="541"/>
      <c r="L403" s="542"/>
      <c r="M403" s="540"/>
      <c r="N403" s="541"/>
      <c r="O403" s="541"/>
      <c r="P403" s="542"/>
      <c r="Q403" s="540"/>
      <c r="R403" s="541"/>
      <c r="S403" s="541"/>
      <c r="T403" s="542"/>
      <c r="U403" s="540"/>
      <c r="V403" s="541"/>
      <c r="W403" s="541"/>
      <c r="X403" s="542"/>
      <c r="Y403" s="540"/>
      <c r="Z403" s="541"/>
      <c r="AA403" s="541"/>
      <c r="AB403" s="542"/>
      <c r="AC403" s="540"/>
      <c r="AD403" s="541"/>
      <c r="AE403" s="541"/>
      <c r="AF403" s="542"/>
      <c r="AG403" s="540"/>
      <c r="AH403" s="541"/>
      <c r="AI403" s="541"/>
      <c r="AJ403" s="542"/>
      <c r="AK403" s="540"/>
      <c r="AL403" s="541"/>
      <c r="AM403" s="541"/>
      <c r="AN403" s="542"/>
      <c r="AO403" s="540"/>
      <c r="AP403" s="541"/>
      <c r="AQ403" s="541"/>
      <c r="AR403" s="542"/>
      <c r="AS403" s="540"/>
      <c r="AT403" s="541"/>
      <c r="AU403" s="541"/>
      <c r="AV403" s="542"/>
      <c r="AW403" s="540"/>
      <c r="AX403" s="541"/>
      <c r="AY403" s="541"/>
      <c r="AZ403" s="542"/>
      <c r="BG403" s="93"/>
      <c r="BH403" s="93"/>
      <c r="BI403" s="93"/>
      <c r="BJ403" s="217"/>
      <c r="BK403" s="164"/>
      <c r="BL403" s="165"/>
      <c r="BM403" s="165"/>
      <c r="BN403" s="165"/>
      <c r="BO403" s="165"/>
      <c r="BP403" s="165"/>
      <c r="BQ403" s="165"/>
      <c r="BR403" s="165"/>
      <c r="BS403" s="165"/>
      <c r="BT403" s="165"/>
      <c r="BU403" s="165"/>
      <c r="BV403" s="165"/>
      <c r="BW403" s="165"/>
      <c r="BX403" s="165"/>
      <c r="BY403" s="165"/>
      <c r="BZ403" s="165"/>
      <c r="CA403" s="165"/>
      <c r="CB403" s="217"/>
      <c r="CC403" s="126"/>
      <c r="CD403" s="126"/>
      <c r="CE403" s="143"/>
    </row>
    <row r="404" spans="1:83">
      <c r="A404" s="107"/>
      <c r="B404" s="107"/>
      <c r="C404" s="107"/>
      <c r="D404" s="107"/>
      <c r="E404" s="551"/>
      <c r="F404" s="552"/>
      <c r="G404" s="552"/>
      <c r="H404" s="553"/>
      <c r="I404" s="545"/>
      <c r="J404" s="546"/>
      <c r="K404" s="546"/>
      <c r="L404" s="547"/>
      <c r="M404" s="545"/>
      <c r="N404" s="546"/>
      <c r="O404" s="546"/>
      <c r="P404" s="547"/>
      <c r="Q404" s="545"/>
      <c r="R404" s="546"/>
      <c r="S404" s="546"/>
      <c r="T404" s="547"/>
      <c r="U404" s="545"/>
      <c r="V404" s="546"/>
      <c r="W404" s="546"/>
      <c r="X404" s="547"/>
      <c r="Y404" s="545"/>
      <c r="Z404" s="546"/>
      <c r="AA404" s="546"/>
      <c r="AB404" s="547"/>
      <c r="AC404" s="545"/>
      <c r="AD404" s="546"/>
      <c r="AE404" s="546"/>
      <c r="AF404" s="547"/>
      <c r="AG404" s="545"/>
      <c r="AH404" s="546"/>
      <c r="AI404" s="546"/>
      <c r="AJ404" s="547"/>
      <c r="AK404" s="545"/>
      <c r="AL404" s="546"/>
      <c r="AM404" s="546"/>
      <c r="AN404" s="547"/>
      <c r="AO404" s="545"/>
      <c r="AP404" s="546"/>
      <c r="AQ404" s="546"/>
      <c r="AR404" s="547"/>
      <c r="AS404" s="545"/>
      <c r="AT404" s="546"/>
      <c r="AU404" s="546"/>
      <c r="AV404" s="547"/>
      <c r="AW404" s="545"/>
      <c r="AX404" s="546"/>
      <c r="AY404" s="546"/>
      <c r="AZ404" s="547"/>
      <c r="BG404" s="93"/>
      <c r="BH404" s="93"/>
      <c r="BI404" s="93"/>
      <c r="BJ404" s="217"/>
      <c r="BK404" s="164"/>
      <c r="BL404" s="165"/>
      <c r="BM404" s="165"/>
      <c r="BN404" s="165"/>
      <c r="BO404" s="165"/>
      <c r="BP404" s="165"/>
      <c r="BQ404" s="165"/>
      <c r="BR404" s="165"/>
      <c r="BS404" s="165"/>
      <c r="BT404" s="165"/>
      <c r="BU404" s="165"/>
      <c r="BV404" s="165"/>
      <c r="BW404" s="165"/>
      <c r="BX404" s="165"/>
      <c r="BY404" s="165"/>
      <c r="BZ404" s="165"/>
      <c r="CA404" s="165"/>
      <c r="CB404" s="217"/>
      <c r="CC404" s="126"/>
      <c r="CD404" s="126"/>
      <c r="CE404" s="143"/>
    </row>
    <row r="405" spans="1:83">
      <c r="A405" s="107"/>
      <c r="B405" s="107"/>
      <c r="C405" s="107"/>
      <c r="D405" s="107"/>
      <c r="E405" s="548"/>
      <c r="F405" s="549"/>
      <c r="G405" s="549"/>
      <c r="H405" s="550"/>
      <c r="I405" s="540"/>
      <c r="J405" s="541"/>
      <c r="K405" s="541"/>
      <c r="L405" s="542"/>
      <c r="M405" s="540"/>
      <c r="N405" s="541"/>
      <c r="O405" s="541"/>
      <c r="P405" s="542"/>
      <c r="Q405" s="540"/>
      <c r="R405" s="541"/>
      <c r="S405" s="541"/>
      <c r="T405" s="542"/>
      <c r="U405" s="540"/>
      <c r="V405" s="541"/>
      <c r="W405" s="541"/>
      <c r="X405" s="542"/>
      <c r="Y405" s="540"/>
      <c r="Z405" s="541"/>
      <c r="AA405" s="541"/>
      <c r="AB405" s="542"/>
      <c r="AC405" s="540"/>
      <c r="AD405" s="541"/>
      <c r="AE405" s="541"/>
      <c r="AF405" s="542"/>
      <c r="AG405" s="540"/>
      <c r="AH405" s="541"/>
      <c r="AI405" s="541"/>
      <c r="AJ405" s="542"/>
      <c r="AK405" s="540"/>
      <c r="AL405" s="541"/>
      <c r="AM405" s="541"/>
      <c r="AN405" s="542"/>
      <c r="AO405" s="540"/>
      <c r="AP405" s="541"/>
      <c r="AQ405" s="541"/>
      <c r="AR405" s="542"/>
      <c r="AS405" s="540"/>
      <c r="AT405" s="541"/>
      <c r="AU405" s="541"/>
      <c r="AV405" s="542"/>
      <c r="AW405" s="540"/>
      <c r="AX405" s="541"/>
      <c r="AY405" s="541"/>
      <c r="AZ405" s="542"/>
      <c r="BG405" s="93"/>
      <c r="BH405" s="93"/>
      <c r="BI405" s="93"/>
      <c r="BJ405" s="217"/>
      <c r="BK405" s="164"/>
      <c r="BL405" s="165"/>
      <c r="BM405" s="165"/>
      <c r="BN405" s="165"/>
      <c r="BO405" s="165"/>
      <c r="BP405" s="165"/>
      <c r="BQ405" s="165"/>
      <c r="BR405" s="165"/>
      <c r="BS405" s="165"/>
      <c r="BT405" s="165"/>
      <c r="BU405" s="165"/>
      <c r="BV405" s="165"/>
      <c r="BW405" s="165"/>
      <c r="BX405" s="165"/>
      <c r="BY405" s="165"/>
      <c r="BZ405" s="165"/>
      <c r="CA405" s="165"/>
      <c r="CB405" s="217"/>
      <c r="CC405" s="126"/>
      <c r="CD405" s="126"/>
      <c r="CE405" s="143"/>
    </row>
    <row r="406" spans="1:83">
      <c r="A406" s="107"/>
      <c r="B406" s="107"/>
      <c r="C406" s="107"/>
      <c r="D406" s="107"/>
      <c r="E406" s="551"/>
      <c r="F406" s="552"/>
      <c r="G406" s="552"/>
      <c r="H406" s="553"/>
      <c r="I406" s="545"/>
      <c r="J406" s="546"/>
      <c r="K406" s="546"/>
      <c r="L406" s="547"/>
      <c r="M406" s="545"/>
      <c r="N406" s="546"/>
      <c r="O406" s="546"/>
      <c r="P406" s="547"/>
      <c r="Q406" s="545"/>
      <c r="R406" s="546"/>
      <c r="S406" s="546"/>
      <c r="T406" s="547"/>
      <c r="U406" s="545"/>
      <c r="V406" s="546"/>
      <c r="W406" s="546"/>
      <c r="X406" s="547"/>
      <c r="Y406" s="545"/>
      <c r="Z406" s="546"/>
      <c r="AA406" s="546"/>
      <c r="AB406" s="547"/>
      <c r="AC406" s="545"/>
      <c r="AD406" s="546"/>
      <c r="AE406" s="546"/>
      <c r="AF406" s="547"/>
      <c r="AG406" s="545"/>
      <c r="AH406" s="546"/>
      <c r="AI406" s="546"/>
      <c r="AJ406" s="547"/>
      <c r="AK406" s="545"/>
      <c r="AL406" s="546"/>
      <c r="AM406" s="546"/>
      <c r="AN406" s="547"/>
      <c r="AO406" s="545"/>
      <c r="AP406" s="546"/>
      <c r="AQ406" s="546"/>
      <c r="AR406" s="547"/>
      <c r="AS406" s="545"/>
      <c r="AT406" s="546"/>
      <c r="AU406" s="546"/>
      <c r="AV406" s="547"/>
      <c r="AW406" s="545"/>
      <c r="AX406" s="546"/>
      <c r="AY406" s="546"/>
      <c r="AZ406" s="547"/>
      <c r="BG406" s="93"/>
      <c r="BH406" s="93"/>
      <c r="BI406" s="93"/>
      <c r="BJ406" s="217"/>
      <c r="BK406" s="164"/>
      <c r="BL406" s="165"/>
      <c r="BM406" s="165"/>
      <c r="BN406" s="165"/>
      <c r="BO406" s="165"/>
      <c r="BP406" s="165"/>
      <c r="BQ406" s="165"/>
      <c r="BR406" s="165"/>
      <c r="BS406" s="165"/>
      <c r="BT406" s="165"/>
      <c r="BU406" s="165"/>
      <c r="BV406" s="165"/>
      <c r="BW406" s="165"/>
      <c r="BX406" s="165"/>
      <c r="BY406" s="165"/>
      <c r="BZ406" s="165"/>
      <c r="CA406" s="165"/>
      <c r="CB406" s="217"/>
      <c r="CC406" s="126"/>
      <c r="CD406" s="126"/>
      <c r="CE406" s="143"/>
    </row>
    <row r="407" spans="1:83">
      <c r="A407" s="107"/>
      <c r="B407" s="107"/>
      <c r="C407" s="107"/>
      <c r="D407" s="107"/>
      <c r="E407" s="548"/>
      <c r="F407" s="549"/>
      <c r="G407" s="549"/>
      <c r="H407" s="550"/>
      <c r="I407" s="540"/>
      <c r="J407" s="541"/>
      <c r="K407" s="541"/>
      <c r="L407" s="542"/>
      <c r="M407" s="540"/>
      <c r="N407" s="541"/>
      <c r="O407" s="541"/>
      <c r="P407" s="542"/>
      <c r="Q407" s="540"/>
      <c r="R407" s="541"/>
      <c r="S407" s="541"/>
      <c r="T407" s="542"/>
      <c r="U407" s="540"/>
      <c r="V407" s="541"/>
      <c r="W407" s="541"/>
      <c r="X407" s="542"/>
      <c r="Y407" s="540"/>
      <c r="Z407" s="541"/>
      <c r="AA407" s="541"/>
      <c r="AB407" s="542"/>
      <c r="AC407" s="540"/>
      <c r="AD407" s="541"/>
      <c r="AE407" s="541"/>
      <c r="AF407" s="542"/>
      <c r="AG407" s="540"/>
      <c r="AH407" s="541"/>
      <c r="AI407" s="541"/>
      <c r="AJ407" s="542"/>
      <c r="AK407" s="540"/>
      <c r="AL407" s="541"/>
      <c r="AM407" s="541"/>
      <c r="AN407" s="542"/>
      <c r="AO407" s="540"/>
      <c r="AP407" s="541"/>
      <c r="AQ407" s="541"/>
      <c r="AR407" s="542"/>
      <c r="AS407" s="540"/>
      <c r="AT407" s="541"/>
      <c r="AU407" s="541"/>
      <c r="AV407" s="542"/>
      <c r="AW407" s="540"/>
      <c r="AX407" s="541"/>
      <c r="AY407" s="541"/>
      <c r="AZ407" s="542"/>
      <c r="BG407" s="93"/>
      <c r="BH407" s="93"/>
      <c r="BI407" s="93"/>
      <c r="BJ407" s="217"/>
      <c r="BK407" s="164"/>
      <c r="BL407" s="165"/>
      <c r="BM407" s="165"/>
      <c r="BN407" s="165"/>
      <c r="BO407" s="165"/>
      <c r="BP407" s="165"/>
      <c r="BQ407" s="165"/>
      <c r="BR407" s="165"/>
      <c r="BS407" s="165"/>
      <c r="BT407" s="165"/>
      <c r="BU407" s="165"/>
      <c r="BV407" s="165"/>
      <c r="BW407" s="165"/>
      <c r="BX407" s="165"/>
      <c r="BY407" s="165"/>
      <c r="BZ407" s="165"/>
      <c r="CA407" s="165"/>
      <c r="CB407" s="217"/>
      <c r="CC407" s="126"/>
      <c r="CD407" s="126"/>
      <c r="CE407" s="143"/>
    </row>
    <row r="408" spans="1:83">
      <c r="A408" s="107"/>
      <c r="B408" s="107"/>
      <c r="C408" s="107"/>
      <c r="D408" s="107"/>
      <c r="E408" s="551"/>
      <c r="F408" s="552"/>
      <c r="G408" s="552"/>
      <c r="H408" s="553"/>
      <c r="I408" s="545"/>
      <c r="J408" s="546"/>
      <c r="K408" s="546"/>
      <c r="L408" s="547"/>
      <c r="M408" s="545"/>
      <c r="N408" s="546"/>
      <c r="O408" s="546"/>
      <c r="P408" s="547"/>
      <c r="Q408" s="545"/>
      <c r="R408" s="546"/>
      <c r="S408" s="546"/>
      <c r="T408" s="547"/>
      <c r="U408" s="545"/>
      <c r="V408" s="546"/>
      <c r="W408" s="546"/>
      <c r="X408" s="547"/>
      <c r="Y408" s="545"/>
      <c r="Z408" s="546"/>
      <c r="AA408" s="546"/>
      <c r="AB408" s="547"/>
      <c r="AC408" s="545"/>
      <c r="AD408" s="546"/>
      <c r="AE408" s="546"/>
      <c r="AF408" s="547"/>
      <c r="AG408" s="545"/>
      <c r="AH408" s="546"/>
      <c r="AI408" s="546"/>
      <c r="AJ408" s="547"/>
      <c r="AK408" s="545"/>
      <c r="AL408" s="546"/>
      <c r="AM408" s="546"/>
      <c r="AN408" s="547"/>
      <c r="AO408" s="545"/>
      <c r="AP408" s="546"/>
      <c r="AQ408" s="546"/>
      <c r="AR408" s="547"/>
      <c r="AS408" s="545"/>
      <c r="AT408" s="546"/>
      <c r="AU408" s="546"/>
      <c r="AV408" s="547"/>
      <c r="AW408" s="545"/>
      <c r="AX408" s="546"/>
      <c r="AY408" s="546"/>
      <c r="AZ408" s="547"/>
      <c r="BG408" s="93"/>
      <c r="BH408" s="93"/>
      <c r="BI408" s="93"/>
      <c r="BJ408" s="217"/>
      <c r="BK408" s="164"/>
      <c r="BL408" s="165"/>
      <c r="BM408" s="165"/>
      <c r="BN408" s="165"/>
      <c r="BO408" s="165"/>
      <c r="BP408" s="165"/>
      <c r="BQ408" s="165"/>
      <c r="BR408" s="165"/>
      <c r="BS408" s="165"/>
      <c r="BT408" s="165"/>
      <c r="BU408" s="165"/>
      <c r="BV408" s="165"/>
      <c r="BW408" s="165"/>
      <c r="BX408" s="165"/>
      <c r="BY408" s="165"/>
      <c r="BZ408" s="165"/>
      <c r="CA408" s="165"/>
      <c r="CB408" s="217"/>
      <c r="CC408" s="126"/>
      <c r="CD408" s="126"/>
      <c r="CE408" s="143"/>
    </row>
    <row r="409" spans="1:83">
      <c r="A409" s="107"/>
      <c r="B409" s="107"/>
      <c r="C409" s="107"/>
      <c r="D409" s="107"/>
      <c r="E409" s="548"/>
      <c r="F409" s="549"/>
      <c r="G409" s="549"/>
      <c r="H409" s="550"/>
      <c r="I409" s="540"/>
      <c r="J409" s="541"/>
      <c r="K409" s="541"/>
      <c r="L409" s="542"/>
      <c r="M409" s="540"/>
      <c r="N409" s="541"/>
      <c r="O409" s="541"/>
      <c r="P409" s="542"/>
      <c r="Q409" s="540"/>
      <c r="R409" s="541"/>
      <c r="S409" s="541"/>
      <c r="T409" s="542"/>
      <c r="U409" s="540"/>
      <c r="V409" s="541"/>
      <c r="W409" s="541"/>
      <c r="X409" s="542"/>
      <c r="Y409" s="540"/>
      <c r="Z409" s="541"/>
      <c r="AA409" s="541"/>
      <c r="AB409" s="542"/>
      <c r="AC409" s="540"/>
      <c r="AD409" s="541"/>
      <c r="AE409" s="541"/>
      <c r="AF409" s="542"/>
      <c r="AG409" s="540"/>
      <c r="AH409" s="541"/>
      <c r="AI409" s="541"/>
      <c r="AJ409" s="542"/>
      <c r="AK409" s="540"/>
      <c r="AL409" s="541"/>
      <c r="AM409" s="541"/>
      <c r="AN409" s="542"/>
      <c r="AO409" s="540"/>
      <c r="AP409" s="541"/>
      <c r="AQ409" s="541"/>
      <c r="AR409" s="542"/>
      <c r="AS409" s="540"/>
      <c r="AT409" s="541"/>
      <c r="AU409" s="541"/>
      <c r="AV409" s="542"/>
      <c r="AW409" s="540"/>
      <c r="AX409" s="541"/>
      <c r="AY409" s="541"/>
      <c r="AZ409" s="542"/>
      <c r="BG409" s="93"/>
      <c r="BH409" s="93"/>
      <c r="BI409" s="93"/>
      <c r="BJ409" s="217"/>
      <c r="BK409" s="164"/>
      <c r="BL409" s="165"/>
      <c r="BM409" s="165"/>
      <c r="BN409" s="165"/>
      <c r="BO409" s="165"/>
      <c r="BP409" s="165"/>
      <c r="BQ409" s="165"/>
      <c r="BR409" s="165"/>
      <c r="BS409" s="165"/>
      <c r="BT409" s="165"/>
      <c r="BU409" s="165"/>
      <c r="BV409" s="165"/>
      <c r="BW409" s="165"/>
      <c r="BX409" s="165"/>
      <c r="BY409" s="165"/>
      <c r="BZ409" s="165"/>
      <c r="CA409" s="165"/>
      <c r="CB409" s="217"/>
      <c r="CC409" s="126"/>
      <c r="CD409" s="126"/>
      <c r="CE409" s="143"/>
    </row>
    <row r="410" spans="1:83">
      <c r="A410" s="107"/>
      <c r="B410" s="107"/>
      <c r="C410" s="107"/>
      <c r="D410" s="107"/>
      <c r="E410" s="551"/>
      <c r="F410" s="552"/>
      <c r="G410" s="552"/>
      <c r="H410" s="553"/>
      <c r="I410" s="545"/>
      <c r="J410" s="546"/>
      <c r="K410" s="546"/>
      <c r="L410" s="547"/>
      <c r="M410" s="545"/>
      <c r="N410" s="546"/>
      <c r="O410" s="546"/>
      <c r="P410" s="547"/>
      <c r="Q410" s="545"/>
      <c r="R410" s="546"/>
      <c r="S410" s="546"/>
      <c r="T410" s="547"/>
      <c r="U410" s="545"/>
      <c r="V410" s="546"/>
      <c r="W410" s="546"/>
      <c r="X410" s="547"/>
      <c r="Y410" s="545"/>
      <c r="Z410" s="546"/>
      <c r="AA410" s="546"/>
      <c r="AB410" s="547"/>
      <c r="AC410" s="545"/>
      <c r="AD410" s="546"/>
      <c r="AE410" s="546"/>
      <c r="AF410" s="547"/>
      <c r="AG410" s="545"/>
      <c r="AH410" s="546"/>
      <c r="AI410" s="546"/>
      <c r="AJ410" s="547"/>
      <c r="AK410" s="545"/>
      <c r="AL410" s="546"/>
      <c r="AM410" s="546"/>
      <c r="AN410" s="547"/>
      <c r="AO410" s="545"/>
      <c r="AP410" s="546"/>
      <c r="AQ410" s="546"/>
      <c r="AR410" s="547"/>
      <c r="AS410" s="545"/>
      <c r="AT410" s="546"/>
      <c r="AU410" s="546"/>
      <c r="AV410" s="547"/>
      <c r="AW410" s="545"/>
      <c r="AX410" s="546"/>
      <c r="AY410" s="546"/>
      <c r="AZ410" s="547"/>
      <c r="BG410" s="93"/>
      <c r="BH410" s="93"/>
      <c r="BI410" s="93"/>
      <c r="BJ410" s="217"/>
      <c r="BK410" s="164"/>
      <c r="BL410" s="165"/>
      <c r="BM410" s="165"/>
      <c r="BN410" s="165"/>
      <c r="BO410" s="165"/>
      <c r="BP410" s="165"/>
      <c r="BQ410" s="165"/>
      <c r="BR410" s="165"/>
      <c r="BS410" s="165"/>
      <c r="BT410" s="165"/>
      <c r="BU410" s="165"/>
      <c r="BV410" s="165"/>
      <c r="BW410" s="165"/>
      <c r="BX410" s="165"/>
      <c r="BY410" s="165"/>
      <c r="BZ410" s="165"/>
      <c r="CA410" s="165"/>
      <c r="CB410" s="217"/>
      <c r="CC410" s="126"/>
      <c r="CD410" s="126"/>
      <c r="CE410" s="143"/>
    </row>
    <row r="411" spans="1:83">
      <c r="A411" s="107"/>
      <c r="B411" s="107"/>
      <c r="C411" s="107"/>
      <c r="D411" s="107"/>
      <c r="E411" s="548"/>
      <c r="F411" s="549"/>
      <c r="G411" s="549"/>
      <c r="H411" s="550"/>
      <c r="I411" s="540"/>
      <c r="J411" s="541"/>
      <c r="K411" s="541"/>
      <c r="L411" s="542"/>
      <c r="M411" s="540"/>
      <c r="N411" s="541"/>
      <c r="O411" s="541"/>
      <c r="P411" s="542"/>
      <c r="Q411" s="540"/>
      <c r="R411" s="541"/>
      <c r="S411" s="541"/>
      <c r="T411" s="542"/>
      <c r="U411" s="540"/>
      <c r="V411" s="541"/>
      <c r="W411" s="541"/>
      <c r="X411" s="542"/>
      <c r="Y411" s="540"/>
      <c r="Z411" s="541"/>
      <c r="AA411" s="541"/>
      <c r="AB411" s="542"/>
      <c r="AC411" s="540"/>
      <c r="AD411" s="541"/>
      <c r="AE411" s="541"/>
      <c r="AF411" s="542"/>
      <c r="AG411" s="540"/>
      <c r="AH411" s="541"/>
      <c r="AI411" s="541"/>
      <c r="AJ411" s="542"/>
      <c r="AK411" s="540"/>
      <c r="AL411" s="541"/>
      <c r="AM411" s="541"/>
      <c r="AN411" s="542"/>
      <c r="AO411" s="540"/>
      <c r="AP411" s="541"/>
      <c r="AQ411" s="541"/>
      <c r="AR411" s="542"/>
      <c r="AS411" s="540"/>
      <c r="AT411" s="541"/>
      <c r="AU411" s="541"/>
      <c r="AV411" s="542"/>
      <c r="AW411" s="540"/>
      <c r="AX411" s="541"/>
      <c r="AY411" s="541"/>
      <c r="AZ411" s="542"/>
      <c r="BG411" s="93"/>
      <c r="BH411" s="93"/>
      <c r="BI411" s="93"/>
      <c r="BJ411" s="217"/>
      <c r="BK411" s="164"/>
      <c r="BL411" s="165"/>
      <c r="BM411" s="165"/>
      <c r="BN411" s="165"/>
      <c r="BO411" s="165"/>
      <c r="BP411" s="165"/>
      <c r="BQ411" s="165"/>
      <c r="BR411" s="165"/>
      <c r="BS411" s="165"/>
      <c r="BT411" s="165"/>
      <c r="BU411" s="165"/>
      <c r="BV411" s="165"/>
      <c r="BW411" s="165"/>
      <c r="BX411" s="165"/>
      <c r="BY411" s="165"/>
      <c r="BZ411" s="165"/>
      <c r="CA411" s="165"/>
      <c r="CB411" s="217"/>
      <c r="CC411" s="126"/>
      <c r="CD411" s="126"/>
      <c r="CE411" s="143"/>
    </row>
    <row r="412" spans="1:83">
      <c r="A412" s="107"/>
      <c r="B412" s="107"/>
      <c r="C412" s="107"/>
      <c r="D412" s="107"/>
      <c r="E412" s="551"/>
      <c r="F412" s="552"/>
      <c r="G412" s="552"/>
      <c r="H412" s="553"/>
      <c r="I412" s="545"/>
      <c r="J412" s="546"/>
      <c r="K412" s="546"/>
      <c r="L412" s="547"/>
      <c r="M412" s="545"/>
      <c r="N412" s="546"/>
      <c r="O412" s="546"/>
      <c r="P412" s="547"/>
      <c r="Q412" s="545"/>
      <c r="R412" s="546"/>
      <c r="S412" s="546"/>
      <c r="T412" s="547"/>
      <c r="U412" s="545"/>
      <c r="V412" s="546"/>
      <c r="W412" s="546"/>
      <c r="X412" s="547"/>
      <c r="Y412" s="545"/>
      <c r="Z412" s="546"/>
      <c r="AA412" s="546"/>
      <c r="AB412" s="547"/>
      <c r="AC412" s="545"/>
      <c r="AD412" s="546"/>
      <c r="AE412" s="546"/>
      <c r="AF412" s="547"/>
      <c r="AG412" s="545"/>
      <c r="AH412" s="546"/>
      <c r="AI412" s="546"/>
      <c r="AJ412" s="547"/>
      <c r="AK412" s="545"/>
      <c r="AL412" s="546"/>
      <c r="AM412" s="546"/>
      <c r="AN412" s="547"/>
      <c r="AO412" s="545"/>
      <c r="AP412" s="546"/>
      <c r="AQ412" s="546"/>
      <c r="AR412" s="547"/>
      <c r="AS412" s="545"/>
      <c r="AT412" s="546"/>
      <c r="AU412" s="546"/>
      <c r="AV412" s="547"/>
      <c r="AW412" s="545"/>
      <c r="AX412" s="546"/>
      <c r="AY412" s="546"/>
      <c r="AZ412" s="547"/>
      <c r="BG412" s="93"/>
      <c r="BH412" s="93"/>
      <c r="BI412" s="93"/>
      <c r="BJ412" s="217"/>
      <c r="BK412" s="164"/>
      <c r="BL412" s="165"/>
      <c r="BM412" s="165"/>
      <c r="BN412" s="165"/>
      <c r="BO412" s="165"/>
      <c r="BP412" s="165"/>
      <c r="BQ412" s="165"/>
      <c r="BR412" s="165"/>
      <c r="BS412" s="165"/>
      <c r="BT412" s="165"/>
      <c r="BU412" s="165"/>
      <c r="BV412" s="165"/>
      <c r="BW412" s="165"/>
      <c r="BX412" s="165"/>
      <c r="BY412" s="165"/>
      <c r="BZ412" s="165"/>
      <c r="CA412" s="165"/>
      <c r="CB412" s="217"/>
      <c r="CC412" s="126"/>
      <c r="CD412" s="126"/>
      <c r="CE412" s="143"/>
    </row>
    <row r="413" spans="1:83">
      <c r="A413" s="107"/>
      <c r="B413" s="107"/>
      <c r="C413" s="107"/>
      <c r="D413" s="107"/>
      <c r="E413" s="548"/>
      <c r="F413" s="549"/>
      <c r="G413" s="549"/>
      <c r="H413" s="550"/>
      <c r="I413" s="540"/>
      <c r="J413" s="541"/>
      <c r="K413" s="541"/>
      <c r="L413" s="542"/>
      <c r="M413" s="540"/>
      <c r="N413" s="541"/>
      <c r="O413" s="541"/>
      <c r="P413" s="542"/>
      <c r="Q413" s="540"/>
      <c r="R413" s="541"/>
      <c r="S413" s="541"/>
      <c r="T413" s="542"/>
      <c r="U413" s="540"/>
      <c r="V413" s="541"/>
      <c r="W413" s="541"/>
      <c r="X413" s="542"/>
      <c r="Y413" s="540"/>
      <c r="Z413" s="541"/>
      <c r="AA413" s="541"/>
      <c r="AB413" s="542"/>
      <c r="AC413" s="540"/>
      <c r="AD413" s="541"/>
      <c r="AE413" s="541"/>
      <c r="AF413" s="542"/>
      <c r="AG413" s="540"/>
      <c r="AH413" s="541"/>
      <c r="AI413" s="541"/>
      <c r="AJ413" s="542"/>
      <c r="AK413" s="540"/>
      <c r="AL413" s="541"/>
      <c r="AM413" s="541"/>
      <c r="AN413" s="542"/>
      <c r="AO413" s="540"/>
      <c r="AP413" s="541"/>
      <c r="AQ413" s="541"/>
      <c r="AR413" s="542"/>
      <c r="AS413" s="540"/>
      <c r="AT413" s="541"/>
      <c r="AU413" s="541"/>
      <c r="AV413" s="542"/>
      <c r="AW413" s="540"/>
      <c r="AX413" s="541"/>
      <c r="AY413" s="541"/>
      <c r="AZ413" s="542"/>
      <c r="BG413" s="93"/>
      <c r="BH413" s="93"/>
      <c r="BI413" s="93"/>
      <c r="BJ413" s="217"/>
      <c r="BK413" s="164"/>
      <c r="BL413" s="165"/>
      <c r="BM413" s="165"/>
      <c r="BN413" s="165"/>
      <c r="BO413" s="165"/>
      <c r="BP413" s="165"/>
      <c r="BQ413" s="165"/>
      <c r="BR413" s="165"/>
      <c r="BS413" s="165"/>
      <c r="BT413" s="165"/>
      <c r="BU413" s="165"/>
      <c r="BV413" s="165"/>
      <c r="BW413" s="165"/>
      <c r="BX413" s="165"/>
      <c r="BY413" s="165"/>
      <c r="BZ413" s="165"/>
      <c r="CA413" s="165"/>
      <c r="CB413" s="217"/>
      <c r="CC413" s="126"/>
      <c r="CD413" s="126"/>
      <c r="CE413" s="143"/>
    </row>
    <row r="414" spans="1:83">
      <c r="A414" s="107"/>
      <c r="B414" s="107"/>
      <c r="C414" s="107"/>
      <c r="D414" s="107"/>
      <c r="E414" s="551"/>
      <c r="F414" s="552"/>
      <c r="G414" s="552"/>
      <c r="H414" s="553"/>
      <c r="I414" s="545"/>
      <c r="J414" s="546"/>
      <c r="K414" s="546"/>
      <c r="L414" s="547"/>
      <c r="M414" s="545"/>
      <c r="N414" s="546"/>
      <c r="O414" s="546"/>
      <c r="P414" s="547"/>
      <c r="Q414" s="545"/>
      <c r="R414" s="546"/>
      <c r="S414" s="546"/>
      <c r="T414" s="547"/>
      <c r="U414" s="545"/>
      <c r="V414" s="546"/>
      <c r="W414" s="546"/>
      <c r="X414" s="547"/>
      <c r="Y414" s="545"/>
      <c r="Z414" s="546"/>
      <c r="AA414" s="546"/>
      <c r="AB414" s="547"/>
      <c r="AC414" s="545"/>
      <c r="AD414" s="546"/>
      <c r="AE414" s="546"/>
      <c r="AF414" s="547"/>
      <c r="AG414" s="545"/>
      <c r="AH414" s="546"/>
      <c r="AI414" s="546"/>
      <c r="AJ414" s="547"/>
      <c r="AK414" s="545"/>
      <c r="AL414" s="546"/>
      <c r="AM414" s="546"/>
      <c r="AN414" s="547"/>
      <c r="AO414" s="545"/>
      <c r="AP414" s="546"/>
      <c r="AQ414" s="546"/>
      <c r="AR414" s="547"/>
      <c r="AS414" s="545"/>
      <c r="AT414" s="546"/>
      <c r="AU414" s="546"/>
      <c r="AV414" s="547"/>
      <c r="AW414" s="545"/>
      <c r="AX414" s="546"/>
      <c r="AY414" s="546"/>
      <c r="AZ414" s="547"/>
      <c r="BG414" s="93"/>
      <c r="BH414" s="93"/>
      <c r="BI414" s="93"/>
      <c r="BJ414" s="217"/>
      <c r="BK414" s="164"/>
      <c r="BL414" s="165"/>
      <c r="BM414" s="165"/>
      <c r="BN414" s="165"/>
      <c r="BO414" s="165"/>
      <c r="BP414" s="165"/>
      <c r="BQ414" s="165"/>
      <c r="BR414" s="165"/>
      <c r="BS414" s="165"/>
      <c r="BT414" s="165"/>
      <c r="BU414" s="165"/>
      <c r="BV414" s="165"/>
      <c r="BW414" s="165"/>
      <c r="BX414" s="165"/>
      <c r="BY414" s="165"/>
      <c r="BZ414" s="165"/>
      <c r="CA414" s="165"/>
      <c r="CB414" s="217"/>
      <c r="CC414" s="126"/>
      <c r="CD414" s="126"/>
      <c r="CE414" s="143"/>
    </row>
    <row r="415" spans="1:83">
      <c r="A415" s="107"/>
      <c r="B415" s="107"/>
      <c r="C415" s="107"/>
      <c r="D415" s="107"/>
      <c r="E415" s="548"/>
      <c r="F415" s="549"/>
      <c r="G415" s="549"/>
      <c r="H415" s="550"/>
      <c r="I415" s="540"/>
      <c r="J415" s="541"/>
      <c r="K415" s="541"/>
      <c r="L415" s="542"/>
      <c r="M415" s="540"/>
      <c r="N415" s="541"/>
      <c r="O415" s="541"/>
      <c r="P415" s="542"/>
      <c r="Q415" s="540"/>
      <c r="R415" s="541"/>
      <c r="S415" s="541"/>
      <c r="T415" s="542"/>
      <c r="U415" s="540"/>
      <c r="V415" s="541"/>
      <c r="W415" s="541"/>
      <c r="X415" s="542"/>
      <c r="Y415" s="540"/>
      <c r="Z415" s="541"/>
      <c r="AA415" s="541"/>
      <c r="AB415" s="542"/>
      <c r="AC415" s="540"/>
      <c r="AD415" s="541"/>
      <c r="AE415" s="541"/>
      <c r="AF415" s="542"/>
      <c r="AG415" s="540"/>
      <c r="AH415" s="541"/>
      <c r="AI415" s="541"/>
      <c r="AJ415" s="542"/>
      <c r="AK415" s="540"/>
      <c r="AL415" s="541"/>
      <c r="AM415" s="541"/>
      <c r="AN415" s="542"/>
      <c r="AO415" s="540"/>
      <c r="AP415" s="541"/>
      <c r="AQ415" s="541"/>
      <c r="AR415" s="542"/>
      <c r="AS415" s="540"/>
      <c r="AT415" s="541"/>
      <c r="AU415" s="541"/>
      <c r="AV415" s="542"/>
      <c r="AW415" s="540"/>
      <c r="AX415" s="541"/>
      <c r="AY415" s="541"/>
      <c r="AZ415" s="542"/>
      <c r="BG415" s="93"/>
      <c r="BH415" s="93"/>
      <c r="BI415" s="93"/>
      <c r="BJ415" s="217"/>
      <c r="BK415" s="164"/>
      <c r="BL415" s="165"/>
      <c r="BM415" s="165"/>
      <c r="BN415" s="165"/>
      <c r="BO415" s="165"/>
      <c r="BP415" s="165"/>
      <c r="BQ415" s="165"/>
      <c r="BR415" s="165"/>
      <c r="BS415" s="165"/>
      <c r="BT415" s="165"/>
      <c r="BU415" s="165"/>
      <c r="BV415" s="165"/>
      <c r="BW415" s="165"/>
      <c r="BX415" s="165"/>
      <c r="BY415" s="165"/>
      <c r="BZ415" s="165"/>
      <c r="CA415" s="165"/>
      <c r="CB415" s="217"/>
      <c r="CC415" s="126"/>
      <c r="CD415" s="126"/>
      <c r="CE415" s="143"/>
    </row>
    <row r="416" spans="1:83">
      <c r="A416" s="107"/>
      <c r="B416" s="107"/>
      <c r="C416" s="107"/>
      <c r="D416" s="107"/>
      <c r="E416" s="551"/>
      <c r="F416" s="552"/>
      <c r="G416" s="552"/>
      <c r="H416" s="553"/>
      <c r="I416" s="545"/>
      <c r="J416" s="546"/>
      <c r="K416" s="546"/>
      <c r="L416" s="547"/>
      <c r="M416" s="545"/>
      <c r="N416" s="546"/>
      <c r="O416" s="546"/>
      <c r="P416" s="547"/>
      <c r="Q416" s="545"/>
      <c r="R416" s="546"/>
      <c r="S416" s="546"/>
      <c r="T416" s="547"/>
      <c r="U416" s="545"/>
      <c r="V416" s="546"/>
      <c r="W416" s="546"/>
      <c r="X416" s="547"/>
      <c r="Y416" s="545"/>
      <c r="Z416" s="546"/>
      <c r="AA416" s="546"/>
      <c r="AB416" s="547"/>
      <c r="AC416" s="545"/>
      <c r="AD416" s="546"/>
      <c r="AE416" s="546"/>
      <c r="AF416" s="547"/>
      <c r="AG416" s="545"/>
      <c r="AH416" s="546"/>
      <c r="AI416" s="546"/>
      <c r="AJ416" s="547"/>
      <c r="AK416" s="545"/>
      <c r="AL416" s="546"/>
      <c r="AM416" s="546"/>
      <c r="AN416" s="547"/>
      <c r="AO416" s="545"/>
      <c r="AP416" s="546"/>
      <c r="AQ416" s="546"/>
      <c r="AR416" s="547"/>
      <c r="AS416" s="545"/>
      <c r="AT416" s="546"/>
      <c r="AU416" s="546"/>
      <c r="AV416" s="547"/>
      <c r="AW416" s="545"/>
      <c r="AX416" s="546"/>
      <c r="AY416" s="546"/>
      <c r="AZ416" s="547"/>
      <c r="BG416" s="93"/>
      <c r="BH416" s="93"/>
      <c r="BI416" s="93"/>
      <c r="BJ416" s="217"/>
      <c r="BK416" s="164"/>
      <c r="BL416" s="165"/>
      <c r="BM416" s="165"/>
      <c r="BN416" s="165"/>
      <c r="BO416" s="165"/>
      <c r="BP416" s="165"/>
      <c r="BQ416" s="165"/>
      <c r="BR416" s="165"/>
      <c r="BS416" s="165"/>
      <c r="BT416" s="165"/>
      <c r="BU416" s="165"/>
      <c r="BV416" s="165"/>
      <c r="BW416" s="165"/>
      <c r="BX416" s="165"/>
      <c r="BY416" s="165"/>
      <c r="BZ416" s="165"/>
      <c r="CA416" s="165"/>
      <c r="CB416" s="217"/>
      <c r="CC416" s="126"/>
      <c r="CD416" s="126"/>
      <c r="CE416" s="143"/>
    </row>
    <row r="417" spans="1:83">
      <c r="A417" s="107"/>
      <c r="B417" s="107"/>
      <c r="C417" s="107"/>
      <c r="D417" s="107"/>
      <c r="E417" s="548"/>
      <c r="F417" s="549"/>
      <c r="G417" s="549"/>
      <c r="H417" s="550"/>
      <c r="I417" s="540"/>
      <c r="J417" s="541"/>
      <c r="K417" s="541"/>
      <c r="L417" s="542"/>
      <c r="M417" s="540"/>
      <c r="N417" s="541"/>
      <c r="O417" s="541"/>
      <c r="P417" s="542"/>
      <c r="Q417" s="540"/>
      <c r="R417" s="541"/>
      <c r="S417" s="541"/>
      <c r="T417" s="542"/>
      <c r="U417" s="540"/>
      <c r="V417" s="541"/>
      <c r="W417" s="541"/>
      <c r="X417" s="542"/>
      <c r="Y417" s="540"/>
      <c r="Z417" s="541"/>
      <c r="AA417" s="541"/>
      <c r="AB417" s="542"/>
      <c r="AC417" s="540"/>
      <c r="AD417" s="541"/>
      <c r="AE417" s="541"/>
      <c r="AF417" s="542"/>
      <c r="AG417" s="540"/>
      <c r="AH417" s="541"/>
      <c r="AI417" s="541"/>
      <c r="AJ417" s="542"/>
      <c r="AK417" s="540"/>
      <c r="AL417" s="541"/>
      <c r="AM417" s="541"/>
      <c r="AN417" s="542"/>
      <c r="AO417" s="540"/>
      <c r="AP417" s="541"/>
      <c r="AQ417" s="541"/>
      <c r="AR417" s="542"/>
      <c r="AS417" s="540"/>
      <c r="AT417" s="541"/>
      <c r="AU417" s="541"/>
      <c r="AV417" s="542"/>
      <c r="AW417" s="540"/>
      <c r="AX417" s="541"/>
      <c r="AY417" s="541"/>
      <c r="AZ417" s="542"/>
      <c r="BG417" s="93"/>
      <c r="BH417" s="93"/>
      <c r="BI417" s="93"/>
      <c r="BJ417" s="217"/>
      <c r="BK417" s="164"/>
      <c r="BL417" s="165"/>
      <c r="BM417" s="165"/>
      <c r="BN417" s="165"/>
      <c r="BO417" s="165"/>
      <c r="BP417" s="165"/>
      <c r="BQ417" s="165"/>
      <c r="BR417" s="165"/>
      <c r="BS417" s="165"/>
      <c r="BT417" s="165"/>
      <c r="BU417" s="165"/>
      <c r="BV417" s="165"/>
      <c r="BW417" s="165"/>
      <c r="BX417" s="165"/>
      <c r="BY417" s="165"/>
      <c r="BZ417" s="165"/>
      <c r="CA417" s="165"/>
      <c r="CB417" s="217"/>
      <c r="CC417" s="126"/>
      <c r="CD417" s="126"/>
      <c r="CE417" s="143"/>
    </row>
    <row r="418" spans="1:83">
      <c r="A418" s="107"/>
      <c r="B418" s="107"/>
      <c r="C418" s="107"/>
      <c r="D418" s="107"/>
      <c r="E418" s="551"/>
      <c r="F418" s="552"/>
      <c r="G418" s="552"/>
      <c r="H418" s="553"/>
      <c r="I418" s="545"/>
      <c r="J418" s="546"/>
      <c r="K418" s="546"/>
      <c r="L418" s="547"/>
      <c r="M418" s="545"/>
      <c r="N418" s="546"/>
      <c r="O418" s="546"/>
      <c r="P418" s="547"/>
      <c r="Q418" s="545"/>
      <c r="R418" s="546"/>
      <c r="S418" s="546"/>
      <c r="T418" s="547"/>
      <c r="U418" s="545"/>
      <c r="V418" s="546"/>
      <c r="W418" s="546"/>
      <c r="X418" s="547"/>
      <c r="Y418" s="545"/>
      <c r="Z418" s="546"/>
      <c r="AA418" s="546"/>
      <c r="AB418" s="547"/>
      <c r="AC418" s="545"/>
      <c r="AD418" s="546"/>
      <c r="AE418" s="546"/>
      <c r="AF418" s="547"/>
      <c r="AG418" s="545"/>
      <c r="AH418" s="546"/>
      <c r="AI418" s="546"/>
      <c r="AJ418" s="547"/>
      <c r="AK418" s="545"/>
      <c r="AL418" s="546"/>
      <c r="AM418" s="546"/>
      <c r="AN418" s="547"/>
      <c r="AO418" s="545"/>
      <c r="AP418" s="546"/>
      <c r="AQ418" s="546"/>
      <c r="AR418" s="547"/>
      <c r="AS418" s="545"/>
      <c r="AT418" s="546"/>
      <c r="AU418" s="546"/>
      <c r="AV418" s="547"/>
      <c r="AW418" s="545"/>
      <c r="AX418" s="546"/>
      <c r="AY418" s="546"/>
      <c r="AZ418" s="547"/>
      <c r="BG418" s="93"/>
      <c r="BH418" s="93"/>
      <c r="BI418" s="93"/>
      <c r="BJ418" s="217"/>
      <c r="BK418" s="164"/>
      <c r="BL418" s="165"/>
      <c r="BM418" s="165"/>
      <c r="BN418" s="165"/>
      <c r="BO418" s="165"/>
      <c r="BP418" s="165"/>
      <c r="BQ418" s="165"/>
      <c r="BR418" s="165"/>
      <c r="BS418" s="165"/>
      <c r="BT418" s="165"/>
      <c r="BU418" s="165"/>
      <c r="BV418" s="165"/>
      <c r="BW418" s="165"/>
      <c r="BX418" s="165"/>
      <c r="BY418" s="165"/>
      <c r="BZ418" s="165"/>
      <c r="CA418" s="165"/>
      <c r="CB418" s="217"/>
      <c r="CC418" s="126"/>
      <c r="CD418" s="126"/>
      <c r="CE418" s="143"/>
    </row>
    <row r="419" spans="1:83">
      <c r="A419" s="107"/>
      <c r="B419" s="107"/>
      <c r="C419" s="107"/>
      <c r="D419" s="107"/>
      <c r="E419" s="548"/>
      <c r="F419" s="549"/>
      <c r="G419" s="549"/>
      <c r="H419" s="550"/>
      <c r="I419" s="540"/>
      <c r="J419" s="541"/>
      <c r="K419" s="541"/>
      <c r="L419" s="542"/>
      <c r="M419" s="540"/>
      <c r="N419" s="541"/>
      <c r="O419" s="541"/>
      <c r="P419" s="542"/>
      <c r="Q419" s="540"/>
      <c r="R419" s="541"/>
      <c r="S419" s="541"/>
      <c r="T419" s="542"/>
      <c r="U419" s="540"/>
      <c r="V419" s="541"/>
      <c r="W419" s="541"/>
      <c r="X419" s="542"/>
      <c r="Y419" s="540"/>
      <c r="Z419" s="541"/>
      <c r="AA419" s="541"/>
      <c r="AB419" s="542"/>
      <c r="AC419" s="540"/>
      <c r="AD419" s="541"/>
      <c r="AE419" s="541"/>
      <c r="AF419" s="542"/>
      <c r="AG419" s="540"/>
      <c r="AH419" s="541"/>
      <c r="AI419" s="541"/>
      <c r="AJ419" s="542"/>
      <c r="AK419" s="540"/>
      <c r="AL419" s="541"/>
      <c r="AM419" s="541"/>
      <c r="AN419" s="542"/>
      <c r="AO419" s="540"/>
      <c r="AP419" s="541"/>
      <c r="AQ419" s="541"/>
      <c r="AR419" s="542"/>
      <c r="AS419" s="540"/>
      <c r="AT419" s="541"/>
      <c r="AU419" s="541"/>
      <c r="AV419" s="542"/>
      <c r="AW419" s="540"/>
      <c r="AX419" s="541"/>
      <c r="AY419" s="541"/>
      <c r="AZ419" s="542"/>
      <c r="BG419" s="93"/>
      <c r="BH419" s="93"/>
      <c r="BI419" s="93"/>
      <c r="BJ419" s="217"/>
      <c r="BK419" s="164"/>
      <c r="BL419" s="165"/>
      <c r="BM419" s="165"/>
      <c r="BN419" s="165"/>
      <c r="BO419" s="165"/>
      <c r="BP419" s="165"/>
      <c r="BQ419" s="165"/>
      <c r="BR419" s="165"/>
      <c r="BS419" s="165"/>
      <c r="BT419" s="165"/>
      <c r="BU419" s="165"/>
      <c r="BV419" s="165"/>
      <c r="BW419" s="165"/>
      <c r="BX419" s="165"/>
      <c r="BY419" s="165"/>
      <c r="BZ419" s="165"/>
      <c r="CA419" s="165"/>
      <c r="CB419" s="217"/>
      <c r="CC419" s="126"/>
      <c r="CD419" s="126"/>
      <c r="CE419" s="143"/>
    </row>
    <row r="420" spans="1:83">
      <c r="A420" s="107"/>
      <c r="B420" s="107"/>
      <c r="C420" s="107"/>
      <c r="D420" s="107"/>
      <c r="E420" s="551"/>
      <c r="F420" s="552"/>
      <c r="G420" s="552"/>
      <c r="H420" s="553"/>
      <c r="I420" s="545"/>
      <c r="J420" s="546"/>
      <c r="K420" s="546"/>
      <c r="L420" s="547"/>
      <c r="M420" s="545"/>
      <c r="N420" s="546"/>
      <c r="O420" s="546"/>
      <c r="P420" s="547"/>
      <c r="Q420" s="545"/>
      <c r="R420" s="546"/>
      <c r="S420" s="546"/>
      <c r="T420" s="547"/>
      <c r="U420" s="545"/>
      <c r="V420" s="546"/>
      <c r="W420" s="546"/>
      <c r="X420" s="547"/>
      <c r="Y420" s="545"/>
      <c r="Z420" s="546"/>
      <c r="AA420" s="546"/>
      <c r="AB420" s="547"/>
      <c r="AC420" s="545"/>
      <c r="AD420" s="546"/>
      <c r="AE420" s="546"/>
      <c r="AF420" s="547"/>
      <c r="AG420" s="545"/>
      <c r="AH420" s="546"/>
      <c r="AI420" s="546"/>
      <c r="AJ420" s="547"/>
      <c r="AK420" s="545"/>
      <c r="AL420" s="546"/>
      <c r="AM420" s="546"/>
      <c r="AN420" s="547"/>
      <c r="AO420" s="545"/>
      <c r="AP420" s="546"/>
      <c r="AQ420" s="546"/>
      <c r="AR420" s="547"/>
      <c r="AS420" s="545"/>
      <c r="AT420" s="546"/>
      <c r="AU420" s="546"/>
      <c r="AV420" s="547"/>
      <c r="AW420" s="545"/>
      <c r="AX420" s="546"/>
      <c r="AY420" s="546"/>
      <c r="AZ420" s="547"/>
      <c r="BG420" s="93"/>
      <c r="BH420" s="93"/>
      <c r="BI420" s="93"/>
      <c r="BJ420" s="217"/>
      <c r="BK420" s="164"/>
      <c r="BL420" s="165"/>
      <c r="BM420" s="165"/>
      <c r="BN420" s="165"/>
      <c r="BO420" s="165"/>
      <c r="BP420" s="165"/>
      <c r="BQ420" s="165"/>
      <c r="BR420" s="165"/>
      <c r="BS420" s="165"/>
      <c r="BT420" s="165"/>
      <c r="BU420" s="165"/>
      <c r="BV420" s="165"/>
      <c r="BW420" s="165"/>
      <c r="BX420" s="165"/>
      <c r="BY420" s="165"/>
      <c r="BZ420" s="165"/>
      <c r="CA420" s="165"/>
      <c r="CB420" s="217"/>
      <c r="CC420" s="126"/>
      <c r="CD420" s="126"/>
      <c r="CE420" s="143"/>
    </row>
    <row r="421" spans="1:83">
      <c r="A421" s="107"/>
      <c r="B421" s="107"/>
      <c r="C421" s="107"/>
      <c r="D421" s="107"/>
      <c r="E421" s="548"/>
      <c r="F421" s="549"/>
      <c r="G421" s="549"/>
      <c r="H421" s="550"/>
      <c r="I421" s="540"/>
      <c r="J421" s="541"/>
      <c r="K421" s="541"/>
      <c r="L421" s="542"/>
      <c r="M421" s="540"/>
      <c r="N421" s="541"/>
      <c r="O421" s="541"/>
      <c r="P421" s="542"/>
      <c r="Q421" s="540"/>
      <c r="R421" s="541"/>
      <c r="S421" s="541"/>
      <c r="T421" s="542"/>
      <c r="U421" s="540"/>
      <c r="V421" s="541"/>
      <c r="W421" s="541"/>
      <c r="X421" s="542"/>
      <c r="Y421" s="540"/>
      <c r="Z421" s="541"/>
      <c r="AA421" s="541"/>
      <c r="AB421" s="542"/>
      <c r="AC421" s="540"/>
      <c r="AD421" s="541"/>
      <c r="AE421" s="541"/>
      <c r="AF421" s="542"/>
      <c r="AG421" s="540"/>
      <c r="AH421" s="541"/>
      <c r="AI421" s="541"/>
      <c r="AJ421" s="542"/>
      <c r="AK421" s="540"/>
      <c r="AL421" s="541"/>
      <c r="AM421" s="541"/>
      <c r="AN421" s="542"/>
      <c r="AO421" s="540"/>
      <c r="AP421" s="541"/>
      <c r="AQ421" s="541"/>
      <c r="AR421" s="542"/>
      <c r="AS421" s="540"/>
      <c r="AT421" s="541"/>
      <c r="AU421" s="541"/>
      <c r="AV421" s="542"/>
      <c r="AW421" s="540"/>
      <c r="AX421" s="541"/>
      <c r="AY421" s="541"/>
      <c r="AZ421" s="542"/>
      <c r="BG421" s="93"/>
      <c r="BH421" s="93"/>
      <c r="BI421" s="93"/>
      <c r="BJ421" s="217"/>
      <c r="BK421" s="164"/>
      <c r="BL421" s="165"/>
      <c r="BM421" s="165"/>
      <c r="BN421" s="165"/>
      <c r="BO421" s="165"/>
      <c r="BP421" s="165"/>
      <c r="BQ421" s="165"/>
      <c r="BR421" s="165"/>
      <c r="BS421" s="165"/>
      <c r="BT421" s="165"/>
      <c r="BU421" s="165"/>
      <c r="BV421" s="165"/>
      <c r="BW421" s="165"/>
      <c r="BX421" s="165"/>
      <c r="BY421" s="165"/>
      <c r="BZ421" s="165"/>
      <c r="CA421" s="165"/>
      <c r="CB421" s="217"/>
      <c r="CC421" s="126"/>
      <c r="CD421" s="126"/>
      <c r="CE421" s="143"/>
    </row>
    <row r="422" spans="1:83">
      <c r="A422" s="107"/>
      <c r="B422" s="107"/>
      <c r="C422" s="107"/>
      <c r="D422" s="107"/>
      <c r="E422" s="551"/>
      <c r="F422" s="552"/>
      <c r="G422" s="552"/>
      <c r="H422" s="553"/>
      <c r="I422" s="545"/>
      <c r="J422" s="546"/>
      <c r="K422" s="546"/>
      <c r="L422" s="547"/>
      <c r="M422" s="545"/>
      <c r="N422" s="546"/>
      <c r="O422" s="546"/>
      <c r="P422" s="547"/>
      <c r="Q422" s="545"/>
      <c r="R422" s="546"/>
      <c r="S422" s="546"/>
      <c r="T422" s="547"/>
      <c r="U422" s="545"/>
      <c r="V422" s="546"/>
      <c r="W422" s="546"/>
      <c r="X422" s="547"/>
      <c r="Y422" s="545"/>
      <c r="Z422" s="546"/>
      <c r="AA422" s="546"/>
      <c r="AB422" s="547"/>
      <c r="AC422" s="545"/>
      <c r="AD422" s="546"/>
      <c r="AE422" s="546"/>
      <c r="AF422" s="547"/>
      <c r="AG422" s="545"/>
      <c r="AH422" s="546"/>
      <c r="AI422" s="546"/>
      <c r="AJ422" s="547"/>
      <c r="AK422" s="545"/>
      <c r="AL422" s="546"/>
      <c r="AM422" s="546"/>
      <c r="AN422" s="547"/>
      <c r="AO422" s="545"/>
      <c r="AP422" s="546"/>
      <c r="AQ422" s="546"/>
      <c r="AR422" s="547"/>
      <c r="AS422" s="545"/>
      <c r="AT422" s="546"/>
      <c r="AU422" s="546"/>
      <c r="AV422" s="547"/>
      <c r="AW422" s="545"/>
      <c r="AX422" s="546"/>
      <c r="AY422" s="546"/>
      <c r="AZ422" s="547"/>
      <c r="BG422" s="93"/>
      <c r="BH422" s="93"/>
      <c r="BI422" s="93"/>
      <c r="BJ422" s="217"/>
      <c r="BK422" s="164"/>
      <c r="BL422" s="165"/>
      <c r="BM422" s="165"/>
      <c r="BN422" s="165"/>
      <c r="BO422" s="165"/>
      <c r="BP422" s="165"/>
      <c r="BQ422" s="165"/>
      <c r="BR422" s="165"/>
      <c r="BS422" s="165"/>
      <c r="BT422" s="165"/>
      <c r="BU422" s="165"/>
      <c r="BV422" s="165"/>
      <c r="BW422" s="165"/>
      <c r="BX422" s="165"/>
      <c r="BY422" s="165"/>
      <c r="BZ422" s="165"/>
      <c r="CA422" s="165"/>
      <c r="CB422" s="217"/>
      <c r="CC422" s="126"/>
      <c r="CD422" s="126"/>
      <c r="CE422" s="143"/>
    </row>
    <row r="423" spans="1:83">
      <c r="A423" s="107"/>
      <c r="B423" s="107"/>
      <c r="C423" s="107"/>
      <c r="D423" s="107"/>
      <c r="E423" s="548"/>
      <c r="F423" s="549"/>
      <c r="G423" s="549"/>
      <c r="H423" s="550"/>
      <c r="I423" s="540"/>
      <c r="J423" s="541"/>
      <c r="K423" s="541"/>
      <c r="L423" s="542"/>
      <c r="M423" s="540"/>
      <c r="N423" s="541"/>
      <c r="O423" s="541"/>
      <c r="P423" s="542"/>
      <c r="Q423" s="540"/>
      <c r="R423" s="541"/>
      <c r="S423" s="541"/>
      <c r="T423" s="542"/>
      <c r="U423" s="540"/>
      <c r="V423" s="541"/>
      <c r="W423" s="541"/>
      <c r="X423" s="542"/>
      <c r="Y423" s="540"/>
      <c r="Z423" s="541"/>
      <c r="AA423" s="541"/>
      <c r="AB423" s="542"/>
      <c r="AC423" s="540"/>
      <c r="AD423" s="541"/>
      <c r="AE423" s="541"/>
      <c r="AF423" s="542"/>
      <c r="AG423" s="540"/>
      <c r="AH423" s="541"/>
      <c r="AI423" s="541"/>
      <c r="AJ423" s="542"/>
      <c r="AK423" s="540"/>
      <c r="AL423" s="541"/>
      <c r="AM423" s="541"/>
      <c r="AN423" s="542"/>
      <c r="AO423" s="540"/>
      <c r="AP423" s="541"/>
      <c r="AQ423" s="541"/>
      <c r="AR423" s="542"/>
      <c r="AS423" s="540"/>
      <c r="AT423" s="541"/>
      <c r="AU423" s="541"/>
      <c r="AV423" s="542"/>
      <c r="AW423" s="540"/>
      <c r="AX423" s="541"/>
      <c r="AY423" s="541"/>
      <c r="AZ423" s="542"/>
      <c r="BG423" s="93"/>
      <c r="BH423" s="93"/>
      <c r="BI423" s="93"/>
      <c r="BJ423" s="217"/>
      <c r="BK423" s="164"/>
      <c r="BL423" s="165"/>
      <c r="BM423" s="165"/>
      <c r="BN423" s="165"/>
      <c r="BO423" s="165"/>
      <c r="BP423" s="165"/>
      <c r="BQ423" s="165"/>
      <c r="BR423" s="165"/>
      <c r="BS423" s="165"/>
      <c r="BT423" s="165"/>
      <c r="BU423" s="165"/>
      <c r="BV423" s="165"/>
      <c r="BW423" s="165"/>
      <c r="BX423" s="165"/>
      <c r="BY423" s="165"/>
      <c r="BZ423" s="165"/>
      <c r="CA423" s="165"/>
      <c r="CB423" s="217"/>
      <c r="CC423" s="126"/>
      <c r="CD423" s="126"/>
      <c r="CE423" s="143"/>
    </row>
    <row r="424" spans="1:83">
      <c r="A424" s="107"/>
      <c r="B424" s="107"/>
      <c r="C424" s="107"/>
      <c r="D424" s="107"/>
      <c r="E424" s="551"/>
      <c r="F424" s="552"/>
      <c r="G424" s="552"/>
      <c r="H424" s="553"/>
      <c r="I424" s="545"/>
      <c r="J424" s="546"/>
      <c r="K424" s="546"/>
      <c r="L424" s="547"/>
      <c r="M424" s="545"/>
      <c r="N424" s="546"/>
      <c r="O424" s="546"/>
      <c r="P424" s="547"/>
      <c r="Q424" s="545"/>
      <c r="R424" s="546"/>
      <c r="S424" s="546"/>
      <c r="T424" s="547"/>
      <c r="U424" s="545"/>
      <c r="V424" s="546"/>
      <c r="W424" s="546"/>
      <c r="X424" s="547"/>
      <c r="Y424" s="545"/>
      <c r="Z424" s="546"/>
      <c r="AA424" s="546"/>
      <c r="AB424" s="547"/>
      <c r="AC424" s="545"/>
      <c r="AD424" s="546"/>
      <c r="AE424" s="546"/>
      <c r="AF424" s="547"/>
      <c r="AG424" s="545"/>
      <c r="AH424" s="546"/>
      <c r="AI424" s="546"/>
      <c r="AJ424" s="547"/>
      <c r="AK424" s="545"/>
      <c r="AL424" s="546"/>
      <c r="AM424" s="546"/>
      <c r="AN424" s="547"/>
      <c r="AO424" s="545"/>
      <c r="AP424" s="546"/>
      <c r="AQ424" s="546"/>
      <c r="AR424" s="547"/>
      <c r="AS424" s="545"/>
      <c r="AT424" s="546"/>
      <c r="AU424" s="546"/>
      <c r="AV424" s="547"/>
      <c r="AW424" s="545"/>
      <c r="AX424" s="546"/>
      <c r="AY424" s="546"/>
      <c r="AZ424" s="547"/>
      <c r="BG424" s="93"/>
      <c r="BH424" s="93"/>
      <c r="BI424" s="93"/>
      <c r="BJ424" s="217"/>
      <c r="BK424" s="164"/>
      <c r="BL424" s="165"/>
      <c r="BM424" s="165"/>
      <c r="BN424" s="165"/>
      <c r="BO424" s="165"/>
      <c r="BP424" s="165"/>
      <c r="BQ424" s="165"/>
      <c r="BR424" s="165"/>
      <c r="BS424" s="165"/>
      <c r="BT424" s="165"/>
      <c r="BU424" s="165"/>
      <c r="BV424" s="165"/>
      <c r="BW424" s="165"/>
      <c r="BX424" s="165"/>
      <c r="BY424" s="165"/>
      <c r="BZ424" s="165"/>
      <c r="CA424" s="165"/>
      <c r="CB424" s="217"/>
      <c r="CC424" s="126"/>
      <c r="CD424" s="126"/>
      <c r="CE424" s="143"/>
    </row>
    <row r="425" spans="1:83">
      <c r="A425" s="107"/>
      <c r="B425" s="107"/>
      <c r="C425" s="107"/>
      <c r="D425" s="107"/>
      <c r="E425" s="548"/>
      <c r="F425" s="549"/>
      <c r="G425" s="549"/>
      <c r="H425" s="550"/>
      <c r="I425" s="540"/>
      <c r="J425" s="541"/>
      <c r="K425" s="541"/>
      <c r="L425" s="542"/>
      <c r="M425" s="540"/>
      <c r="N425" s="541"/>
      <c r="O425" s="541"/>
      <c r="P425" s="542"/>
      <c r="Q425" s="540"/>
      <c r="R425" s="541"/>
      <c r="S425" s="541"/>
      <c r="T425" s="542"/>
      <c r="U425" s="540"/>
      <c r="V425" s="541"/>
      <c r="W425" s="541"/>
      <c r="X425" s="542"/>
      <c r="Y425" s="540"/>
      <c r="Z425" s="541"/>
      <c r="AA425" s="541"/>
      <c r="AB425" s="542"/>
      <c r="AC425" s="540"/>
      <c r="AD425" s="541"/>
      <c r="AE425" s="541"/>
      <c r="AF425" s="542"/>
      <c r="AG425" s="540"/>
      <c r="AH425" s="541"/>
      <c r="AI425" s="541"/>
      <c r="AJ425" s="542"/>
      <c r="AK425" s="540"/>
      <c r="AL425" s="541"/>
      <c r="AM425" s="541"/>
      <c r="AN425" s="542"/>
      <c r="AO425" s="540"/>
      <c r="AP425" s="541"/>
      <c r="AQ425" s="541"/>
      <c r="AR425" s="542"/>
      <c r="AS425" s="540"/>
      <c r="AT425" s="541"/>
      <c r="AU425" s="541"/>
      <c r="AV425" s="542"/>
      <c r="AW425" s="540"/>
      <c r="AX425" s="541"/>
      <c r="AY425" s="541"/>
      <c r="AZ425" s="542"/>
      <c r="BG425" s="93"/>
      <c r="BH425" s="93"/>
      <c r="BI425" s="93"/>
      <c r="BJ425" s="217"/>
      <c r="BK425" s="164"/>
      <c r="BL425" s="165"/>
      <c r="BM425" s="165"/>
      <c r="BN425" s="165"/>
      <c r="BO425" s="165"/>
      <c r="BP425" s="165"/>
      <c r="BQ425" s="165"/>
      <c r="BR425" s="165"/>
      <c r="BS425" s="165"/>
      <c r="BT425" s="165"/>
      <c r="BU425" s="165"/>
      <c r="BV425" s="165"/>
      <c r="BW425" s="165"/>
      <c r="BX425" s="165"/>
      <c r="BY425" s="165"/>
      <c r="BZ425" s="165"/>
      <c r="CA425" s="165"/>
      <c r="CB425" s="217"/>
      <c r="CC425" s="126"/>
      <c r="CD425" s="126"/>
      <c r="CE425" s="143"/>
    </row>
    <row r="426" spans="1:83">
      <c r="A426" s="107"/>
      <c r="B426" s="107"/>
      <c r="C426" s="107"/>
      <c r="D426" s="107"/>
      <c r="E426" s="551"/>
      <c r="F426" s="552"/>
      <c r="G426" s="552"/>
      <c r="H426" s="553"/>
      <c r="I426" s="545"/>
      <c r="J426" s="546"/>
      <c r="K426" s="546"/>
      <c r="L426" s="547"/>
      <c r="M426" s="545"/>
      <c r="N426" s="546"/>
      <c r="O426" s="546"/>
      <c r="P426" s="547"/>
      <c r="Q426" s="545"/>
      <c r="R426" s="546"/>
      <c r="S426" s="546"/>
      <c r="T426" s="547"/>
      <c r="U426" s="545"/>
      <c r="V426" s="546"/>
      <c r="W426" s="546"/>
      <c r="X426" s="547"/>
      <c r="Y426" s="545"/>
      <c r="Z426" s="546"/>
      <c r="AA426" s="546"/>
      <c r="AB426" s="547"/>
      <c r="AC426" s="545"/>
      <c r="AD426" s="546"/>
      <c r="AE426" s="546"/>
      <c r="AF426" s="547"/>
      <c r="AG426" s="545"/>
      <c r="AH426" s="546"/>
      <c r="AI426" s="546"/>
      <c r="AJ426" s="547"/>
      <c r="AK426" s="545"/>
      <c r="AL426" s="546"/>
      <c r="AM426" s="546"/>
      <c r="AN426" s="547"/>
      <c r="AO426" s="545"/>
      <c r="AP426" s="546"/>
      <c r="AQ426" s="546"/>
      <c r="AR426" s="547"/>
      <c r="AS426" s="545"/>
      <c r="AT426" s="546"/>
      <c r="AU426" s="546"/>
      <c r="AV426" s="547"/>
      <c r="AW426" s="545"/>
      <c r="AX426" s="546"/>
      <c r="AY426" s="546"/>
      <c r="AZ426" s="547"/>
      <c r="BG426" s="93"/>
      <c r="BH426" s="93"/>
      <c r="BI426" s="93"/>
      <c r="BJ426" s="217"/>
      <c r="BK426" s="164"/>
      <c r="BL426" s="165"/>
      <c r="BM426" s="165"/>
      <c r="BN426" s="165"/>
      <c r="BO426" s="165"/>
      <c r="BP426" s="165"/>
      <c r="BQ426" s="165"/>
      <c r="BR426" s="165"/>
      <c r="BS426" s="165"/>
      <c r="BT426" s="165"/>
      <c r="BU426" s="165"/>
      <c r="BV426" s="165"/>
      <c r="BW426" s="165"/>
      <c r="BX426" s="165"/>
      <c r="BY426" s="165"/>
      <c r="BZ426" s="165"/>
      <c r="CA426" s="165"/>
      <c r="CB426" s="217"/>
      <c r="CC426" s="126"/>
      <c r="CD426" s="126"/>
      <c r="CE426" s="143"/>
    </row>
    <row r="427" spans="1:83">
      <c r="A427" s="107"/>
      <c r="B427" s="107"/>
      <c r="C427" s="107"/>
      <c r="D427" s="107"/>
      <c r="E427" s="548"/>
      <c r="F427" s="549"/>
      <c r="G427" s="549"/>
      <c r="H427" s="550"/>
      <c r="I427" s="540"/>
      <c r="J427" s="541"/>
      <c r="K427" s="541"/>
      <c r="L427" s="542"/>
      <c r="M427" s="540"/>
      <c r="N427" s="541"/>
      <c r="O427" s="541"/>
      <c r="P427" s="542"/>
      <c r="Q427" s="540"/>
      <c r="R427" s="541"/>
      <c r="S427" s="541"/>
      <c r="T427" s="542"/>
      <c r="U427" s="540"/>
      <c r="V427" s="541"/>
      <c r="W427" s="541"/>
      <c r="X427" s="542"/>
      <c r="Y427" s="540"/>
      <c r="Z427" s="541"/>
      <c r="AA427" s="541"/>
      <c r="AB427" s="542"/>
      <c r="AC427" s="540"/>
      <c r="AD427" s="541"/>
      <c r="AE427" s="541"/>
      <c r="AF427" s="542"/>
      <c r="AG427" s="540"/>
      <c r="AH427" s="541"/>
      <c r="AI427" s="541"/>
      <c r="AJ427" s="542"/>
      <c r="AK427" s="540"/>
      <c r="AL427" s="541"/>
      <c r="AM427" s="541"/>
      <c r="AN427" s="542"/>
      <c r="AO427" s="540"/>
      <c r="AP427" s="541"/>
      <c r="AQ427" s="541"/>
      <c r="AR427" s="542"/>
      <c r="AS427" s="540"/>
      <c r="AT427" s="541"/>
      <c r="AU427" s="541"/>
      <c r="AV427" s="542"/>
      <c r="AW427" s="540"/>
      <c r="AX427" s="541"/>
      <c r="AY427" s="541"/>
      <c r="AZ427" s="542"/>
      <c r="BG427" s="93"/>
      <c r="BH427" s="93"/>
      <c r="BI427" s="93"/>
      <c r="BJ427" s="217"/>
      <c r="BK427" s="164"/>
      <c r="BL427" s="165"/>
      <c r="BM427" s="165"/>
      <c r="BN427" s="165"/>
      <c r="BO427" s="165"/>
      <c r="BP427" s="165"/>
      <c r="BQ427" s="165"/>
      <c r="BR427" s="165"/>
      <c r="BS427" s="165"/>
      <c r="BT427" s="165"/>
      <c r="BU427" s="165"/>
      <c r="BV427" s="165"/>
      <c r="BW427" s="165"/>
      <c r="BX427" s="165"/>
      <c r="BY427" s="165"/>
      <c r="BZ427" s="165"/>
      <c r="CA427" s="165"/>
      <c r="CB427" s="217"/>
      <c r="CC427" s="126"/>
      <c r="CD427" s="126"/>
      <c r="CE427" s="143"/>
    </row>
    <row r="428" spans="1:83">
      <c r="A428" s="107"/>
      <c r="B428" s="107"/>
      <c r="C428" s="107"/>
      <c r="D428" s="107"/>
      <c r="E428" s="551"/>
      <c r="F428" s="552"/>
      <c r="G428" s="552"/>
      <c r="H428" s="553"/>
      <c r="I428" s="545"/>
      <c r="J428" s="546"/>
      <c r="K428" s="546"/>
      <c r="L428" s="547"/>
      <c r="M428" s="545"/>
      <c r="N428" s="546"/>
      <c r="O428" s="546"/>
      <c r="P428" s="547"/>
      <c r="Q428" s="545"/>
      <c r="R428" s="546"/>
      <c r="S428" s="546"/>
      <c r="T428" s="547"/>
      <c r="U428" s="545"/>
      <c r="V428" s="546"/>
      <c r="W428" s="546"/>
      <c r="X428" s="547"/>
      <c r="Y428" s="545"/>
      <c r="Z428" s="546"/>
      <c r="AA428" s="546"/>
      <c r="AB428" s="547"/>
      <c r="AC428" s="545"/>
      <c r="AD428" s="546"/>
      <c r="AE428" s="546"/>
      <c r="AF428" s="547"/>
      <c r="AG428" s="545"/>
      <c r="AH428" s="546"/>
      <c r="AI428" s="546"/>
      <c r="AJ428" s="547"/>
      <c r="AK428" s="545"/>
      <c r="AL428" s="546"/>
      <c r="AM428" s="546"/>
      <c r="AN428" s="547"/>
      <c r="AO428" s="545"/>
      <c r="AP428" s="546"/>
      <c r="AQ428" s="546"/>
      <c r="AR428" s="547"/>
      <c r="AS428" s="545"/>
      <c r="AT428" s="546"/>
      <c r="AU428" s="546"/>
      <c r="AV428" s="547"/>
      <c r="AW428" s="545"/>
      <c r="AX428" s="546"/>
      <c r="AY428" s="546"/>
      <c r="AZ428" s="547"/>
      <c r="BG428" s="93"/>
      <c r="BH428" s="93"/>
      <c r="BI428" s="93"/>
      <c r="BJ428" s="217"/>
      <c r="BK428" s="164"/>
      <c r="BL428" s="165"/>
      <c r="BM428" s="165"/>
      <c r="BN428" s="165"/>
      <c r="BO428" s="165"/>
      <c r="BP428" s="165"/>
      <c r="BQ428" s="165"/>
      <c r="BR428" s="165"/>
      <c r="BS428" s="165"/>
      <c r="BT428" s="165"/>
      <c r="BU428" s="165"/>
      <c r="BV428" s="165"/>
      <c r="BW428" s="165"/>
      <c r="BX428" s="165"/>
      <c r="BY428" s="165"/>
      <c r="BZ428" s="165"/>
      <c r="CA428" s="165"/>
      <c r="CB428" s="217"/>
      <c r="CC428" s="126"/>
      <c r="CD428" s="126"/>
      <c r="CE428" s="143"/>
    </row>
    <row r="429" spans="1:83">
      <c r="A429" s="107"/>
      <c r="B429" s="107"/>
      <c r="C429" s="107"/>
      <c r="D429" s="107"/>
      <c r="E429" s="548"/>
      <c r="F429" s="549"/>
      <c r="G429" s="549"/>
      <c r="H429" s="550"/>
      <c r="I429" s="540"/>
      <c r="J429" s="541"/>
      <c r="K429" s="541"/>
      <c r="L429" s="542"/>
      <c r="M429" s="540"/>
      <c r="N429" s="541"/>
      <c r="O429" s="541"/>
      <c r="P429" s="542"/>
      <c r="Q429" s="540"/>
      <c r="R429" s="541"/>
      <c r="S429" s="541"/>
      <c r="T429" s="542"/>
      <c r="U429" s="540"/>
      <c r="V429" s="541"/>
      <c r="W429" s="541"/>
      <c r="X429" s="542"/>
      <c r="Y429" s="540"/>
      <c r="Z429" s="541"/>
      <c r="AA429" s="541"/>
      <c r="AB429" s="542"/>
      <c r="AC429" s="540"/>
      <c r="AD429" s="541"/>
      <c r="AE429" s="541"/>
      <c r="AF429" s="542"/>
      <c r="AG429" s="540"/>
      <c r="AH429" s="541"/>
      <c r="AI429" s="541"/>
      <c r="AJ429" s="542"/>
      <c r="AK429" s="540"/>
      <c r="AL429" s="541"/>
      <c r="AM429" s="541"/>
      <c r="AN429" s="542"/>
      <c r="AO429" s="540"/>
      <c r="AP429" s="541"/>
      <c r="AQ429" s="541"/>
      <c r="AR429" s="542"/>
      <c r="AS429" s="540"/>
      <c r="AT429" s="541"/>
      <c r="AU429" s="541"/>
      <c r="AV429" s="542"/>
      <c r="AW429" s="540"/>
      <c r="AX429" s="541"/>
      <c r="AY429" s="541"/>
      <c r="AZ429" s="542"/>
      <c r="BG429" s="93"/>
      <c r="BH429" s="93"/>
      <c r="BI429" s="93"/>
      <c r="BJ429" s="217"/>
      <c r="BK429" s="164"/>
      <c r="BL429" s="165"/>
      <c r="BM429" s="165"/>
      <c r="BN429" s="165"/>
      <c r="BO429" s="165"/>
      <c r="BP429" s="165"/>
      <c r="BQ429" s="165"/>
      <c r="BR429" s="165"/>
      <c r="BS429" s="165"/>
      <c r="BT429" s="165"/>
      <c r="BU429" s="165"/>
      <c r="BV429" s="165"/>
      <c r="BW429" s="165"/>
      <c r="BX429" s="165"/>
      <c r="BY429" s="165"/>
      <c r="BZ429" s="165"/>
      <c r="CA429" s="165"/>
      <c r="CB429" s="217"/>
      <c r="CC429" s="126"/>
      <c r="CD429" s="126"/>
      <c r="CE429" s="143"/>
    </row>
    <row r="430" spans="1:83">
      <c r="A430" s="107"/>
      <c r="B430" s="107"/>
      <c r="C430" s="107"/>
      <c r="D430" s="107"/>
      <c r="E430" s="551"/>
      <c r="F430" s="552"/>
      <c r="G430" s="552"/>
      <c r="H430" s="553"/>
      <c r="I430" s="545"/>
      <c r="J430" s="546"/>
      <c r="K430" s="546"/>
      <c r="L430" s="547"/>
      <c r="M430" s="545"/>
      <c r="N430" s="546"/>
      <c r="O430" s="546"/>
      <c r="P430" s="547"/>
      <c r="Q430" s="545"/>
      <c r="R430" s="546"/>
      <c r="S430" s="546"/>
      <c r="T430" s="547"/>
      <c r="U430" s="545"/>
      <c r="V430" s="546"/>
      <c r="W430" s="546"/>
      <c r="X430" s="547"/>
      <c r="Y430" s="545"/>
      <c r="Z430" s="546"/>
      <c r="AA430" s="546"/>
      <c r="AB430" s="547"/>
      <c r="AC430" s="545"/>
      <c r="AD430" s="546"/>
      <c r="AE430" s="546"/>
      <c r="AF430" s="547"/>
      <c r="AG430" s="545"/>
      <c r="AH430" s="546"/>
      <c r="AI430" s="546"/>
      <c r="AJ430" s="547"/>
      <c r="AK430" s="545"/>
      <c r="AL430" s="546"/>
      <c r="AM430" s="546"/>
      <c r="AN430" s="547"/>
      <c r="AO430" s="545"/>
      <c r="AP430" s="546"/>
      <c r="AQ430" s="546"/>
      <c r="AR430" s="547"/>
      <c r="AS430" s="545"/>
      <c r="AT430" s="546"/>
      <c r="AU430" s="546"/>
      <c r="AV430" s="547"/>
      <c r="AW430" s="545"/>
      <c r="AX430" s="546"/>
      <c r="AY430" s="546"/>
      <c r="AZ430" s="547"/>
      <c r="BG430" s="93"/>
      <c r="BH430" s="93"/>
      <c r="BI430" s="93"/>
      <c r="BJ430" s="217"/>
      <c r="BK430" s="164"/>
      <c r="BL430" s="165"/>
      <c r="BM430" s="165"/>
      <c r="BN430" s="165"/>
      <c r="BO430" s="165"/>
      <c r="BP430" s="165"/>
      <c r="BQ430" s="165"/>
      <c r="BR430" s="165"/>
      <c r="BS430" s="165"/>
      <c r="BT430" s="165"/>
      <c r="BU430" s="165"/>
      <c r="BV430" s="165"/>
      <c r="BW430" s="165"/>
      <c r="BX430" s="165"/>
      <c r="BY430" s="165"/>
      <c r="BZ430" s="165"/>
      <c r="CA430" s="165"/>
      <c r="CB430" s="217"/>
      <c r="CC430" s="126"/>
      <c r="CD430" s="126"/>
      <c r="CE430" s="143"/>
    </row>
    <row r="431" spans="1:83">
      <c r="A431" s="107"/>
      <c r="B431" s="107"/>
      <c r="C431" s="107"/>
      <c r="D431" s="107"/>
      <c r="E431" s="548"/>
      <c r="F431" s="549"/>
      <c r="G431" s="549"/>
      <c r="H431" s="550"/>
      <c r="I431" s="540"/>
      <c r="J431" s="541"/>
      <c r="K431" s="541"/>
      <c r="L431" s="542"/>
      <c r="M431" s="540"/>
      <c r="N431" s="541"/>
      <c r="O431" s="541"/>
      <c r="P431" s="542"/>
      <c r="Q431" s="540"/>
      <c r="R431" s="541"/>
      <c r="S431" s="541"/>
      <c r="T431" s="542"/>
      <c r="U431" s="540"/>
      <c r="V431" s="541"/>
      <c r="W431" s="541"/>
      <c r="X431" s="542"/>
      <c r="Y431" s="540"/>
      <c r="Z431" s="541"/>
      <c r="AA431" s="541"/>
      <c r="AB431" s="542"/>
      <c r="AC431" s="540"/>
      <c r="AD431" s="541"/>
      <c r="AE431" s="541"/>
      <c r="AF431" s="542"/>
      <c r="AG431" s="540"/>
      <c r="AH431" s="541"/>
      <c r="AI431" s="541"/>
      <c r="AJ431" s="542"/>
      <c r="AK431" s="540"/>
      <c r="AL431" s="541"/>
      <c r="AM431" s="541"/>
      <c r="AN431" s="542"/>
      <c r="AO431" s="540"/>
      <c r="AP431" s="541"/>
      <c r="AQ431" s="541"/>
      <c r="AR431" s="542"/>
      <c r="AS431" s="540"/>
      <c r="AT431" s="541"/>
      <c r="AU431" s="541"/>
      <c r="AV431" s="542"/>
      <c r="AW431" s="540"/>
      <c r="AX431" s="541"/>
      <c r="AY431" s="541"/>
      <c r="AZ431" s="542"/>
      <c r="BG431" s="93"/>
      <c r="BH431" s="93"/>
      <c r="BI431" s="93"/>
      <c r="BJ431" s="217"/>
      <c r="BK431" s="164"/>
      <c r="BL431" s="165"/>
      <c r="BM431" s="165"/>
      <c r="BN431" s="165"/>
      <c r="BO431" s="165"/>
      <c r="BP431" s="165"/>
      <c r="BQ431" s="165"/>
      <c r="BR431" s="165"/>
      <c r="BS431" s="165"/>
      <c r="BT431" s="165"/>
      <c r="BU431" s="165"/>
      <c r="BV431" s="165"/>
      <c r="BW431" s="165"/>
      <c r="BX431" s="165"/>
      <c r="BY431" s="165"/>
      <c r="BZ431" s="165"/>
      <c r="CA431" s="165"/>
      <c r="CB431" s="217"/>
      <c r="CC431" s="126"/>
      <c r="CD431" s="126"/>
      <c r="CE431" s="143"/>
    </row>
    <row r="432" spans="1:83">
      <c r="A432" s="107"/>
      <c r="B432" s="107"/>
      <c r="C432" s="107"/>
      <c r="D432" s="107"/>
      <c r="E432" s="551"/>
      <c r="F432" s="552"/>
      <c r="G432" s="552"/>
      <c r="H432" s="553"/>
      <c r="I432" s="545"/>
      <c r="J432" s="546"/>
      <c r="K432" s="546"/>
      <c r="L432" s="547"/>
      <c r="M432" s="545"/>
      <c r="N432" s="546"/>
      <c r="O432" s="546"/>
      <c r="P432" s="547"/>
      <c r="Q432" s="545"/>
      <c r="R432" s="546"/>
      <c r="S432" s="546"/>
      <c r="T432" s="547"/>
      <c r="U432" s="545"/>
      <c r="V432" s="546"/>
      <c r="W432" s="546"/>
      <c r="X432" s="547"/>
      <c r="Y432" s="545"/>
      <c r="Z432" s="546"/>
      <c r="AA432" s="546"/>
      <c r="AB432" s="547"/>
      <c r="AC432" s="545"/>
      <c r="AD432" s="546"/>
      <c r="AE432" s="546"/>
      <c r="AF432" s="547"/>
      <c r="AG432" s="545"/>
      <c r="AH432" s="546"/>
      <c r="AI432" s="546"/>
      <c r="AJ432" s="547"/>
      <c r="AK432" s="545"/>
      <c r="AL432" s="546"/>
      <c r="AM432" s="546"/>
      <c r="AN432" s="547"/>
      <c r="AO432" s="545"/>
      <c r="AP432" s="546"/>
      <c r="AQ432" s="546"/>
      <c r="AR432" s="547"/>
      <c r="AS432" s="545"/>
      <c r="AT432" s="546"/>
      <c r="AU432" s="546"/>
      <c r="AV432" s="547"/>
      <c r="AW432" s="545"/>
      <c r="AX432" s="546"/>
      <c r="AY432" s="546"/>
      <c r="AZ432" s="547"/>
      <c r="BG432" s="93"/>
      <c r="BH432" s="93"/>
      <c r="BI432" s="93"/>
      <c r="BJ432" s="217"/>
      <c r="BK432" s="164"/>
      <c r="BL432" s="165"/>
      <c r="BM432" s="165"/>
      <c r="BN432" s="165"/>
      <c r="BO432" s="165"/>
      <c r="BP432" s="165"/>
      <c r="BQ432" s="165"/>
      <c r="BR432" s="165"/>
      <c r="BS432" s="165"/>
      <c r="BT432" s="165"/>
      <c r="BU432" s="165"/>
      <c r="BV432" s="165"/>
      <c r="BW432" s="165"/>
      <c r="BX432" s="165"/>
      <c r="BY432" s="165"/>
      <c r="BZ432" s="165"/>
      <c r="CA432" s="165"/>
      <c r="CB432" s="217"/>
      <c r="CC432" s="126"/>
      <c r="CD432" s="126"/>
      <c r="CE432" s="143"/>
    </row>
    <row r="433" spans="1:83">
      <c r="A433" s="107"/>
      <c r="B433" s="107"/>
      <c r="C433" s="107"/>
      <c r="D433" s="107"/>
      <c r="E433" s="548"/>
      <c r="F433" s="549"/>
      <c r="G433" s="549"/>
      <c r="H433" s="550"/>
      <c r="I433" s="540"/>
      <c r="J433" s="541"/>
      <c r="K433" s="541"/>
      <c r="L433" s="542"/>
      <c r="M433" s="540"/>
      <c r="N433" s="541"/>
      <c r="O433" s="541"/>
      <c r="P433" s="542"/>
      <c r="Q433" s="540"/>
      <c r="R433" s="541"/>
      <c r="S433" s="541"/>
      <c r="T433" s="542"/>
      <c r="U433" s="540"/>
      <c r="V433" s="541"/>
      <c r="W433" s="541"/>
      <c r="X433" s="542"/>
      <c r="Y433" s="540"/>
      <c r="Z433" s="541"/>
      <c r="AA433" s="541"/>
      <c r="AB433" s="542"/>
      <c r="AC433" s="540"/>
      <c r="AD433" s="541"/>
      <c r="AE433" s="541"/>
      <c r="AF433" s="542"/>
      <c r="AG433" s="540"/>
      <c r="AH433" s="541"/>
      <c r="AI433" s="541"/>
      <c r="AJ433" s="542"/>
      <c r="AK433" s="540"/>
      <c r="AL433" s="541"/>
      <c r="AM433" s="541"/>
      <c r="AN433" s="542"/>
      <c r="AO433" s="540"/>
      <c r="AP433" s="541"/>
      <c r="AQ433" s="541"/>
      <c r="AR433" s="542"/>
      <c r="AS433" s="540"/>
      <c r="AT433" s="541"/>
      <c r="AU433" s="541"/>
      <c r="AV433" s="542"/>
      <c r="AW433" s="540"/>
      <c r="AX433" s="541"/>
      <c r="AY433" s="541"/>
      <c r="AZ433" s="542"/>
      <c r="BG433" s="93"/>
      <c r="BH433" s="93"/>
      <c r="BI433" s="93"/>
      <c r="BJ433" s="217"/>
      <c r="BK433" s="164"/>
      <c r="BL433" s="165"/>
      <c r="BM433" s="165"/>
      <c r="BN433" s="165"/>
      <c r="BO433" s="165"/>
      <c r="BP433" s="165"/>
      <c r="BQ433" s="165"/>
      <c r="BR433" s="165"/>
      <c r="BS433" s="165"/>
      <c r="BT433" s="165"/>
      <c r="BU433" s="165"/>
      <c r="BV433" s="165"/>
      <c r="BW433" s="165"/>
      <c r="BX433" s="165"/>
      <c r="BY433" s="165"/>
      <c r="BZ433" s="165"/>
      <c r="CA433" s="165"/>
      <c r="CB433" s="217"/>
      <c r="CC433" s="126"/>
      <c r="CD433" s="126"/>
      <c r="CE433" s="143"/>
    </row>
    <row r="434" spans="1:83">
      <c r="A434" s="107"/>
      <c r="B434" s="107"/>
      <c r="C434" s="107"/>
      <c r="D434" s="107"/>
      <c r="E434" s="551"/>
      <c r="F434" s="552"/>
      <c r="G434" s="552"/>
      <c r="H434" s="553"/>
      <c r="I434" s="545"/>
      <c r="J434" s="546"/>
      <c r="K434" s="546"/>
      <c r="L434" s="547"/>
      <c r="M434" s="545"/>
      <c r="N434" s="546"/>
      <c r="O434" s="546"/>
      <c r="P434" s="547"/>
      <c r="Q434" s="545"/>
      <c r="R434" s="546"/>
      <c r="S434" s="546"/>
      <c r="T434" s="547"/>
      <c r="U434" s="545"/>
      <c r="V434" s="546"/>
      <c r="W434" s="546"/>
      <c r="X434" s="547"/>
      <c r="Y434" s="545"/>
      <c r="Z434" s="546"/>
      <c r="AA434" s="546"/>
      <c r="AB434" s="547"/>
      <c r="AC434" s="545"/>
      <c r="AD434" s="546"/>
      <c r="AE434" s="546"/>
      <c r="AF434" s="547"/>
      <c r="AG434" s="545"/>
      <c r="AH434" s="546"/>
      <c r="AI434" s="546"/>
      <c r="AJ434" s="547"/>
      <c r="AK434" s="545"/>
      <c r="AL434" s="546"/>
      <c r="AM434" s="546"/>
      <c r="AN434" s="547"/>
      <c r="AO434" s="545"/>
      <c r="AP434" s="546"/>
      <c r="AQ434" s="546"/>
      <c r="AR434" s="547"/>
      <c r="AS434" s="545"/>
      <c r="AT434" s="546"/>
      <c r="AU434" s="546"/>
      <c r="AV434" s="547"/>
      <c r="AW434" s="545"/>
      <c r="AX434" s="546"/>
      <c r="AY434" s="546"/>
      <c r="AZ434" s="547"/>
      <c r="BG434" s="93"/>
      <c r="BH434" s="93"/>
      <c r="BI434" s="93"/>
      <c r="BJ434" s="217"/>
      <c r="BK434" s="164"/>
      <c r="BL434" s="165"/>
      <c r="BM434" s="165"/>
      <c r="BN434" s="165"/>
      <c r="BO434" s="165"/>
      <c r="BP434" s="165"/>
      <c r="BQ434" s="165"/>
      <c r="BR434" s="165"/>
      <c r="BS434" s="165"/>
      <c r="BT434" s="165"/>
      <c r="BU434" s="165"/>
      <c r="BV434" s="165"/>
      <c r="BW434" s="165"/>
      <c r="BX434" s="165"/>
      <c r="BY434" s="165"/>
      <c r="BZ434" s="165"/>
      <c r="CA434" s="165"/>
      <c r="CB434" s="217"/>
      <c r="CC434" s="126"/>
      <c r="CD434" s="126"/>
      <c r="CE434" s="143"/>
    </row>
    <row r="435" spans="1:83">
      <c r="A435" s="107"/>
      <c r="B435" s="107"/>
      <c r="C435" s="107"/>
      <c r="D435" s="107"/>
      <c r="E435" s="548"/>
      <c r="F435" s="549"/>
      <c r="G435" s="549"/>
      <c r="H435" s="550"/>
      <c r="I435" s="540"/>
      <c r="J435" s="541"/>
      <c r="K435" s="541"/>
      <c r="L435" s="542"/>
      <c r="M435" s="540"/>
      <c r="N435" s="541"/>
      <c r="O435" s="541"/>
      <c r="P435" s="542"/>
      <c r="Q435" s="540"/>
      <c r="R435" s="541"/>
      <c r="S435" s="541"/>
      <c r="T435" s="542"/>
      <c r="U435" s="540"/>
      <c r="V435" s="541"/>
      <c r="W435" s="541"/>
      <c r="X435" s="542"/>
      <c r="Y435" s="540"/>
      <c r="Z435" s="541"/>
      <c r="AA435" s="541"/>
      <c r="AB435" s="542"/>
      <c r="AC435" s="540"/>
      <c r="AD435" s="541"/>
      <c r="AE435" s="541"/>
      <c r="AF435" s="542"/>
      <c r="AG435" s="540"/>
      <c r="AH435" s="541"/>
      <c r="AI435" s="541"/>
      <c r="AJ435" s="542"/>
      <c r="AK435" s="540"/>
      <c r="AL435" s="541"/>
      <c r="AM435" s="541"/>
      <c r="AN435" s="542"/>
      <c r="AO435" s="540"/>
      <c r="AP435" s="541"/>
      <c r="AQ435" s="541"/>
      <c r="AR435" s="542"/>
      <c r="AS435" s="540"/>
      <c r="AT435" s="541"/>
      <c r="AU435" s="541"/>
      <c r="AV435" s="542"/>
      <c r="AW435" s="540"/>
      <c r="AX435" s="541"/>
      <c r="AY435" s="541"/>
      <c r="AZ435" s="542"/>
      <c r="BG435" s="93"/>
      <c r="BH435" s="93"/>
      <c r="BI435" s="93"/>
      <c r="BJ435" s="217"/>
      <c r="BK435" s="164"/>
      <c r="BL435" s="165"/>
      <c r="BM435" s="165"/>
      <c r="BN435" s="165"/>
      <c r="BO435" s="165"/>
      <c r="BP435" s="165"/>
      <c r="BQ435" s="165"/>
      <c r="BR435" s="165"/>
      <c r="BS435" s="165"/>
      <c r="BT435" s="165"/>
      <c r="BU435" s="165"/>
      <c r="BV435" s="165"/>
      <c r="BW435" s="165"/>
      <c r="BX435" s="165"/>
      <c r="BY435" s="165"/>
      <c r="BZ435" s="165"/>
      <c r="CA435" s="165"/>
      <c r="CB435" s="217"/>
      <c r="CC435" s="126"/>
      <c r="CD435" s="126"/>
      <c r="CE435" s="143"/>
    </row>
    <row r="436" spans="1:83">
      <c r="A436" s="107"/>
      <c r="B436" s="107"/>
      <c r="C436" s="107"/>
      <c r="D436" s="107"/>
      <c r="E436" s="551"/>
      <c r="F436" s="552"/>
      <c r="G436" s="552"/>
      <c r="H436" s="553"/>
      <c r="I436" s="545"/>
      <c r="J436" s="546"/>
      <c r="K436" s="546"/>
      <c r="L436" s="547"/>
      <c r="M436" s="545"/>
      <c r="N436" s="546"/>
      <c r="O436" s="546"/>
      <c r="P436" s="547"/>
      <c r="Q436" s="545"/>
      <c r="R436" s="546"/>
      <c r="S436" s="546"/>
      <c r="T436" s="547"/>
      <c r="U436" s="545"/>
      <c r="V436" s="546"/>
      <c r="W436" s="546"/>
      <c r="X436" s="547"/>
      <c r="Y436" s="545"/>
      <c r="Z436" s="546"/>
      <c r="AA436" s="546"/>
      <c r="AB436" s="547"/>
      <c r="AC436" s="545"/>
      <c r="AD436" s="546"/>
      <c r="AE436" s="546"/>
      <c r="AF436" s="547"/>
      <c r="AG436" s="545"/>
      <c r="AH436" s="546"/>
      <c r="AI436" s="546"/>
      <c r="AJ436" s="547"/>
      <c r="AK436" s="545"/>
      <c r="AL436" s="546"/>
      <c r="AM436" s="546"/>
      <c r="AN436" s="547"/>
      <c r="AO436" s="545"/>
      <c r="AP436" s="546"/>
      <c r="AQ436" s="546"/>
      <c r="AR436" s="547"/>
      <c r="AS436" s="545"/>
      <c r="AT436" s="546"/>
      <c r="AU436" s="546"/>
      <c r="AV436" s="547"/>
      <c r="AW436" s="545"/>
      <c r="AX436" s="546"/>
      <c r="AY436" s="546"/>
      <c r="AZ436" s="547"/>
      <c r="BG436" s="93"/>
      <c r="BH436" s="93"/>
      <c r="BI436" s="93"/>
      <c r="BJ436" s="217"/>
      <c r="BK436" s="164"/>
      <c r="BL436" s="165"/>
      <c r="BM436" s="165"/>
      <c r="BN436" s="165"/>
      <c r="BO436" s="165"/>
      <c r="BP436" s="165"/>
      <c r="BQ436" s="165"/>
      <c r="BR436" s="165"/>
      <c r="BS436" s="165"/>
      <c r="BT436" s="165"/>
      <c r="BU436" s="165"/>
      <c r="BV436" s="165"/>
      <c r="BW436" s="165"/>
      <c r="BX436" s="165"/>
      <c r="BY436" s="165"/>
      <c r="BZ436" s="165"/>
      <c r="CA436" s="165"/>
      <c r="CB436" s="217"/>
      <c r="CC436" s="126"/>
      <c r="CD436" s="126"/>
      <c r="CE436" s="143"/>
    </row>
    <row r="437" spans="1:83">
      <c r="A437" s="107"/>
      <c r="B437" s="107"/>
      <c r="C437" s="107"/>
      <c r="D437" s="107"/>
      <c r="E437" s="548"/>
      <c r="F437" s="549"/>
      <c r="G437" s="549"/>
      <c r="H437" s="550"/>
      <c r="I437" s="540"/>
      <c r="J437" s="541"/>
      <c r="K437" s="541"/>
      <c r="L437" s="542"/>
      <c r="M437" s="540"/>
      <c r="N437" s="541"/>
      <c r="O437" s="541"/>
      <c r="P437" s="542"/>
      <c r="Q437" s="540"/>
      <c r="R437" s="541"/>
      <c r="S437" s="541"/>
      <c r="T437" s="542"/>
      <c r="U437" s="540"/>
      <c r="V437" s="541"/>
      <c r="W437" s="541"/>
      <c r="X437" s="542"/>
      <c r="Y437" s="540"/>
      <c r="Z437" s="541"/>
      <c r="AA437" s="541"/>
      <c r="AB437" s="542"/>
      <c r="AC437" s="540"/>
      <c r="AD437" s="541"/>
      <c r="AE437" s="541"/>
      <c r="AF437" s="542"/>
      <c r="AG437" s="540"/>
      <c r="AH437" s="541"/>
      <c r="AI437" s="541"/>
      <c r="AJ437" s="542"/>
      <c r="AK437" s="540"/>
      <c r="AL437" s="541"/>
      <c r="AM437" s="541"/>
      <c r="AN437" s="542"/>
      <c r="AO437" s="540"/>
      <c r="AP437" s="541"/>
      <c r="AQ437" s="541"/>
      <c r="AR437" s="542"/>
      <c r="AS437" s="540"/>
      <c r="AT437" s="541"/>
      <c r="AU437" s="541"/>
      <c r="AV437" s="542"/>
      <c r="AW437" s="540"/>
      <c r="AX437" s="541"/>
      <c r="AY437" s="541"/>
      <c r="AZ437" s="542"/>
      <c r="BG437" s="93"/>
      <c r="BH437" s="93"/>
      <c r="BI437" s="93"/>
      <c r="BJ437" s="217"/>
      <c r="BK437" s="164"/>
      <c r="BL437" s="165"/>
      <c r="BM437" s="165"/>
      <c r="BN437" s="165"/>
      <c r="BO437" s="165"/>
      <c r="BP437" s="165"/>
      <c r="BQ437" s="165"/>
      <c r="BR437" s="165"/>
      <c r="BS437" s="165"/>
      <c r="BT437" s="165"/>
      <c r="BU437" s="165"/>
      <c r="BV437" s="165"/>
      <c r="BW437" s="165"/>
      <c r="BX437" s="165"/>
      <c r="BY437" s="165"/>
      <c r="BZ437" s="165"/>
      <c r="CA437" s="165"/>
      <c r="CB437" s="217"/>
      <c r="CC437" s="126"/>
      <c r="CD437" s="126"/>
      <c r="CE437" s="143"/>
    </row>
    <row r="438" spans="1:83">
      <c r="A438" s="107"/>
      <c r="B438" s="107"/>
      <c r="C438" s="107"/>
      <c r="D438" s="107"/>
      <c r="E438" s="551"/>
      <c r="F438" s="552"/>
      <c r="G438" s="552"/>
      <c r="H438" s="553"/>
      <c r="I438" s="545"/>
      <c r="J438" s="546"/>
      <c r="K438" s="546"/>
      <c r="L438" s="547"/>
      <c r="M438" s="545"/>
      <c r="N438" s="546"/>
      <c r="O438" s="546"/>
      <c r="P438" s="547"/>
      <c r="Q438" s="545"/>
      <c r="R438" s="546"/>
      <c r="S438" s="546"/>
      <c r="T438" s="547"/>
      <c r="U438" s="545"/>
      <c r="V438" s="546"/>
      <c r="W438" s="546"/>
      <c r="X438" s="547"/>
      <c r="Y438" s="545"/>
      <c r="Z438" s="546"/>
      <c r="AA438" s="546"/>
      <c r="AB438" s="547"/>
      <c r="AC438" s="545"/>
      <c r="AD438" s="546"/>
      <c r="AE438" s="546"/>
      <c r="AF438" s="547"/>
      <c r="AG438" s="545"/>
      <c r="AH438" s="546"/>
      <c r="AI438" s="546"/>
      <c r="AJ438" s="547"/>
      <c r="AK438" s="545"/>
      <c r="AL438" s="546"/>
      <c r="AM438" s="546"/>
      <c r="AN438" s="547"/>
      <c r="AO438" s="545"/>
      <c r="AP438" s="546"/>
      <c r="AQ438" s="546"/>
      <c r="AR438" s="547"/>
      <c r="AS438" s="545"/>
      <c r="AT438" s="546"/>
      <c r="AU438" s="546"/>
      <c r="AV438" s="547"/>
      <c r="AW438" s="545"/>
      <c r="AX438" s="546"/>
      <c r="AY438" s="546"/>
      <c r="AZ438" s="547"/>
      <c r="BG438" s="93"/>
      <c r="BH438" s="93"/>
      <c r="BI438" s="93"/>
      <c r="BJ438" s="217"/>
      <c r="BK438" s="164"/>
      <c r="BL438" s="165"/>
      <c r="BM438" s="165"/>
      <c r="BN438" s="165"/>
      <c r="BO438" s="165"/>
      <c r="BP438" s="165"/>
      <c r="BQ438" s="165"/>
      <c r="BR438" s="165"/>
      <c r="BS438" s="165"/>
      <c r="BT438" s="165"/>
      <c r="BU438" s="165"/>
      <c r="BV438" s="165"/>
      <c r="BW438" s="165"/>
      <c r="BX438" s="165"/>
      <c r="BY438" s="165"/>
      <c r="BZ438" s="165"/>
      <c r="CA438" s="165"/>
      <c r="CB438" s="217"/>
      <c r="CC438" s="126"/>
      <c r="CD438" s="126"/>
      <c r="CE438" s="143"/>
    </row>
    <row r="439" spans="1:83">
      <c r="A439" s="107"/>
      <c r="B439" s="107"/>
      <c r="C439" s="107"/>
      <c r="D439" s="107"/>
      <c r="E439" s="548"/>
      <c r="F439" s="549"/>
      <c r="G439" s="549"/>
      <c r="H439" s="550"/>
      <c r="I439" s="540"/>
      <c r="J439" s="541"/>
      <c r="K439" s="541"/>
      <c r="L439" s="542"/>
      <c r="M439" s="540"/>
      <c r="N439" s="541"/>
      <c r="O439" s="541"/>
      <c r="P439" s="542"/>
      <c r="Q439" s="540"/>
      <c r="R439" s="541"/>
      <c r="S439" s="541"/>
      <c r="T439" s="542"/>
      <c r="U439" s="540"/>
      <c r="V439" s="541"/>
      <c r="W439" s="541"/>
      <c r="X439" s="542"/>
      <c r="Y439" s="540"/>
      <c r="Z439" s="541"/>
      <c r="AA439" s="541"/>
      <c r="AB439" s="542"/>
      <c r="AC439" s="540"/>
      <c r="AD439" s="541"/>
      <c r="AE439" s="541"/>
      <c r="AF439" s="542"/>
      <c r="AG439" s="540"/>
      <c r="AH439" s="541"/>
      <c r="AI439" s="541"/>
      <c r="AJ439" s="542"/>
      <c r="AK439" s="540"/>
      <c r="AL439" s="541"/>
      <c r="AM439" s="541"/>
      <c r="AN439" s="542"/>
      <c r="AO439" s="540"/>
      <c r="AP439" s="541"/>
      <c r="AQ439" s="541"/>
      <c r="AR439" s="542"/>
      <c r="AS439" s="540"/>
      <c r="AT439" s="541"/>
      <c r="AU439" s="541"/>
      <c r="AV439" s="542"/>
      <c r="AW439" s="540"/>
      <c r="AX439" s="541"/>
      <c r="AY439" s="541"/>
      <c r="AZ439" s="542"/>
      <c r="BG439" s="93"/>
      <c r="BH439" s="93"/>
      <c r="BI439" s="93"/>
      <c r="BJ439" s="217"/>
      <c r="BK439" s="164"/>
      <c r="BL439" s="165"/>
      <c r="BM439" s="165"/>
      <c r="BN439" s="165"/>
      <c r="BO439" s="165"/>
      <c r="BP439" s="165"/>
      <c r="BQ439" s="165"/>
      <c r="BR439" s="165"/>
      <c r="BS439" s="165"/>
      <c r="BT439" s="165"/>
      <c r="BU439" s="165"/>
      <c r="BV439" s="165"/>
      <c r="BW439" s="165"/>
      <c r="BX439" s="165"/>
      <c r="BY439" s="165"/>
      <c r="BZ439" s="165"/>
      <c r="CA439" s="165"/>
      <c r="CB439" s="217"/>
      <c r="CC439" s="126"/>
      <c r="CD439" s="126"/>
      <c r="CE439" s="143"/>
    </row>
    <row r="440" spans="1:83">
      <c r="A440" s="107"/>
      <c r="B440" s="107"/>
      <c r="C440" s="107"/>
      <c r="D440" s="107"/>
      <c r="E440" s="551"/>
      <c r="F440" s="552"/>
      <c r="G440" s="552"/>
      <c r="H440" s="553"/>
      <c r="I440" s="545"/>
      <c r="J440" s="546"/>
      <c r="K440" s="546"/>
      <c r="L440" s="547"/>
      <c r="M440" s="545"/>
      <c r="N440" s="546"/>
      <c r="O440" s="546"/>
      <c r="P440" s="547"/>
      <c r="Q440" s="545"/>
      <c r="R440" s="546"/>
      <c r="S440" s="546"/>
      <c r="T440" s="547"/>
      <c r="U440" s="545"/>
      <c r="V440" s="546"/>
      <c r="W440" s="546"/>
      <c r="X440" s="547"/>
      <c r="Y440" s="545"/>
      <c r="Z440" s="546"/>
      <c r="AA440" s="546"/>
      <c r="AB440" s="547"/>
      <c r="AC440" s="545"/>
      <c r="AD440" s="546"/>
      <c r="AE440" s="546"/>
      <c r="AF440" s="547"/>
      <c r="AG440" s="545"/>
      <c r="AH440" s="546"/>
      <c r="AI440" s="546"/>
      <c r="AJ440" s="547"/>
      <c r="AK440" s="545"/>
      <c r="AL440" s="546"/>
      <c r="AM440" s="546"/>
      <c r="AN440" s="547"/>
      <c r="AO440" s="545"/>
      <c r="AP440" s="546"/>
      <c r="AQ440" s="546"/>
      <c r="AR440" s="547"/>
      <c r="AS440" s="545"/>
      <c r="AT440" s="546"/>
      <c r="AU440" s="546"/>
      <c r="AV440" s="547"/>
      <c r="AW440" s="545"/>
      <c r="AX440" s="546"/>
      <c r="AY440" s="546"/>
      <c r="AZ440" s="547"/>
      <c r="BG440" s="93"/>
      <c r="BH440" s="93"/>
      <c r="BI440" s="93"/>
      <c r="BJ440" s="217"/>
      <c r="BK440" s="164"/>
      <c r="BL440" s="165"/>
      <c r="BM440" s="165"/>
      <c r="BN440" s="165"/>
      <c r="BO440" s="165"/>
      <c r="BP440" s="165"/>
      <c r="BQ440" s="165"/>
      <c r="BR440" s="165"/>
      <c r="BS440" s="165"/>
      <c r="BT440" s="165"/>
      <c r="BU440" s="165"/>
      <c r="BV440" s="165"/>
      <c r="BW440" s="165"/>
      <c r="BX440" s="165"/>
      <c r="BY440" s="165"/>
      <c r="BZ440" s="165"/>
      <c r="CA440" s="165"/>
      <c r="CB440" s="217"/>
      <c r="CC440" s="126"/>
      <c r="CD440" s="126"/>
      <c r="CE440" s="143"/>
    </row>
    <row r="441" spans="1:83">
      <c r="A441" s="107"/>
      <c r="B441" s="107"/>
      <c r="C441" s="107"/>
      <c r="D441" s="107"/>
      <c r="E441" s="548"/>
      <c r="F441" s="549"/>
      <c r="G441" s="549"/>
      <c r="H441" s="550"/>
      <c r="I441" s="540"/>
      <c r="J441" s="541"/>
      <c r="K441" s="541"/>
      <c r="L441" s="542"/>
      <c r="M441" s="540"/>
      <c r="N441" s="541"/>
      <c r="O441" s="541"/>
      <c r="P441" s="542"/>
      <c r="Q441" s="540"/>
      <c r="R441" s="541"/>
      <c r="S441" s="541"/>
      <c r="T441" s="542"/>
      <c r="U441" s="540"/>
      <c r="V441" s="541"/>
      <c r="W441" s="541"/>
      <c r="X441" s="542"/>
      <c r="Y441" s="540"/>
      <c r="Z441" s="541"/>
      <c r="AA441" s="541"/>
      <c r="AB441" s="542"/>
      <c r="AC441" s="540"/>
      <c r="AD441" s="541"/>
      <c r="AE441" s="541"/>
      <c r="AF441" s="542"/>
      <c r="AG441" s="540"/>
      <c r="AH441" s="541"/>
      <c r="AI441" s="541"/>
      <c r="AJ441" s="542"/>
      <c r="AK441" s="540"/>
      <c r="AL441" s="541"/>
      <c r="AM441" s="541"/>
      <c r="AN441" s="542"/>
      <c r="AO441" s="540"/>
      <c r="AP441" s="541"/>
      <c r="AQ441" s="541"/>
      <c r="AR441" s="542"/>
      <c r="AS441" s="540"/>
      <c r="AT441" s="541"/>
      <c r="AU441" s="541"/>
      <c r="AV441" s="542"/>
      <c r="AW441" s="540"/>
      <c r="AX441" s="541"/>
      <c r="AY441" s="541"/>
      <c r="AZ441" s="542"/>
      <c r="BG441" s="93"/>
      <c r="BH441" s="93"/>
      <c r="BI441" s="93"/>
      <c r="BJ441" s="217"/>
      <c r="BK441" s="164"/>
      <c r="BL441" s="165"/>
      <c r="BM441" s="165"/>
      <c r="BN441" s="165"/>
      <c r="BO441" s="165"/>
      <c r="BP441" s="165"/>
      <c r="BQ441" s="165"/>
      <c r="BR441" s="165"/>
      <c r="BS441" s="165"/>
      <c r="BT441" s="165"/>
      <c r="BU441" s="165"/>
      <c r="BV441" s="165"/>
      <c r="BW441" s="165"/>
      <c r="BX441" s="165"/>
      <c r="BY441" s="165"/>
      <c r="BZ441" s="165"/>
      <c r="CA441" s="165"/>
      <c r="CB441" s="217"/>
      <c r="CC441" s="126"/>
      <c r="CD441" s="126"/>
      <c r="CE441" s="143"/>
    </row>
    <row r="442" spans="1:83">
      <c r="A442" s="107"/>
      <c r="B442" s="107"/>
      <c r="C442" s="107"/>
      <c r="D442" s="107"/>
      <c r="E442" s="551"/>
      <c r="F442" s="552"/>
      <c r="G442" s="552"/>
      <c r="H442" s="553"/>
      <c r="I442" s="545"/>
      <c r="J442" s="546"/>
      <c r="K442" s="546"/>
      <c r="L442" s="547"/>
      <c r="M442" s="545"/>
      <c r="N442" s="546"/>
      <c r="O442" s="546"/>
      <c r="P442" s="547"/>
      <c r="Q442" s="545"/>
      <c r="R442" s="546"/>
      <c r="S442" s="546"/>
      <c r="T442" s="547"/>
      <c r="U442" s="545"/>
      <c r="V442" s="546"/>
      <c r="W442" s="546"/>
      <c r="X442" s="547"/>
      <c r="Y442" s="545"/>
      <c r="Z442" s="546"/>
      <c r="AA442" s="546"/>
      <c r="AB442" s="547"/>
      <c r="AC442" s="545"/>
      <c r="AD442" s="546"/>
      <c r="AE442" s="546"/>
      <c r="AF442" s="547"/>
      <c r="AG442" s="545"/>
      <c r="AH442" s="546"/>
      <c r="AI442" s="546"/>
      <c r="AJ442" s="547"/>
      <c r="AK442" s="545"/>
      <c r="AL442" s="546"/>
      <c r="AM442" s="546"/>
      <c r="AN442" s="547"/>
      <c r="AO442" s="545"/>
      <c r="AP442" s="546"/>
      <c r="AQ442" s="546"/>
      <c r="AR442" s="547"/>
      <c r="AS442" s="545"/>
      <c r="AT442" s="546"/>
      <c r="AU442" s="546"/>
      <c r="AV442" s="547"/>
      <c r="AW442" s="545"/>
      <c r="AX442" s="546"/>
      <c r="AY442" s="546"/>
      <c r="AZ442" s="547"/>
      <c r="BG442" s="93"/>
      <c r="BH442" s="93"/>
      <c r="BI442" s="93"/>
      <c r="BJ442" s="217"/>
      <c r="BK442" s="164"/>
      <c r="BL442" s="165"/>
      <c r="BM442" s="165"/>
      <c r="BN442" s="165"/>
      <c r="BO442" s="165"/>
      <c r="BP442" s="165"/>
      <c r="BQ442" s="165"/>
      <c r="BR442" s="165"/>
      <c r="BS442" s="165"/>
      <c r="BT442" s="165"/>
      <c r="BU442" s="165"/>
      <c r="BV442" s="165"/>
      <c r="BW442" s="165"/>
      <c r="BX442" s="165"/>
      <c r="BY442" s="165"/>
      <c r="BZ442" s="165"/>
      <c r="CA442" s="165"/>
      <c r="CB442" s="217"/>
      <c r="CC442" s="126"/>
      <c r="CD442" s="126"/>
      <c r="CE442" s="143"/>
    </row>
    <row r="443" spans="1:83">
      <c r="A443" s="107"/>
      <c r="B443" s="107"/>
      <c r="C443" s="107"/>
      <c r="D443" s="107"/>
      <c r="E443" s="548"/>
      <c r="F443" s="549"/>
      <c r="G443" s="549"/>
      <c r="H443" s="550"/>
      <c r="I443" s="540"/>
      <c r="J443" s="541"/>
      <c r="K443" s="541"/>
      <c r="L443" s="542"/>
      <c r="M443" s="540"/>
      <c r="N443" s="541"/>
      <c r="O443" s="541"/>
      <c r="P443" s="542"/>
      <c r="Q443" s="540"/>
      <c r="R443" s="541"/>
      <c r="S443" s="541"/>
      <c r="T443" s="542"/>
      <c r="U443" s="540"/>
      <c r="V443" s="541"/>
      <c r="W443" s="541"/>
      <c r="X443" s="542"/>
      <c r="Y443" s="540"/>
      <c r="Z443" s="541"/>
      <c r="AA443" s="541"/>
      <c r="AB443" s="542"/>
      <c r="AC443" s="540"/>
      <c r="AD443" s="541"/>
      <c r="AE443" s="541"/>
      <c r="AF443" s="542"/>
      <c r="AG443" s="540"/>
      <c r="AH443" s="541"/>
      <c r="AI443" s="541"/>
      <c r="AJ443" s="542"/>
      <c r="AK443" s="540"/>
      <c r="AL443" s="541"/>
      <c r="AM443" s="541"/>
      <c r="AN443" s="542"/>
      <c r="AO443" s="540"/>
      <c r="AP443" s="541"/>
      <c r="AQ443" s="541"/>
      <c r="AR443" s="542"/>
      <c r="AS443" s="540"/>
      <c r="AT443" s="541"/>
      <c r="AU443" s="541"/>
      <c r="AV443" s="542"/>
      <c r="AW443" s="540"/>
      <c r="AX443" s="541"/>
      <c r="AY443" s="541"/>
      <c r="AZ443" s="542"/>
      <c r="BG443" s="93"/>
      <c r="BH443" s="93"/>
      <c r="BI443" s="93"/>
      <c r="BJ443" s="217"/>
      <c r="BK443" s="164"/>
      <c r="BL443" s="165"/>
      <c r="BM443" s="165"/>
      <c r="BN443" s="165"/>
      <c r="BO443" s="165"/>
      <c r="BP443" s="165"/>
      <c r="BQ443" s="165"/>
      <c r="BR443" s="165"/>
      <c r="BS443" s="165"/>
      <c r="BT443" s="165"/>
      <c r="BU443" s="165"/>
      <c r="BV443" s="165"/>
      <c r="BW443" s="165"/>
      <c r="BX443" s="165"/>
      <c r="BY443" s="165"/>
      <c r="BZ443" s="165"/>
      <c r="CA443" s="165"/>
      <c r="CB443" s="217"/>
      <c r="CC443" s="126"/>
      <c r="CD443" s="126"/>
      <c r="CE443" s="143"/>
    </row>
    <row r="444" spans="1:83">
      <c r="A444" s="107"/>
      <c r="B444" s="107"/>
      <c r="C444" s="107"/>
      <c r="D444" s="107"/>
      <c r="E444" s="551"/>
      <c r="F444" s="552"/>
      <c r="G444" s="552"/>
      <c r="H444" s="553"/>
      <c r="I444" s="545"/>
      <c r="J444" s="546"/>
      <c r="K444" s="546"/>
      <c r="L444" s="547"/>
      <c r="M444" s="545"/>
      <c r="N444" s="546"/>
      <c r="O444" s="546"/>
      <c r="P444" s="547"/>
      <c r="Q444" s="545"/>
      <c r="R444" s="546"/>
      <c r="S444" s="546"/>
      <c r="T444" s="547"/>
      <c r="U444" s="545"/>
      <c r="V444" s="546"/>
      <c r="W444" s="546"/>
      <c r="X444" s="547"/>
      <c r="Y444" s="545"/>
      <c r="Z444" s="546"/>
      <c r="AA444" s="546"/>
      <c r="AB444" s="547"/>
      <c r="AC444" s="545"/>
      <c r="AD444" s="546"/>
      <c r="AE444" s="546"/>
      <c r="AF444" s="547"/>
      <c r="AG444" s="545"/>
      <c r="AH444" s="546"/>
      <c r="AI444" s="546"/>
      <c r="AJ444" s="547"/>
      <c r="AK444" s="545"/>
      <c r="AL444" s="546"/>
      <c r="AM444" s="546"/>
      <c r="AN444" s="547"/>
      <c r="AO444" s="545"/>
      <c r="AP444" s="546"/>
      <c r="AQ444" s="546"/>
      <c r="AR444" s="547"/>
      <c r="AS444" s="545"/>
      <c r="AT444" s="546"/>
      <c r="AU444" s="546"/>
      <c r="AV444" s="547"/>
      <c r="AW444" s="545"/>
      <c r="AX444" s="546"/>
      <c r="AY444" s="546"/>
      <c r="AZ444" s="547"/>
      <c r="BG444" s="93"/>
      <c r="BH444" s="93"/>
      <c r="BI444" s="93"/>
      <c r="BJ444" s="217"/>
      <c r="BK444" s="164"/>
      <c r="BL444" s="165"/>
      <c r="BM444" s="165"/>
      <c r="BN444" s="165"/>
      <c r="BO444" s="165"/>
      <c r="BP444" s="165"/>
      <c r="BQ444" s="165"/>
      <c r="BR444" s="165"/>
      <c r="BS444" s="165"/>
      <c r="BT444" s="165"/>
      <c r="BU444" s="165"/>
      <c r="BV444" s="165"/>
      <c r="BW444" s="165"/>
      <c r="BX444" s="165"/>
      <c r="BY444" s="165"/>
      <c r="BZ444" s="165"/>
      <c r="CA444" s="165"/>
      <c r="CB444" s="217"/>
      <c r="CC444" s="126"/>
      <c r="CD444" s="126"/>
      <c r="CE444" s="143"/>
    </row>
    <row r="445" spans="1:83">
      <c r="A445" s="107"/>
      <c r="B445" s="107"/>
      <c r="C445" s="107"/>
      <c r="D445" s="107"/>
      <c r="E445" s="548"/>
      <c r="F445" s="549"/>
      <c r="G445" s="549"/>
      <c r="H445" s="550"/>
      <c r="I445" s="540"/>
      <c r="J445" s="541"/>
      <c r="K445" s="541"/>
      <c r="L445" s="542"/>
      <c r="M445" s="540"/>
      <c r="N445" s="541"/>
      <c r="O445" s="541"/>
      <c r="P445" s="542"/>
      <c r="Q445" s="540"/>
      <c r="R445" s="541"/>
      <c r="S445" s="541"/>
      <c r="T445" s="542"/>
      <c r="U445" s="540"/>
      <c r="V445" s="541"/>
      <c r="W445" s="541"/>
      <c r="X445" s="542"/>
      <c r="Y445" s="540"/>
      <c r="Z445" s="541"/>
      <c r="AA445" s="541"/>
      <c r="AB445" s="542"/>
      <c r="AC445" s="540"/>
      <c r="AD445" s="541"/>
      <c r="AE445" s="541"/>
      <c r="AF445" s="542"/>
      <c r="AG445" s="540"/>
      <c r="AH445" s="541"/>
      <c r="AI445" s="541"/>
      <c r="AJ445" s="542"/>
      <c r="AK445" s="540"/>
      <c r="AL445" s="541"/>
      <c r="AM445" s="541"/>
      <c r="AN445" s="542"/>
      <c r="AO445" s="540"/>
      <c r="AP445" s="541"/>
      <c r="AQ445" s="541"/>
      <c r="AR445" s="542"/>
      <c r="AS445" s="540"/>
      <c r="AT445" s="541"/>
      <c r="AU445" s="541"/>
      <c r="AV445" s="542"/>
      <c r="AW445" s="540"/>
      <c r="AX445" s="541"/>
      <c r="AY445" s="541"/>
      <c r="AZ445" s="542"/>
      <c r="BG445" s="93"/>
      <c r="BH445" s="93"/>
      <c r="BI445" s="93"/>
      <c r="BJ445" s="217"/>
      <c r="BK445" s="164"/>
      <c r="BL445" s="165"/>
      <c r="BM445" s="165"/>
      <c r="BN445" s="165"/>
      <c r="BO445" s="165"/>
      <c r="BP445" s="165"/>
      <c r="BQ445" s="165"/>
      <c r="BR445" s="165"/>
      <c r="BS445" s="165"/>
      <c r="BT445" s="165"/>
      <c r="BU445" s="165"/>
      <c r="BV445" s="165"/>
      <c r="BW445" s="165"/>
      <c r="BX445" s="165"/>
      <c r="BY445" s="165"/>
      <c r="BZ445" s="165"/>
      <c r="CA445" s="165"/>
      <c r="CB445" s="217"/>
      <c r="CC445" s="126"/>
      <c r="CD445" s="126"/>
      <c r="CE445" s="143"/>
    </row>
    <row r="446" spans="1:83">
      <c r="A446" s="107"/>
      <c r="B446" s="107"/>
      <c r="C446" s="107"/>
      <c r="D446" s="107"/>
      <c r="E446" s="551"/>
      <c r="F446" s="552"/>
      <c r="G446" s="552"/>
      <c r="H446" s="553"/>
      <c r="I446" s="545"/>
      <c r="J446" s="546"/>
      <c r="K446" s="546"/>
      <c r="L446" s="547"/>
      <c r="M446" s="545"/>
      <c r="N446" s="546"/>
      <c r="O446" s="546"/>
      <c r="P446" s="547"/>
      <c r="Q446" s="545"/>
      <c r="R446" s="546"/>
      <c r="S446" s="546"/>
      <c r="T446" s="547"/>
      <c r="U446" s="545"/>
      <c r="V446" s="546"/>
      <c r="W446" s="546"/>
      <c r="X446" s="547"/>
      <c r="Y446" s="545"/>
      <c r="Z446" s="546"/>
      <c r="AA446" s="546"/>
      <c r="AB446" s="547"/>
      <c r="AC446" s="545"/>
      <c r="AD446" s="546"/>
      <c r="AE446" s="546"/>
      <c r="AF446" s="547"/>
      <c r="AG446" s="545"/>
      <c r="AH446" s="546"/>
      <c r="AI446" s="546"/>
      <c r="AJ446" s="547"/>
      <c r="AK446" s="545"/>
      <c r="AL446" s="546"/>
      <c r="AM446" s="546"/>
      <c r="AN446" s="547"/>
      <c r="AO446" s="545"/>
      <c r="AP446" s="546"/>
      <c r="AQ446" s="546"/>
      <c r="AR446" s="547"/>
      <c r="AS446" s="545"/>
      <c r="AT446" s="546"/>
      <c r="AU446" s="546"/>
      <c r="AV446" s="547"/>
      <c r="AW446" s="545"/>
      <c r="AX446" s="546"/>
      <c r="AY446" s="546"/>
      <c r="AZ446" s="547"/>
      <c r="BG446" s="93"/>
      <c r="BH446" s="93"/>
      <c r="BI446" s="93"/>
      <c r="BJ446" s="217"/>
      <c r="BK446" s="164"/>
      <c r="BL446" s="165"/>
      <c r="BM446" s="165"/>
      <c r="BN446" s="165"/>
      <c r="BO446" s="165"/>
      <c r="BP446" s="165"/>
      <c r="BQ446" s="165"/>
      <c r="BR446" s="165"/>
      <c r="BS446" s="165"/>
      <c r="BT446" s="165"/>
      <c r="BU446" s="165"/>
      <c r="BV446" s="165"/>
      <c r="BW446" s="165"/>
      <c r="BX446" s="165"/>
      <c r="BY446" s="165"/>
      <c r="BZ446" s="165"/>
      <c r="CA446" s="165"/>
      <c r="CB446" s="217"/>
      <c r="CC446" s="126"/>
      <c r="CD446" s="126"/>
      <c r="CE446" s="143"/>
    </row>
    <row r="447" spans="1:83">
      <c r="A447" s="107"/>
      <c r="B447" s="107"/>
      <c r="C447" s="107"/>
      <c r="D447" s="107"/>
      <c r="E447" s="548"/>
      <c r="F447" s="549"/>
      <c r="G447" s="549"/>
      <c r="H447" s="550"/>
      <c r="I447" s="540"/>
      <c r="J447" s="541"/>
      <c r="K447" s="541"/>
      <c r="L447" s="542"/>
      <c r="M447" s="540"/>
      <c r="N447" s="541"/>
      <c r="O447" s="541"/>
      <c r="P447" s="542"/>
      <c r="Q447" s="540"/>
      <c r="R447" s="541"/>
      <c r="S447" s="541"/>
      <c r="T447" s="542"/>
      <c r="U447" s="540"/>
      <c r="V447" s="541"/>
      <c r="W447" s="541"/>
      <c r="X447" s="542"/>
      <c r="Y447" s="540"/>
      <c r="Z447" s="541"/>
      <c r="AA447" s="541"/>
      <c r="AB447" s="542"/>
      <c r="AC447" s="540"/>
      <c r="AD447" s="541"/>
      <c r="AE447" s="541"/>
      <c r="AF447" s="542"/>
      <c r="AG447" s="540"/>
      <c r="AH447" s="541"/>
      <c r="AI447" s="541"/>
      <c r="AJ447" s="542"/>
      <c r="AK447" s="540"/>
      <c r="AL447" s="541"/>
      <c r="AM447" s="541"/>
      <c r="AN447" s="542"/>
      <c r="AO447" s="540"/>
      <c r="AP447" s="541"/>
      <c r="AQ447" s="541"/>
      <c r="AR447" s="542"/>
      <c r="AS447" s="540"/>
      <c r="AT447" s="541"/>
      <c r="AU447" s="541"/>
      <c r="AV447" s="542"/>
      <c r="AW447" s="540"/>
      <c r="AX447" s="541"/>
      <c r="AY447" s="541"/>
      <c r="AZ447" s="542"/>
      <c r="BG447" s="93"/>
      <c r="BH447" s="93"/>
      <c r="BI447" s="93"/>
      <c r="BJ447" s="217"/>
      <c r="BK447" s="164"/>
      <c r="BL447" s="165"/>
      <c r="BM447" s="165"/>
      <c r="BN447" s="165"/>
      <c r="BO447" s="165"/>
      <c r="BP447" s="165"/>
      <c r="BQ447" s="165"/>
      <c r="BR447" s="165"/>
      <c r="BS447" s="165"/>
      <c r="BT447" s="165"/>
      <c r="BU447" s="165"/>
      <c r="BV447" s="165"/>
      <c r="BW447" s="165"/>
      <c r="BX447" s="165"/>
      <c r="BY447" s="165"/>
      <c r="BZ447" s="165"/>
      <c r="CA447" s="165"/>
      <c r="CB447" s="217"/>
      <c r="CC447" s="126"/>
      <c r="CD447" s="126"/>
      <c r="CE447" s="143"/>
    </row>
    <row r="448" spans="1:83">
      <c r="A448" s="107"/>
      <c r="B448" s="107"/>
      <c r="C448" s="107"/>
      <c r="D448" s="107"/>
      <c r="E448" s="551"/>
      <c r="F448" s="552"/>
      <c r="G448" s="552"/>
      <c r="H448" s="553"/>
      <c r="I448" s="545"/>
      <c r="J448" s="546"/>
      <c r="K448" s="546"/>
      <c r="L448" s="547"/>
      <c r="M448" s="545"/>
      <c r="N448" s="546"/>
      <c r="O448" s="546"/>
      <c r="P448" s="547"/>
      <c r="Q448" s="545"/>
      <c r="R448" s="546"/>
      <c r="S448" s="546"/>
      <c r="T448" s="547"/>
      <c r="U448" s="545"/>
      <c r="V448" s="546"/>
      <c r="W448" s="546"/>
      <c r="X448" s="547"/>
      <c r="Y448" s="545"/>
      <c r="Z448" s="546"/>
      <c r="AA448" s="546"/>
      <c r="AB448" s="547"/>
      <c r="AC448" s="545"/>
      <c r="AD448" s="546"/>
      <c r="AE448" s="546"/>
      <c r="AF448" s="547"/>
      <c r="AG448" s="545"/>
      <c r="AH448" s="546"/>
      <c r="AI448" s="546"/>
      <c r="AJ448" s="547"/>
      <c r="AK448" s="545"/>
      <c r="AL448" s="546"/>
      <c r="AM448" s="546"/>
      <c r="AN448" s="547"/>
      <c r="AO448" s="545"/>
      <c r="AP448" s="546"/>
      <c r="AQ448" s="546"/>
      <c r="AR448" s="547"/>
      <c r="AS448" s="545"/>
      <c r="AT448" s="546"/>
      <c r="AU448" s="546"/>
      <c r="AV448" s="547"/>
      <c r="AW448" s="545"/>
      <c r="AX448" s="546"/>
      <c r="AY448" s="546"/>
      <c r="AZ448" s="547"/>
      <c r="BG448" s="93"/>
      <c r="BH448" s="93"/>
      <c r="BI448" s="93"/>
      <c r="BJ448" s="217"/>
      <c r="BK448" s="164"/>
      <c r="BL448" s="165"/>
      <c r="BM448" s="165"/>
      <c r="BN448" s="165"/>
      <c r="BO448" s="165"/>
      <c r="BP448" s="165"/>
      <c r="BQ448" s="165"/>
      <c r="BR448" s="165"/>
      <c r="BS448" s="165"/>
      <c r="BT448" s="165"/>
      <c r="BU448" s="165"/>
      <c r="BV448" s="165"/>
      <c r="BW448" s="165"/>
      <c r="BX448" s="165"/>
      <c r="BY448" s="165"/>
      <c r="BZ448" s="165"/>
      <c r="CA448" s="165"/>
      <c r="CB448" s="217"/>
      <c r="CC448" s="126"/>
      <c r="CD448" s="126"/>
      <c r="CE448" s="143"/>
    </row>
    <row r="449" spans="1:83">
      <c r="A449" s="107"/>
      <c r="B449" s="107"/>
      <c r="C449" s="107"/>
      <c r="D449" s="107"/>
      <c r="E449" s="548"/>
      <c r="F449" s="549"/>
      <c r="G449" s="549"/>
      <c r="H449" s="550"/>
      <c r="I449" s="540"/>
      <c r="J449" s="541"/>
      <c r="K449" s="541"/>
      <c r="L449" s="542"/>
      <c r="M449" s="540"/>
      <c r="N449" s="541"/>
      <c r="O449" s="541"/>
      <c r="P449" s="542"/>
      <c r="Q449" s="540"/>
      <c r="R449" s="541"/>
      <c r="S449" s="541"/>
      <c r="T449" s="542"/>
      <c r="U449" s="540"/>
      <c r="V449" s="541"/>
      <c r="W449" s="541"/>
      <c r="X449" s="542"/>
      <c r="Y449" s="540"/>
      <c r="Z449" s="541"/>
      <c r="AA449" s="541"/>
      <c r="AB449" s="542"/>
      <c r="AC449" s="540"/>
      <c r="AD449" s="541"/>
      <c r="AE449" s="541"/>
      <c r="AF449" s="542"/>
      <c r="AG449" s="540"/>
      <c r="AH449" s="541"/>
      <c r="AI449" s="541"/>
      <c r="AJ449" s="542"/>
      <c r="AK449" s="540"/>
      <c r="AL449" s="541"/>
      <c r="AM449" s="541"/>
      <c r="AN449" s="542"/>
      <c r="AO449" s="540"/>
      <c r="AP449" s="541"/>
      <c r="AQ449" s="541"/>
      <c r="AR449" s="542"/>
      <c r="AS449" s="540"/>
      <c r="AT449" s="541"/>
      <c r="AU449" s="541"/>
      <c r="AV449" s="542"/>
      <c r="AW449" s="540"/>
      <c r="AX449" s="541"/>
      <c r="AY449" s="541"/>
      <c r="AZ449" s="542"/>
      <c r="BG449" s="93"/>
      <c r="BH449" s="93"/>
      <c r="BI449" s="93"/>
      <c r="BJ449" s="217"/>
      <c r="BK449" s="164"/>
      <c r="BL449" s="165"/>
      <c r="BM449" s="165"/>
      <c r="BN449" s="165"/>
      <c r="BO449" s="165"/>
      <c r="BP449" s="165"/>
      <c r="BQ449" s="165"/>
      <c r="BR449" s="165"/>
      <c r="BS449" s="165"/>
      <c r="BT449" s="165"/>
      <c r="BU449" s="165"/>
      <c r="BV449" s="165"/>
      <c r="BW449" s="165"/>
      <c r="BX449" s="165"/>
      <c r="BY449" s="165"/>
      <c r="BZ449" s="165"/>
      <c r="CA449" s="165"/>
      <c r="CB449" s="217"/>
      <c r="CC449" s="126"/>
      <c r="CD449" s="126"/>
      <c r="CE449" s="143"/>
    </row>
    <row r="450" spans="1:83">
      <c r="A450" s="107"/>
      <c r="B450" s="107"/>
      <c r="C450" s="107"/>
      <c r="D450" s="107"/>
      <c r="E450" s="551"/>
      <c r="F450" s="552"/>
      <c r="G450" s="552"/>
      <c r="H450" s="553"/>
      <c r="I450" s="545"/>
      <c r="J450" s="546"/>
      <c r="K450" s="546"/>
      <c r="L450" s="547"/>
      <c r="M450" s="545"/>
      <c r="N450" s="546"/>
      <c r="O450" s="546"/>
      <c r="P450" s="547"/>
      <c r="Q450" s="545"/>
      <c r="R450" s="546"/>
      <c r="S450" s="546"/>
      <c r="T450" s="547"/>
      <c r="U450" s="545"/>
      <c r="V450" s="546"/>
      <c r="W450" s="546"/>
      <c r="X450" s="547"/>
      <c r="Y450" s="545"/>
      <c r="Z450" s="546"/>
      <c r="AA450" s="546"/>
      <c r="AB450" s="547"/>
      <c r="AC450" s="545"/>
      <c r="AD450" s="546"/>
      <c r="AE450" s="546"/>
      <c r="AF450" s="547"/>
      <c r="AG450" s="545"/>
      <c r="AH450" s="546"/>
      <c r="AI450" s="546"/>
      <c r="AJ450" s="547"/>
      <c r="AK450" s="545"/>
      <c r="AL450" s="546"/>
      <c r="AM450" s="546"/>
      <c r="AN450" s="547"/>
      <c r="AO450" s="545"/>
      <c r="AP450" s="546"/>
      <c r="AQ450" s="546"/>
      <c r="AR450" s="547"/>
      <c r="AS450" s="545"/>
      <c r="AT450" s="546"/>
      <c r="AU450" s="546"/>
      <c r="AV450" s="547"/>
      <c r="AW450" s="545"/>
      <c r="AX450" s="546"/>
      <c r="AY450" s="546"/>
      <c r="AZ450" s="547"/>
      <c r="BG450" s="93"/>
      <c r="BH450" s="93"/>
      <c r="BI450" s="93"/>
      <c r="BJ450" s="217"/>
      <c r="BK450" s="164"/>
      <c r="BL450" s="165"/>
      <c r="BM450" s="165"/>
      <c r="BN450" s="165"/>
      <c r="BO450" s="165"/>
      <c r="BP450" s="165"/>
      <c r="BQ450" s="165"/>
      <c r="BR450" s="165"/>
      <c r="BS450" s="165"/>
      <c r="BT450" s="165"/>
      <c r="BU450" s="165"/>
      <c r="BV450" s="165"/>
      <c r="BW450" s="165"/>
      <c r="BX450" s="165"/>
      <c r="BY450" s="165"/>
      <c r="BZ450" s="165"/>
      <c r="CA450" s="165"/>
      <c r="CB450" s="217"/>
      <c r="CC450" s="126"/>
      <c r="CD450" s="126"/>
      <c r="CE450" s="143"/>
    </row>
    <row r="451" spans="1:83">
      <c r="A451" s="107"/>
      <c r="B451" s="107"/>
      <c r="C451" s="107"/>
      <c r="D451" s="107"/>
      <c r="E451" s="548"/>
      <c r="F451" s="549"/>
      <c r="G451" s="549"/>
      <c r="H451" s="550"/>
      <c r="I451" s="540"/>
      <c r="J451" s="541"/>
      <c r="K451" s="541"/>
      <c r="L451" s="542"/>
      <c r="M451" s="540"/>
      <c r="N451" s="541"/>
      <c r="O451" s="541"/>
      <c r="P451" s="542"/>
      <c r="Q451" s="540"/>
      <c r="R451" s="541"/>
      <c r="S451" s="541"/>
      <c r="T451" s="542"/>
      <c r="U451" s="540"/>
      <c r="V451" s="541"/>
      <c r="W451" s="541"/>
      <c r="X451" s="542"/>
      <c r="Y451" s="540"/>
      <c r="Z451" s="541"/>
      <c r="AA451" s="541"/>
      <c r="AB451" s="542"/>
      <c r="AC451" s="540"/>
      <c r="AD451" s="541"/>
      <c r="AE451" s="541"/>
      <c r="AF451" s="542"/>
      <c r="AG451" s="540"/>
      <c r="AH451" s="541"/>
      <c r="AI451" s="541"/>
      <c r="AJ451" s="542"/>
      <c r="AK451" s="540"/>
      <c r="AL451" s="541"/>
      <c r="AM451" s="541"/>
      <c r="AN451" s="542"/>
      <c r="AO451" s="540"/>
      <c r="AP451" s="541"/>
      <c r="AQ451" s="541"/>
      <c r="AR451" s="542"/>
      <c r="AS451" s="540"/>
      <c r="AT451" s="541"/>
      <c r="AU451" s="541"/>
      <c r="AV451" s="542"/>
      <c r="AW451" s="540"/>
      <c r="AX451" s="541"/>
      <c r="AY451" s="541"/>
      <c r="AZ451" s="542"/>
      <c r="BG451" s="93"/>
      <c r="BH451" s="93"/>
      <c r="BI451" s="93"/>
      <c r="BJ451" s="217"/>
      <c r="BK451" s="164"/>
      <c r="BL451" s="165"/>
      <c r="BM451" s="165"/>
      <c r="BN451" s="165"/>
      <c r="BO451" s="165"/>
      <c r="BP451" s="165"/>
      <c r="BQ451" s="165"/>
      <c r="BR451" s="165"/>
      <c r="BS451" s="165"/>
      <c r="BT451" s="165"/>
      <c r="BU451" s="165"/>
      <c r="BV451" s="165"/>
      <c r="BW451" s="165"/>
      <c r="BX451" s="165"/>
      <c r="BY451" s="165"/>
      <c r="BZ451" s="165"/>
      <c r="CA451" s="165"/>
      <c r="CB451" s="217"/>
      <c r="CC451" s="126"/>
      <c r="CD451" s="126"/>
      <c r="CE451" s="143"/>
    </row>
    <row r="452" spans="1:83">
      <c r="A452" s="107"/>
      <c r="B452" s="107"/>
      <c r="C452" s="107"/>
      <c r="D452" s="107"/>
      <c r="E452" s="551"/>
      <c r="F452" s="552"/>
      <c r="G452" s="552"/>
      <c r="H452" s="553"/>
      <c r="I452" s="545"/>
      <c r="J452" s="546"/>
      <c r="K452" s="546"/>
      <c r="L452" s="547"/>
      <c r="M452" s="545"/>
      <c r="N452" s="546"/>
      <c r="O452" s="546"/>
      <c r="P452" s="547"/>
      <c r="Q452" s="545"/>
      <c r="R452" s="546"/>
      <c r="S452" s="546"/>
      <c r="T452" s="547"/>
      <c r="U452" s="545"/>
      <c r="V452" s="546"/>
      <c r="W452" s="546"/>
      <c r="X452" s="547"/>
      <c r="Y452" s="545"/>
      <c r="Z452" s="546"/>
      <c r="AA452" s="546"/>
      <c r="AB452" s="547"/>
      <c r="AC452" s="545"/>
      <c r="AD452" s="546"/>
      <c r="AE452" s="546"/>
      <c r="AF452" s="547"/>
      <c r="AG452" s="545"/>
      <c r="AH452" s="546"/>
      <c r="AI452" s="546"/>
      <c r="AJ452" s="547"/>
      <c r="AK452" s="545"/>
      <c r="AL452" s="546"/>
      <c r="AM452" s="546"/>
      <c r="AN452" s="547"/>
      <c r="AO452" s="545"/>
      <c r="AP452" s="546"/>
      <c r="AQ452" s="546"/>
      <c r="AR452" s="547"/>
      <c r="AS452" s="545"/>
      <c r="AT452" s="546"/>
      <c r="AU452" s="546"/>
      <c r="AV452" s="547"/>
      <c r="AW452" s="545"/>
      <c r="AX452" s="546"/>
      <c r="AY452" s="546"/>
      <c r="AZ452" s="547"/>
      <c r="BG452" s="93"/>
      <c r="BH452" s="93"/>
      <c r="BI452" s="93"/>
      <c r="BJ452" s="217"/>
      <c r="BK452" s="164"/>
      <c r="BL452" s="165"/>
      <c r="BM452" s="165"/>
      <c r="BN452" s="165"/>
      <c r="BO452" s="165"/>
      <c r="BP452" s="165"/>
      <c r="BQ452" s="165"/>
      <c r="BR452" s="165"/>
      <c r="BS452" s="165"/>
      <c r="BT452" s="165"/>
      <c r="BU452" s="165"/>
      <c r="BV452" s="165"/>
      <c r="BW452" s="165"/>
      <c r="BX452" s="165"/>
      <c r="BY452" s="165"/>
      <c r="BZ452" s="165"/>
      <c r="CA452" s="165"/>
      <c r="CB452" s="217"/>
      <c r="CC452" s="126"/>
      <c r="CD452" s="126"/>
      <c r="CE452" s="143"/>
    </row>
    <row r="453" spans="1:83">
      <c r="A453" s="107"/>
      <c r="B453" s="107"/>
      <c r="C453" s="107"/>
      <c r="D453" s="107"/>
      <c r="E453" s="548"/>
      <c r="F453" s="549"/>
      <c r="G453" s="549"/>
      <c r="H453" s="550"/>
      <c r="I453" s="540"/>
      <c r="J453" s="541"/>
      <c r="K453" s="541"/>
      <c r="L453" s="542"/>
      <c r="M453" s="540"/>
      <c r="N453" s="541"/>
      <c r="O453" s="541"/>
      <c r="P453" s="542"/>
      <c r="Q453" s="540"/>
      <c r="R453" s="541"/>
      <c r="S453" s="541"/>
      <c r="T453" s="542"/>
      <c r="U453" s="540"/>
      <c r="V453" s="541"/>
      <c r="W453" s="541"/>
      <c r="X453" s="542"/>
      <c r="Y453" s="540"/>
      <c r="Z453" s="541"/>
      <c r="AA453" s="541"/>
      <c r="AB453" s="542"/>
      <c r="AC453" s="540"/>
      <c r="AD453" s="541"/>
      <c r="AE453" s="541"/>
      <c r="AF453" s="542"/>
      <c r="AG453" s="540"/>
      <c r="AH453" s="541"/>
      <c r="AI453" s="541"/>
      <c r="AJ453" s="542"/>
      <c r="AK453" s="540"/>
      <c r="AL453" s="541"/>
      <c r="AM453" s="541"/>
      <c r="AN453" s="542"/>
      <c r="AO453" s="540"/>
      <c r="AP453" s="541"/>
      <c r="AQ453" s="541"/>
      <c r="AR453" s="542"/>
      <c r="AS453" s="540"/>
      <c r="AT453" s="541"/>
      <c r="AU453" s="541"/>
      <c r="AV453" s="542"/>
      <c r="AW453" s="540"/>
      <c r="AX453" s="541"/>
      <c r="AY453" s="541"/>
      <c r="AZ453" s="542"/>
      <c r="BG453" s="93"/>
      <c r="BH453" s="93"/>
      <c r="BI453" s="93"/>
      <c r="BJ453" s="217"/>
      <c r="BK453" s="164"/>
      <c r="BL453" s="165"/>
      <c r="BM453" s="165"/>
      <c r="BN453" s="165"/>
      <c r="BO453" s="165"/>
      <c r="BP453" s="165"/>
      <c r="BQ453" s="165"/>
      <c r="BR453" s="165"/>
      <c r="BS453" s="165"/>
      <c r="BT453" s="165"/>
      <c r="BU453" s="165"/>
      <c r="BV453" s="165"/>
      <c r="BW453" s="165"/>
      <c r="BX453" s="165"/>
      <c r="BY453" s="165"/>
      <c r="BZ453" s="165"/>
      <c r="CA453" s="165"/>
      <c r="CB453" s="217"/>
      <c r="CC453" s="126"/>
      <c r="CD453" s="126"/>
      <c r="CE453" s="143"/>
    </row>
    <row r="454" spans="1:83">
      <c r="A454" s="107"/>
      <c r="B454" s="107"/>
      <c r="C454" s="107"/>
      <c r="D454" s="107"/>
      <c r="E454" s="551"/>
      <c r="F454" s="552"/>
      <c r="G454" s="552"/>
      <c r="H454" s="553"/>
      <c r="I454" s="545"/>
      <c r="J454" s="546"/>
      <c r="K454" s="546"/>
      <c r="L454" s="547"/>
      <c r="M454" s="545"/>
      <c r="N454" s="546"/>
      <c r="O454" s="546"/>
      <c r="P454" s="547"/>
      <c r="Q454" s="545"/>
      <c r="R454" s="546"/>
      <c r="S454" s="546"/>
      <c r="T454" s="547"/>
      <c r="U454" s="545"/>
      <c r="V454" s="546"/>
      <c r="W454" s="546"/>
      <c r="X454" s="547"/>
      <c r="Y454" s="545"/>
      <c r="Z454" s="546"/>
      <c r="AA454" s="546"/>
      <c r="AB454" s="547"/>
      <c r="AC454" s="545"/>
      <c r="AD454" s="546"/>
      <c r="AE454" s="546"/>
      <c r="AF454" s="547"/>
      <c r="AG454" s="545"/>
      <c r="AH454" s="546"/>
      <c r="AI454" s="546"/>
      <c r="AJ454" s="547"/>
      <c r="AK454" s="545"/>
      <c r="AL454" s="546"/>
      <c r="AM454" s="546"/>
      <c r="AN454" s="547"/>
      <c r="AO454" s="545"/>
      <c r="AP454" s="546"/>
      <c r="AQ454" s="546"/>
      <c r="AR454" s="547"/>
      <c r="AS454" s="545"/>
      <c r="AT454" s="546"/>
      <c r="AU454" s="546"/>
      <c r="AV454" s="547"/>
      <c r="AW454" s="545"/>
      <c r="AX454" s="546"/>
      <c r="AY454" s="546"/>
      <c r="AZ454" s="547"/>
      <c r="BG454" s="93"/>
      <c r="BH454" s="93"/>
      <c r="BI454" s="93"/>
      <c r="BJ454" s="217"/>
      <c r="BK454" s="164"/>
      <c r="BL454" s="165"/>
      <c r="BM454" s="165"/>
      <c r="BN454" s="165"/>
      <c r="BO454" s="165"/>
      <c r="BP454" s="165"/>
      <c r="BQ454" s="165"/>
      <c r="BR454" s="165"/>
      <c r="BS454" s="165"/>
      <c r="BT454" s="165"/>
      <c r="BU454" s="165"/>
      <c r="BV454" s="165"/>
      <c r="BW454" s="165"/>
      <c r="BX454" s="165"/>
      <c r="BY454" s="165"/>
      <c r="BZ454" s="165"/>
      <c r="CA454" s="165"/>
      <c r="CB454" s="217"/>
      <c r="CC454" s="126"/>
      <c r="CD454" s="126"/>
      <c r="CE454" s="143"/>
    </row>
    <row r="455" spans="1:83">
      <c r="A455" s="107"/>
      <c r="B455" s="107"/>
      <c r="C455" s="107"/>
      <c r="D455" s="107"/>
      <c r="E455" s="548"/>
      <c r="F455" s="549"/>
      <c r="G455" s="549"/>
      <c r="H455" s="550"/>
      <c r="I455" s="540"/>
      <c r="J455" s="541"/>
      <c r="K455" s="541"/>
      <c r="L455" s="542"/>
      <c r="M455" s="540"/>
      <c r="N455" s="541"/>
      <c r="O455" s="541"/>
      <c r="P455" s="542"/>
      <c r="Q455" s="540"/>
      <c r="R455" s="541"/>
      <c r="S455" s="541"/>
      <c r="T455" s="542"/>
      <c r="U455" s="540"/>
      <c r="V455" s="541"/>
      <c r="W455" s="541"/>
      <c r="X455" s="542"/>
      <c r="Y455" s="540"/>
      <c r="Z455" s="541"/>
      <c r="AA455" s="541"/>
      <c r="AB455" s="542"/>
      <c r="AC455" s="540"/>
      <c r="AD455" s="541"/>
      <c r="AE455" s="541"/>
      <c r="AF455" s="542"/>
      <c r="AG455" s="540"/>
      <c r="AH455" s="541"/>
      <c r="AI455" s="541"/>
      <c r="AJ455" s="542"/>
      <c r="AK455" s="540"/>
      <c r="AL455" s="541"/>
      <c r="AM455" s="541"/>
      <c r="AN455" s="542"/>
      <c r="AO455" s="540"/>
      <c r="AP455" s="541"/>
      <c r="AQ455" s="541"/>
      <c r="AR455" s="542"/>
      <c r="AS455" s="540"/>
      <c r="AT455" s="541"/>
      <c r="AU455" s="541"/>
      <c r="AV455" s="542"/>
      <c r="AW455" s="540"/>
      <c r="AX455" s="541"/>
      <c r="AY455" s="541"/>
      <c r="AZ455" s="542"/>
      <c r="BG455" s="93"/>
      <c r="BH455" s="93"/>
      <c r="BI455" s="93"/>
      <c r="BJ455" s="217"/>
      <c r="BK455" s="164"/>
      <c r="BL455" s="165"/>
      <c r="BM455" s="165"/>
      <c r="BN455" s="165"/>
      <c r="BO455" s="165"/>
      <c r="BP455" s="165"/>
      <c r="BQ455" s="165"/>
      <c r="BR455" s="165"/>
      <c r="BS455" s="165"/>
      <c r="BT455" s="165"/>
      <c r="BU455" s="165"/>
      <c r="BV455" s="165"/>
      <c r="BW455" s="165"/>
      <c r="BX455" s="165"/>
      <c r="BY455" s="165"/>
      <c r="BZ455" s="165"/>
      <c r="CA455" s="165"/>
      <c r="CB455" s="217"/>
      <c r="CC455" s="126"/>
      <c r="CD455" s="126"/>
      <c r="CE455" s="143"/>
    </row>
    <row r="456" spans="1:83">
      <c r="A456" s="107"/>
      <c r="B456" s="107"/>
      <c r="C456" s="107"/>
      <c r="D456" s="107"/>
      <c r="E456" s="551"/>
      <c r="F456" s="552"/>
      <c r="G456" s="552"/>
      <c r="H456" s="553"/>
      <c r="I456" s="545"/>
      <c r="J456" s="546"/>
      <c r="K456" s="546"/>
      <c r="L456" s="547"/>
      <c r="M456" s="545"/>
      <c r="N456" s="546"/>
      <c r="O456" s="546"/>
      <c r="P456" s="547"/>
      <c r="Q456" s="545"/>
      <c r="R456" s="546"/>
      <c r="S456" s="546"/>
      <c r="T456" s="547"/>
      <c r="U456" s="545"/>
      <c r="V456" s="546"/>
      <c r="W456" s="546"/>
      <c r="X456" s="547"/>
      <c r="Y456" s="545"/>
      <c r="Z456" s="546"/>
      <c r="AA456" s="546"/>
      <c r="AB456" s="547"/>
      <c r="AC456" s="545"/>
      <c r="AD456" s="546"/>
      <c r="AE456" s="546"/>
      <c r="AF456" s="547"/>
      <c r="AG456" s="545"/>
      <c r="AH456" s="546"/>
      <c r="AI456" s="546"/>
      <c r="AJ456" s="547"/>
      <c r="AK456" s="545"/>
      <c r="AL456" s="546"/>
      <c r="AM456" s="546"/>
      <c r="AN456" s="547"/>
      <c r="AO456" s="545"/>
      <c r="AP456" s="546"/>
      <c r="AQ456" s="546"/>
      <c r="AR456" s="547"/>
      <c r="AS456" s="545"/>
      <c r="AT456" s="546"/>
      <c r="AU456" s="546"/>
      <c r="AV456" s="547"/>
      <c r="AW456" s="545"/>
      <c r="AX456" s="546"/>
      <c r="AY456" s="546"/>
      <c r="AZ456" s="547"/>
      <c r="BG456" s="93"/>
      <c r="BH456" s="93"/>
      <c r="BI456" s="93"/>
      <c r="BJ456" s="217"/>
      <c r="BK456" s="164"/>
      <c r="BL456" s="165"/>
      <c r="BM456" s="165"/>
      <c r="BN456" s="165"/>
      <c r="BO456" s="165"/>
      <c r="BP456" s="165"/>
      <c r="BQ456" s="165"/>
      <c r="BR456" s="165"/>
      <c r="BS456" s="165"/>
      <c r="BT456" s="165"/>
      <c r="BU456" s="165"/>
      <c r="BV456" s="165"/>
      <c r="BW456" s="165"/>
      <c r="BX456" s="165"/>
      <c r="BY456" s="165"/>
      <c r="BZ456" s="165"/>
      <c r="CA456" s="165"/>
      <c r="CB456" s="217"/>
      <c r="CC456" s="126"/>
      <c r="CD456" s="126"/>
      <c r="CE456" s="143"/>
    </row>
    <row r="457" spans="1:83">
      <c r="A457" s="107"/>
      <c r="B457" s="107"/>
      <c r="C457" s="107"/>
      <c r="D457" s="107"/>
      <c r="E457" s="548"/>
      <c r="F457" s="549"/>
      <c r="G457" s="549"/>
      <c r="H457" s="550"/>
      <c r="I457" s="540"/>
      <c r="J457" s="541"/>
      <c r="K457" s="541"/>
      <c r="L457" s="542"/>
      <c r="M457" s="540"/>
      <c r="N457" s="541"/>
      <c r="O457" s="541"/>
      <c r="P457" s="542"/>
      <c r="Q457" s="540"/>
      <c r="R457" s="541"/>
      <c r="S457" s="541"/>
      <c r="T457" s="542"/>
      <c r="U457" s="540"/>
      <c r="V457" s="541"/>
      <c r="W457" s="541"/>
      <c r="X457" s="542"/>
      <c r="Y457" s="540"/>
      <c r="Z457" s="541"/>
      <c r="AA457" s="541"/>
      <c r="AB457" s="542"/>
      <c r="AC457" s="540"/>
      <c r="AD457" s="541"/>
      <c r="AE457" s="541"/>
      <c r="AF457" s="542"/>
      <c r="AG457" s="540"/>
      <c r="AH457" s="541"/>
      <c r="AI457" s="541"/>
      <c r="AJ457" s="542"/>
      <c r="AK457" s="540"/>
      <c r="AL457" s="541"/>
      <c r="AM457" s="541"/>
      <c r="AN457" s="542"/>
      <c r="AO457" s="540"/>
      <c r="AP457" s="541"/>
      <c r="AQ457" s="541"/>
      <c r="AR457" s="542"/>
      <c r="AS457" s="540"/>
      <c r="AT457" s="541"/>
      <c r="AU457" s="541"/>
      <c r="AV457" s="542"/>
      <c r="AW457" s="540"/>
      <c r="AX457" s="541"/>
      <c r="AY457" s="541"/>
      <c r="AZ457" s="542"/>
      <c r="BG457" s="93"/>
      <c r="BH457" s="93"/>
      <c r="BI457" s="93"/>
      <c r="BJ457" s="217"/>
      <c r="BK457" s="164"/>
      <c r="BL457" s="165"/>
      <c r="BM457" s="165"/>
      <c r="BN457" s="165"/>
      <c r="BO457" s="165"/>
      <c r="BP457" s="165"/>
      <c r="BQ457" s="165"/>
      <c r="BR457" s="165"/>
      <c r="BS457" s="165"/>
      <c r="BT457" s="165"/>
      <c r="BU457" s="165"/>
      <c r="BV457" s="165"/>
      <c r="BW457" s="165"/>
      <c r="BX457" s="165"/>
      <c r="BY457" s="165"/>
      <c r="BZ457" s="165"/>
      <c r="CA457" s="165"/>
      <c r="CB457" s="217"/>
      <c r="CC457" s="126"/>
      <c r="CD457" s="126"/>
      <c r="CE457" s="143"/>
    </row>
    <row r="458" spans="1:83">
      <c r="A458" s="107"/>
      <c r="B458" s="107"/>
      <c r="C458" s="107"/>
      <c r="D458" s="107"/>
      <c r="E458" s="551"/>
      <c r="F458" s="552"/>
      <c r="G458" s="552"/>
      <c r="H458" s="553"/>
      <c r="I458" s="545"/>
      <c r="J458" s="546"/>
      <c r="K458" s="546"/>
      <c r="L458" s="547"/>
      <c r="M458" s="545"/>
      <c r="N458" s="546"/>
      <c r="O458" s="546"/>
      <c r="P458" s="547"/>
      <c r="Q458" s="545"/>
      <c r="R458" s="546"/>
      <c r="S458" s="546"/>
      <c r="T458" s="547"/>
      <c r="U458" s="545"/>
      <c r="V458" s="546"/>
      <c r="W458" s="546"/>
      <c r="X458" s="547"/>
      <c r="Y458" s="545"/>
      <c r="Z458" s="546"/>
      <c r="AA458" s="546"/>
      <c r="AB458" s="547"/>
      <c r="AC458" s="545"/>
      <c r="AD458" s="546"/>
      <c r="AE458" s="546"/>
      <c r="AF458" s="547"/>
      <c r="AG458" s="545"/>
      <c r="AH458" s="546"/>
      <c r="AI458" s="546"/>
      <c r="AJ458" s="547"/>
      <c r="AK458" s="545"/>
      <c r="AL458" s="546"/>
      <c r="AM458" s="546"/>
      <c r="AN458" s="547"/>
      <c r="AO458" s="545"/>
      <c r="AP458" s="546"/>
      <c r="AQ458" s="546"/>
      <c r="AR458" s="547"/>
      <c r="AS458" s="545"/>
      <c r="AT458" s="546"/>
      <c r="AU458" s="546"/>
      <c r="AV458" s="547"/>
      <c r="AW458" s="545"/>
      <c r="AX458" s="546"/>
      <c r="AY458" s="546"/>
      <c r="AZ458" s="547"/>
      <c r="BG458" s="93"/>
      <c r="BH458" s="93"/>
      <c r="BI458" s="93"/>
      <c r="BJ458" s="217"/>
      <c r="BK458" s="164"/>
      <c r="BL458" s="165"/>
      <c r="BM458" s="165"/>
      <c r="BN458" s="165"/>
      <c r="BO458" s="165"/>
      <c r="BP458" s="165"/>
      <c r="BQ458" s="165"/>
      <c r="BR458" s="165"/>
      <c r="BS458" s="165"/>
      <c r="BT458" s="165"/>
      <c r="BU458" s="165"/>
      <c r="BV458" s="165"/>
      <c r="BW458" s="165"/>
      <c r="BX458" s="165"/>
      <c r="BY458" s="165"/>
      <c r="BZ458" s="165"/>
      <c r="CA458" s="165"/>
      <c r="CB458" s="217"/>
      <c r="CC458" s="126"/>
      <c r="CD458" s="126"/>
      <c r="CE458" s="143"/>
    </row>
    <row r="459" spans="1:83">
      <c r="A459" s="107"/>
      <c r="B459" s="107"/>
      <c r="C459" s="107"/>
      <c r="D459" s="107"/>
      <c r="E459" s="548"/>
      <c r="F459" s="549"/>
      <c r="G459" s="549"/>
      <c r="H459" s="550"/>
      <c r="I459" s="540"/>
      <c r="J459" s="541"/>
      <c r="K459" s="541"/>
      <c r="L459" s="542"/>
      <c r="M459" s="540"/>
      <c r="N459" s="541"/>
      <c r="O459" s="541"/>
      <c r="P459" s="542"/>
      <c r="Q459" s="540"/>
      <c r="R459" s="541"/>
      <c r="S459" s="541"/>
      <c r="T459" s="542"/>
      <c r="U459" s="540"/>
      <c r="V459" s="541"/>
      <c r="W459" s="541"/>
      <c r="X459" s="542"/>
      <c r="Y459" s="540"/>
      <c r="Z459" s="541"/>
      <c r="AA459" s="541"/>
      <c r="AB459" s="542"/>
      <c r="AC459" s="540"/>
      <c r="AD459" s="541"/>
      <c r="AE459" s="541"/>
      <c r="AF459" s="542"/>
      <c r="AG459" s="540"/>
      <c r="AH459" s="541"/>
      <c r="AI459" s="541"/>
      <c r="AJ459" s="542"/>
      <c r="AK459" s="540"/>
      <c r="AL459" s="541"/>
      <c r="AM459" s="541"/>
      <c r="AN459" s="542"/>
      <c r="AO459" s="540"/>
      <c r="AP459" s="541"/>
      <c r="AQ459" s="541"/>
      <c r="AR459" s="542"/>
      <c r="AS459" s="540"/>
      <c r="AT459" s="541"/>
      <c r="AU459" s="541"/>
      <c r="AV459" s="542"/>
      <c r="AW459" s="540"/>
      <c r="AX459" s="541"/>
      <c r="AY459" s="541"/>
      <c r="AZ459" s="542"/>
      <c r="BG459" s="93"/>
      <c r="BH459" s="93"/>
      <c r="BI459" s="93"/>
      <c r="BJ459" s="217"/>
      <c r="BK459" s="164"/>
      <c r="BL459" s="165"/>
      <c r="BM459" s="165"/>
      <c r="BN459" s="165"/>
      <c r="BO459" s="165"/>
      <c r="BP459" s="165"/>
      <c r="BQ459" s="165"/>
      <c r="BR459" s="165"/>
      <c r="BS459" s="165"/>
      <c r="BT459" s="165"/>
      <c r="BU459" s="165"/>
      <c r="BV459" s="165"/>
      <c r="BW459" s="165"/>
      <c r="BX459" s="165"/>
      <c r="BY459" s="165"/>
      <c r="BZ459" s="165"/>
      <c r="CA459" s="165"/>
      <c r="CB459" s="217"/>
      <c r="CC459" s="126"/>
      <c r="CD459" s="126"/>
      <c r="CE459" s="143"/>
    </row>
    <row r="460" spans="1:83">
      <c r="A460" s="107"/>
      <c r="B460" s="107"/>
      <c r="C460" s="107"/>
      <c r="D460" s="107"/>
      <c r="E460" s="551"/>
      <c r="F460" s="552"/>
      <c r="G460" s="552"/>
      <c r="H460" s="553"/>
      <c r="I460" s="545"/>
      <c r="J460" s="546"/>
      <c r="K460" s="546"/>
      <c r="L460" s="547"/>
      <c r="M460" s="545"/>
      <c r="N460" s="546"/>
      <c r="O460" s="546"/>
      <c r="P460" s="547"/>
      <c r="Q460" s="545"/>
      <c r="R460" s="546"/>
      <c r="S460" s="546"/>
      <c r="T460" s="547"/>
      <c r="U460" s="545"/>
      <c r="V460" s="546"/>
      <c r="W460" s="546"/>
      <c r="X460" s="547"/>
      <c r="Y460" s="545"/>
      <c r="Z460" s="546"/>
      <c r="AA460" s="546"/>
      <c r="AB460" s="547"/>
      <c r="AC460" s="545"/>
      <c r="AD460" s="546"/>
      <c r="AE460" s="546"/>
      <c r="AF460" s="547"/>
      <c r="AG460" s="545"/>
      <c r="AH460" s="546"/>
      <c r="AI460" s="546"/>
      <c r="AJ460" s="547"/>
      <c r="AK460" s="545"/>
      <c r="AL460" s="546"/>
      <c r="AM460" s="546"/>
      <c r="AN460" s="547"/>
      <c r="AO460" s="545"/>
      <c r="AP460" s="546"/>
      <c r="AQ460" s="546"/>
      <c r="AR460" s="547"/>
      <c r="AS460" s="545"/>
      <c r="AT460" s="546"/>
      <c r="AU460" s="546"/>
      <c r="AV460" s="547"/>
      <c r="AW460" s="545"/>
      <c r="AX460" s="546"/>
      <c r="AY460" s="546"/>
      <c r="AZ460" s="547"/>
      <c r="BG460" s="93"/>
      <c r="BH460" s="93"/>
      <c r="BI460" s="93"/>
      <c r="BJ460" s="217"/>
      <c r="BK460" s="164"/>
      <c r="BL460" s="165"/>
      <c r="BM460" s="165"/>
      <c r="BN460" s="165"/>
      <c r="BO460" s="165"/>
      <c r="BP460" s="165"/>
      <c r="BQ460" s="165"/>
      <c r="BR460" s="165"/>
      <c r="BS460" s="165"/>
      <c r="BT460" s="165"/>
      <c r="BU460" s="165"/>
      <c r="BV460" s="165"/>
      <c r="BW460" s="165"/>
      <c r="BX460" s="165"/>
      <c r="BY460" s="165"/>
      <c r="BZ460" s="165"/>
      <c r="CA460" s="165"/>
      <c r="CB460" s="217"/>
      <c r="CC460" s="126"/>
      <c r="CD460" s="126"/>
      <c r="CE460" s="143"/>
    </row>
    <row r="461" spans="1:83">
      <c r="A461" s="107"/>
      <c r="B461" s="107"/>
      <c r="C461" s="107"/>
      <c r="D461" s="107"/>
      <c r="E461" s="548"/>
      <c r="F461" s="549"/>
      <c r="G461" s="549"/>
      <c r="H461" s="550"/>
      <c r="I461" s="540"/>
      <c r="J461" s="541"/>
      <c r="K461" s="541"/>
      <c r="L461" s="542"/>
      <c r="M461" s="540"/>
      <c r="N461" s="541"/>
      <c r="O461" s="541"/>
      <c r="P461" s="542"/>
      <c r="Q461" s="540"/>
      <c r="R461" s="541"/>
      <c r="S461" s="541"/>
      <c r="T461" s="542"/>
      <c r="U461" s="540"/>
      <c r="V461" s="541"/>
      <c r="W461" s="541"/>
      <c r="X461" s="542"/>
      <c r="Y461" s="540"/>
      <c r="Z461" s="541"/>
      <c r="AA461" s="541"/>
      <c r="AB461" s="542"/>
      <c r="AC461" s="540"/>
      <c r="AD461" s="541"/>
      <c r="AE461" s="541"/>
      <c r="AF461" s="542"/>
      <c r="AG461" s="540"/>
      <c r="AH461" s="541"/>
      <c r="AI461" s="541"/>
      <c r="AJ461" s="542"/>
      <c r="AK461" s="540"/>
      <c r="AL461" s="541"/>
      <c r="AM461" s="541"/>
      <c r="AN461" s="542"/>
      <c r="AO461" s="540"/>
      <c r="AP461" s="541"/>
      <c r="AQ461" s="541"/>
      <c r="AR461" s="542"/>
      <c r="AS461" s="540"/>
      <c r="AT461" s="541"/>
      <c r="AU461" s="541"/>
      <c r="AV461" s="542"/>
      <c r="AW461" s="540"/>
      <c r="AX461" s="541"/>
      <c r="AY461" s="541"/>
      <c r="AZ461" s="542"/>
      <c r="BG461" s="93"/>
      <c r="BH461" s="93"/>
      <c r="BI461" s="93"/>
      <c r="BJ461" s="217"/>
      <c r="BK461" s="164"/>
      <c r="BL461" s="165"/>
      <c r="BM461" s="165"/>
      <c r="BN461" s="165"/>
      <c r="BO461" s="165"/>
      <c r="BP461" s="165"/>
      <c r="BQ461" s="165"/>
      <c r="BR461" s="165"/>
      <c r="BS461" s="165"/>
      <c r="BT461" s="165"/>
      <c r="BU461" s="165"/>
      <c r="BV461" s="165"/>
      <c r="BW461" s="165"/>
      <c r="BX461" s="165"/>
      <c r="BY461" s="165"/>
      <c r="BZ461" s="165"/>
      <c r="CA461" s="165"/>
      <c r="CB461" s="217"/>
      <c r="CC461" s="126"/>
      <c r="CD461" s="126"/>
      <c r="CE461" s="143"/>
    </row>
    <row r="462" spans="1:83">
      <c r="A462" s="107"/>
      <c r="B462" s="107"/>
      <c r="C462" s="107"/>
      <c r="D462" s="107"/>
      <c r="E462" s="551"/>
      <c r="F462" s="552"/>
      <c r="G462" s="552"/>
      <c r="H462" s="553"/>
      <c r="I462" s="545"/>
      <c r="J462" s="546"/>
      <c r="K462" s="546"/>
      <c r="L462" s="547"/>
      <c r="M462" s="545"/>
      <c r="N462" s="546"/>
      <c r="O462" s="546"/>
      <c r="P462" s="547"/>
      <c r="Q462" s="545"/>
      <c r="R462" s="546"/>
      <c r="S462" s="546"/>
      <c r="T462" s="547"/>
      <c r="U462" s="545"/>
      <c r="V462" s="546"/>
      <c r="W462" s="546"/>
      <c r="X462" s="547"/>
      <c r="Y462" s="545"/>
      <c r="Z462" s="546"/>
      <c r="AA462" s="546"/>
      <c r="AB462" s="547"/>
      <c r="AC462" s="545"/>
      <c r="AD462" s="546"/>
      <c r="AE462" s="546"/>
      <c r="AF462" s="547"/>
      <c r="AG462" s="545"/>
      <c r="AH462" s="546"/>
      <c r="AI462" s="546"/>
      <c r="AJ462" s="547"/>
      <c r="AK462" s="545"/>
      <c r="AL462" s="546"/>
      <c r="AM462" s="546"/>
      <c r="AN462" s="547"/>
      <c r="AO462" s="545"/>
      <c r="AP462" s="546"/>
      <c r="AQ462" s="546"/>
      <c r="AR462" s="547"/>
      <c r="AS462" s="545"/>
      <c r="AT462" s="546"/>
      <c r="AU462" s="546"/>
      <c r="AV462" s="547"/>
      <c r="AW462" s="545"/>
      <c r="AX462" s="546"/>
      <c r="AY462" s="546"/>
      <c r="AZ462" s="547"/>
      <c r="BG462" s="93"/>
      <c r="BH462" s="93"/>
      <c r="BI462" s="93"/>
      <c r="BJ462" s="217"/>
      <c r="BK462" s="164"/>
      <c r="BL462" s="165"/>
      <c r="BM462" s="165"/>
      <c r="BN462" s="165"/>
      <c r="BO462" s="165"/>
      <c r="BP462" s="165"/>
      <c r="BQ462" s="165"/>
      <c r="BR462" s="165"/>
      <c r="BS462" s="165"/>
      <c r="BT462" s="165"/>
      <c r="BU462" s="165"/>
      <c r="BV462" s="165"/>
      <c r="BW462" s="165"/>
      <c r="BX462" s="165"/>
      <c r="BY462" s="165"/>
      <c r="BZ462" s="165"/>
      <c r="CA462" s="165"/>
      <c r="CB462" s="217"/>
      <c r="CC462" s="126"/>
      <c r="CD462" s="126"/>
      <c r="CE462" s="143"/>
    </row>
    <row r="463" spans="1:83">
      <c r="A463" s="107"/>
      <c r="B463" s="107"/>
      <c r="C463" s="107"/>
      <c r="D463" s="107"/>
      <c r="E463" s="548"/>
      <c r="F463" s="549"/>
      <c r="G463" s="549"/>
      <c r="H463" s="550"/>
      <c r="I463" s="540"/>
      <c r="J463" s="541"/>
      <c r="K463" s="541"/>
      <c r="L463" s="542"/>
      <c r="M463" s="540"/>
      <c r="N463" s="541"/>
      <c r="O463" s="541"/>
      <c r="P463" s="542"/>
      <c r="Q463" s="540"/>
      <c r="R463" s="541"/>
      <c r="S463" s="541"/>
      <c r="T463" s="542"/>
      <c r="U463" s="540"/>
      <c r="V463" s="541"/>
      <c r="W463" s="541"/>
      <c r="X463" s="542"/>
      <c r="Y463" s="540"/>
      <c r="Z463" s="541"/>
      <c r="AA463" s="541"/>
      <c r="AB463" s="542"/>
      <c r="AC463" s="540"/>
      <c r="AD463" s="541"/>
      <c r="AE463" s="541"/>
      <c r="AF463" s="542"/>
      <c r="AG463" s="540"/>
      <c r="AH463" s="541"/>
      <c r="AI463" s="541"/>
      <c r="AJ463" s="542"/>
      <c r="AK463" s="540"/>
      <c r="AL463" s="541"/>
      <c r="AM463" s="541"/>
      <c r="AN463" s="542"/>
      <c r="AO463" s="540"/>
      <c r="AP463" s="541"/>
      <c r="AQ463" s="541"/>
      <c r="AR463" s="542"/>
      <c r="AS463" s="540"/>
      <c r="AT463" s="541"/>
      <c r="AU463" s="541"/>
      <c r="AV463" s="542"/>
      <c r="AW463" s="540"/>
      <c r="AX463" s="541"/>
      <c r="AY463" s="541"/>
      <c r="AZ463" s="542"/>
      <c r="BG463" s="93"/>
      <c r="BH463" s="93"/>
      <c r="BI463" s="93"/>
      <c r="BJ463" s="217"/>
      <c r="BK463" s="164"/>
      <c r="BL463" s="165"/>
      <c r="BM463" s="165"/>
      <c r="BN463" s="165"/>
      <c r="BO463" s="165"/>
      <c r="BP463" s="165"/>
      <c r="BQ463" s="165"/>
      <c r="BR463" s="165"/>
      <c r="BS463" s="165"/>
      <c r="BT463" s="165"/>
      <c r="BU463" s="165"/>
      <c r="BV463" s="165"/>
      <c r="BW463" s="165"/>
      <c r="BX463" s="165"/>
      <c r="BY463" s="165"/>
      <c r="BZ463" s="165"/>
      <c r="CA463" s="165"/>
      <c r="CB463" s="217"/>
      <c r="CC463" s="126"/>
      <c r="CD463" s="126"/>
      <c r="CE463" s="143"/>
    </row>
    <row r="464" spans="1:83">
      <c r="A464" s="107"/>
      <c r="B464" s="107"/>
      <c r="C464" s="107"/>
      <c r="D464" s="107"/>
      <c r="E464" s="551"/>
      <c r="F464" s="552"/>
      <c r="G464" s="552"/>
      <c r="H464" s="553"/>
      <c r="I464" s="545"/>
      <c r="J464" s="546"/>
      <c r="K464" s="546"/>
      <c r="L464" s="547"/>
      <c r="M464" s="545"/>
      <c r="N464" s="546"/>
      <c r="O464" s="546"/>
      <c r="P464" s="547"/>
      <c r="Q464" s="545"/>
      <c r="R464" s="546"/>
      <c r="S464" s="546"/>
      <c r="T464" s="547"/>
      <c r="U464" s="545"/>
      <c r="V464" s="546"/>
      <c r="W464" s="546"/>
      <c r="X464" s="547"/>
      <c r="Y464" s="545"/>
      <c r="Z464" s="546"/>
      <c r="AA464" s="546"/>
      <c r="AB464" s="547"/>
      <c r="AC464" s="545"/>
      <c r="AD464" s="546"/>
      <c r="AE464" s="546"/>
      <c r="AF464" s="547"/>
      <c r="AG464" s="545"/>
      <c r="AH464" s="546"/>
      <c r="AI464" s="546"/>
      <c r="AJ464" s="547"/>
      <c r="AK464" s="545"/>
      <c r="AL464" s="546"/>
      <c r="AM464" s="546"/>
      <c r="AN464" s="547"/>
      <c r="AO464" s="545"/>
      <c r="AP464" s="546"/>
      <c r="AQ464" s="546"/>
      <c r="AR464" s="547"/>
      <c r="AS464" s="545"/>
      <c r="AT464" s="546"/>
      <c r="AU464" s="546"/>
      <c r="AV464" s="547"/>
      <c r="AW464" s="545"/>
      <c r="AX464" s="546"/>
      <c r="AY464" s="546"/>
      <c r="AZ464" s="547"/>
      <c r="BG464" s="93"/>
      <c r="BH464" s="93"/>
      <c r="BI464" s="93"/>
      <c r="BJ464" s="217"/>
      <c r="BK464" s="164"/>
      <c r="BL464" s="165"/>
      <c r="BM464" s="165"/>
      <c r="BN464" s="165"/>
      <c r="BO464" s="165"/>
      <c r="BP464" s="165"/>
      <c r="BQ464" s="165"/>
      <c r="BR464" s="165"/>
      <c r="BS464" s="165"/>
      <c r="BT464" s="165"/>
      <c r="BU464" s="165"/>
      <c r="BV464" s="165"/>
      <c r="BW464" s="165"/>
      <c r="BX464" s="165"/>
      <c r="BY464" s="165"/>
      <c r="BZ464" s="165"/>
      <c r="CA464" s="165"/>
      <c r="CB464" s="217"/>
      <c r="CC464" s="126"/>
      <c r="CD464" s="126"/>
      <c r="CE464" s="143"/>
    </row>
    <row r="465" spans="1:83">
      <c r="A465" s="107"/>
      <c r="B465" s="107"/>
      <c r="C465" s="107"/>
      <c r="D465" s="107"/>
      <c r="E465" s="548"/>
      <c r="F465" s="549"/>
      <c r="G465" s="549"/>
      <c r="H465" s="550"/>
      <c r="I465" s="540"/>
      <c r="J465" s="541"/>
      <c r="K465" s="541"/>
      <c r="L465" s="542"/>
      <c r="M465" s="540"/>
      <c r="N465" s="541"/>
      <c r="O465" s="541"/>
      <c r="P465" s="542"/>
      <c r="Q465" s="540"/>
      <c r="R465" s="541"/>
      <c r="S465" s="541"/>
      <c r="T465" s="542"/>
      <c r="U465" s="540"/>
      <c r="V465" s="541"/>
      <c r="W465" s="541"/>
      <c r="X465" s="542"/>
      <c r="Y465" s="540"/>
      <c r="Z465" s="541"/>
      <c r="AA465" s="541"/>
      <c r="AB465" s="542"/>
      <c r="AC465" s="540"/>
      <c r="AD465" s="541"/>
      <c r="AE465" s="541"/>
      <c r="AF465" s="542"/>
      <c r="AG465" s="540"/>
      <c r="AH465" s="541"/>
      <c r="AI465" s="541"/>
      <c r="AJ465" s="542"/>
      <c r="AK465" s="540"/>
      <c r="AL465" s="541"/>
      <c r="AM465" s="541"/>
      <c r="AN465" s="542"/>
      <c r="AO465" s="540"/>
      <c r="AP465" s="541"/>
      <c r="AQ465" s="541"/>
      <c r="AR465" s="542"/>
      <c r="AS465" s="540"/>
      <c r="AT465" s="541"/>
      <c r="AU465" s="541"/>
      <c r="AV465" s="542"/>
      <c r="AW465" s="540"/>
      <c r="AX465" s="541"/>
      <c r="AY465" s="541"/>
      <c r="AZ465" s="542"/>
      <c r="BG465" s="93"/>
      <c r="BH465" s="93"/>
      <c r="BI465" s="93"/>
      <c r="BJ465" s="217"/>
      <c r="BK465" s="164"/>
      <c r="BL465" s="165"/>
      <c r="BM465" s="165"/>
      <c r="BN465" s="165"/>
      <c r="BO465" s="165"/>
      <c r="BP465" s="165"/>
      <c r="BQ465" s="165"/>
      <c r="BR465" s="165"/>
      <c r="BS465" s="165"/>
      <c r="BT465" s="165"/>
      <c r="BU465" s="165"/>
      <c r="BV465" s="165"/>
      <c r="BW465" s="165"/>
      <c r="BX465" s="165"/>
      <c r="BY465" s="165"/>
      <c r="BZ465" s="165"/>
      <c r="CA465" s="165"/>
      <c r="CB465" s="217"/>
      <c r="CC465" s="126"/>
      <c r="CD465" s="126"/>
      <c r="CE465" s="143"/>
    </row>
    <row r="466" spans="1:83">
      <c r="A466" s="107"/>
      <c r="B466" s="107"/>
      <c r="C466" s="107"/>
      <c r="D466" s="107"/>
      <c r="E466" s="551"/>
      <c r="F466" s="552"/>
      <c r="G466" s="552"/>
      <c r="H466" s="553"/>
      <c r="I466" s="545"/>
      <c r="J466" s="546"/>
      <c r="K466" s="546"/>
      <c r="L466" s="547"/>
      <c r="M466" s="545"/>
      <c r="N466" s="546"/>
      <c r="O466" s="546"/>
      <c r="P466" s="547"/>
      <c r="Q466" s="545"/>
      <c r="R466" s="546"/>
      <c r="S466" s="546"/>
      <c r="T466" s="547"/>
      <c r="U466" s="545"/>
      <c r="V466" s="546"/>
      <c r="W466" s="546"/>
      <c r="X466" s="547"/>
      <c r="Y466" s="545"/>
      <c r="Z466" s="546"/>
      <c r="AA466" s="546"/>
      <c r="AB466" s="547"/>
      <c r="AC466" s="545"/>
      <c r="AD466" s="546"/>
      <c r="AE466" s="546"/>
      <c r="AF466" s="547"/>
      <c r="AG466" s="545"/>
      <c r="AH466" s="546"/>
      <c r="AI466" s="546"/>
      <c r="AJ466" s="547"/>
      <c r="AK466" s="545"/>
      <c r="AL466" s="546"/>
      <c r="AM466" s="546"/>
      <c r="AN466" s="547"/>
      <c r="AO466" s="545"/>
      <c r="AP466" s="546"/>
      <c r="AQ466" s="546"/>
      <c r="AR466" s="547"/>
      <c r="AS466" s="545"/>
      <c r="AT466" s="546"/>
      <c r="AU466" s="546"/>
      <c r="AV466" s="547"/>
      <c r="AW466" s="545"/>
      <c r="AX466" s="546"/>
      <c r="AY466" s="546"/>
      <c r="AZ466" s="547"/>
      <c r="BG466" s="93"/>
      <c r="BH466" s="93"/>
      <c r="BI466" s="93"/>
      <c r="BJ466" s="217"/>
      <c r="BK466" s="164"/>
      <c r="BL466" s="165"/>
      <c r="BM466" s="165"/>
      <c r="BN466" s="165"/>
      <c r="BO466" s="165"/>
      <c r="BP466" s="165"/>
      <c r="BQ466" s="165"/>
      <c r="BR466" s="165"/>
      <c r="BS466" s="165"/>
      <c r="BT466" s="165"/>
      <c r="BU466" s="165"/>
      <c r="BV466" s="165"/>
      <c r="BW466" s="165"/>
      <c r="BX466" s="165"/>
      <c r="BY466" s="165"/>
      <c r="BZ466" s="165"/>
      <c r="CA466" s="165"/>
      <c r="CB466" s="217"/>
      <c r="CC466" s="126"/>
      <c r="CD466" s="126"/>
      <c r="CE466" s="143"/>
    </row>
    <row r="467" spans="1:83">
      <c r="A467" s="107"/>
      <c r="B467" s="107"/>
      <c r="C467" s="107"/>
      <c r="D467" s="107"/>
      <c r="E467" s="548"/>
      <c r="F467" s="549"/>
      <c r="G467" s="549"/>
      <c r="H467" s="550"/>
      <c r="I467" s="540"/>
      <c r="J467" s="541"/>
      <c r="K467" s="541"/>
      <c r="L467" s="542"/>
      <c r="M467" s="540"/>
      <c r="N467" s="541"/>
      <c r="O467" s="541"/>
      <c r="P467" s="542"/>
      <c r="Q467" s="540"/>
      <c r="R467" s="541"/>
      <c r="S467" s="541"/>
      <c r="T467" s="542"/>
      <c r="U467" s="540"/>
      <c r="V467" s="541"/>
      <c r="W467" s="541"/>
      <c r="X467" s="542"/>
      <c r="Y467" s="540"/>
      <c r="Z467" s="541"/>
      <c r="AA467" s="541"/>
      <c r="AB467" s="542"/>
      <c r="AC467" s="540"/>
      <c r="AD467" s="541"/>
      <c r="AE467" s="541"/>
      <c r="AF467" s="542"/>
      <c r="AG467" s="540"/>
      <c r="AH467" s="541"/>
      <c r="AI467" s="541"/>
      <c r="AJ467" s="542"/>
      <c r="AK467" s="540"/>
      <c r="AL467" s="541"/>
      <c r="AM467" s="541"/>
      <c r="AN467" s="542"/>
      <c r="AO467" s="540"/>
      <c r="AP467" s="541"/>
      <c r="AQ467" s="541"/>
      <c r="AR467" s="542"/>
      <c r="AS467" s="540"/>
      <c r="AT467" s="541"/>
      <c r="AU467" s="541"/>
      <c r="AV467" s="542"/>
      <c r="AW467" s="540"/>
      <c r="AX467" s="541"/>
      <c r="AY467" s="541"/>
      <c r="AZ467" s="542"/>
      <c r="BG467" s="93"/>
      <c r="BH467" s="93"/>
      <c r="BI467" s="93"/>
      <c r="BJ467" s="217"/>
      <c r="BK467" s="164"/>
      <c r="BL467" s="165"/>
      <c r="BM467" s="165"/>
      <c r="BN467" s="165"/>
      <c r="BO467" s="165"/>
      <c r="BP467" s="165"/>
      <c r="BQ467" s="165"/>
      <c r="BR467" s="165"/>
      <c r="BS467" s="165"/>
      <c r="BT467" s="165"/>
      <c r="BU467" s="165"/>
      <c r="BV467" s="165"/>
      <c r="BW467" s="165"/>
      <c r="BX467" s="165"/>
      <c r="BY467" s="165"/>
      <c r="BZ467" s="165"/>
      <c r="CA467" s="165"/>
      <c r="CB467" s="217"/>
      <c r="CC467" s="126"/>
      <c r="CD467" s="126"/>
      <c r="CE467" s="143"/>
    </row>
    <row r="468" spans="1:83">
      <c r="A468" s="107"/>
      <c r="B468" s="107"/>
      <c r="C468" s="107"/>
      <c r="D468" s="107"/>
      <c r="E468" s="551"/>
      <c r="F468" s="552"/>
      <c r="G468" s="552"/>
      <c r="H468" s="553"/>
      <c r="I468" s="545"/>
      <c r="J468" s="546"/>
      <c r="K468" s="546"/>
      <c r="L468" s="547"/>
      <c r="M468" s="545"/>
      <c r="N468" s="546"/>
      <c r="O468" s="546"/>
      <c r="P468" s="547"/>
      <c r="Q468" s="545"/>
      <c r="R468" s="546"/>
      <c r="S468" s="546"/>
      <c r="T468" s="547"/>
      <c r="U468" s="545"/>
      <c r="V468" s="546"/>
      <c r="W468" s="546"/>
      <c r="X468" s="547"/>
      <c r="Y468" s="545"/>
      <c r="Z468" s="546"/>
      <c r="AA468" s="546"/>
      <c r="AB468" s="547"/>
      <c r="AC468" s="545"/>
      <c r="AD468" s="546"/>
      <c r="AE468" s="546"/>
      <c r="AF468" s="547"/>
      <c r="AG468" s="545"/>
      <c r="AH468" s="546"/>
      <c r="AI468" s="546"/>
      <c r="AJ468" s="547"/>
      <c r="AK468" s="545"/>
      <c r="AL468" s="546"/>
      <c r="AM468" s="546"/>
      <c r="AN468" s="547"/>
      <c r="AO468" s="545"/>
      <c r="AP468" s="546"/>
      <c r="AQ468" s="546"/>
      <c r="AR468" s="547"/>
      <c r="AS468" s="545"/>
      <c r="AT468" s="546"/>
      <c r="AU468" s="546"/>
      <c r="AV468" s="547"/>
      <c r="AW468" s="545"/>
      <c r="AX468" s="546"/>
      <c r="AY468" s="546"/>
      <c r="AZ468" s="547"/>
      <c r="BG468" s="93"/>
      <c r="BH468" s="93"/>
      <c r="BI468" s="93"/>
      <c r="BJ468" s="217"/>
      <c r="BK468" s="164"/>
      <c r="BL468" s="165"/>
      <c r="BM468" s="165"/>
      <c r="BN468" s="165"/>
      <c r="BO468" s="165"/>
      <c r="BP468" s="165"/>
      <c r="BQ468" s="165"/>
      <c r="BR468" s="165"/>
      <c r="BS468" s="165"/>
      <c r="BT468" s="165"/>
      <c r="BU468" s="165"/>
      <c r="BV468" s="165"/>
      <c r="BW468" s="165"/>
      <c r="BX468" s="165"/>
      <c r="BY468" s="165"/>
      <c r="BZ468" s="165"/>
      <c r="CA468" s="165"/>
      <c r="CB468" s="217"/>
      <c r="CC468" s="126"/>
      <c r="CD468" s="126"/>
      <c r="CE468" s="143"/>
    </row>
    <row r="469" spans="1:83">
      <c r="A469" s="107"/>
      <c r="B469" s="107"/>
      <c r="C469" s="107"/>
      <c r="D469" s="107"/>
      <c r="E469" s="548"/>
      <c r="F469" s="549"/>
      <c r="G469" s="549"/>
      <c r="H469" s="550"/>
      <c r="I469" s="540"/>
      <c r="J469" s="541"/>
      <c r="K469" s="541"/>
      <c r="L469" s="542"/>
      <c r="M469" s="540"/>
      <c r="N469" s="541"/>
      <c r="O469" s="541"/>
      <c r="P469" s="542"/>
      <c r="Q469" s="540"/>
      <c r="R469" s="541"/>
      <c r="S469" s="541"/>
      <c r="T469" s="542"/>
      <c r="U469" s="540"/>
      <c r="V469" s="541"/>
      <c r="W469" s="541"/>
      <c r="X469" s="542"/>
      <c r="Y469" s="540"/>
      <c r="Z469" s="541"/>
      <c r="AA469" s="541"/>
      <c r="AB469" s="542"/>
      <c r="AC469" s="540"/>
      <c r="AD469" s="541"/>
      <c r="AE469" s="541"/>
      <c r="AF469" s="542"/>
      <c r="AG469" s="540"/>
      <c r="AH469" s="541"/>
      <c r="AI469" s="541"/>
      <c r="AJ469" s="542"/>
      <c r="AK469" s="540"/>
      <c r="AL469" s="541"/>
      <c r="AM469" s="541"/>
      <c r="AN469" s="542"/>
      <c r="AO469" s="540"/>
      <c r="AP469" s="541"/>
      <c r="AQ469" s="541"/>
      <c r="AR469" s="542"/>
      <c r="AS469" s="540"/>
      <c r="AT469" s="541"/>
      <c r="AU469" s="541"/>
      <c r="AV469" s="542"/>
      <c r="AW469" s="540"/>
      <c r="AX469" s="541"/>
      <c r="AY469" s="541"/>
      <c r="AZ469" s="542"/>
      <c r="BG469" s="93"/>
      <c r="BH469" s="93"/>
      <c r="BI469" s="93"/>
      <c r="BJ469" s="217"/>
      <c r="BK469" s="164"/>
      <c r="BL469" s="165"/>
      <c r="BM469" s="165"/>
      <c r="BN469" s="165"/>
      <c r="BO469" s="165"/>
      <c r="BP469" s="165"/>
      <c r="BQ469" s="165"/>
      <c r="BR469" s="165"/>
      <c r="BS469" s="165"/>
      <c r="BT469" s="165"/>
      <c r="BU469" s="165"/>
      <c r="BV469" s="165"/>
      <c r="BW469" s="165"/>
      <c r="BX469" s="165"/>
      <c r="BY469" s="165"/>
      <c r="BZ469" s="165"/>
      <c r="CA469" s="165"/>
      <c r="CB469" s="217"/>
      <c r="CC469" s="126"/>
      <c r="CD469" s="126"/>
      <c r="CE469" s="143"/>
    </row>
    <row r="470" spans="1:83">
      <c r="A470" s="107"/>
      <c r="B470" s="107"/>
      <c r="C470" s="107"/>
      <c r="D470" s="107"/>
      <c r="E470" s="551"/>
      <c r="F470" s="552"/>
      <c r="G470" s="552"/>
      <c r="H470" s="553"/>
      <c r="I470" s="545"/>
      <c r="J470" s="546"/>
      <c r="K470" s="546"/>
      <c r="L470" s="547"/>
      <c r="M470" s="545"/>
      <c r="N470" s="546"/>
      <c r="O470" s="546"/>
      <c r="P470" s="547"/>
      <c r="Q470" s="545"/>
      <c r="R470" s="546"/>
      <c r="S470" s="546"/>
      <c r="T470" s="547"/>
      <c r="U470" s="545"/>
      <c r="V470" s="546"/>
      <c r="W470" s="546"/>
      <c r="X470" s="547"/>
      <c r="Y470" s="545"/>
      <c r="Z470" s="546"/>
      <c r="AA470" s="546"/>
      <c r="AB470" s="547"/>
      <c r="AC470" s="545"/>
      <c r="AD470" s="546"/>
      <c r="AE470" s="546"/>
      <c r="AF470" s="547"/>
      <c r="AG470" s="545"/>
      <c r="AH470" s="546"/>
      <c r="AI470" s="546"/>
      <c r="AJ470" s="547"/>
      <c r="AK470" s="545"/>
      <c r="AL470" s="546"/>
      <c r="AM470" s="546"/>
      <c r="AN470" s="547"/>
      <c r="AO470" s="545"/>
      <c r="AP470" s="546"/>
      <c r="AQ470" s="546"/>
      <c r="AR470" s="547"/>
      <c r="AS470" s="545"/>
      <c r="AT470" s="546"/>
      <c r="AU470" s="546"/>
      <c r="AV470" s="547"/>
      <c r="AW470" s="545"/>
      <c r="AX470" s="546"/>
      <c r="AY470" s="546"/>
      <c r="AZ470" s="547"/>
      <c r="BG470" s="93"/>
      <c r="BH470" s="93"/>
      <c r="BI470" s="93"/>
      <c r="BJ470" s="217"/>
      <c r="BK470" s="164"/>
      <c r="BL470" s="165"/>
      <c r="BM470" s="165"/>
      <c r="BN470" s="165"/>
      <c r="BO470" s="165"/>
      <c r="BP470" s="165"/>
      <c r="BQ470" s="165"/>
      <c r="BR470" s="165"/>
      <c r="BS470" s="165"/>
      <c r="BT470" s="165"/>
      <c r="BU470" s="165"/>
      <c r="BV470" s="165"/>
      <c r="BW470" s="165"/>
      <c r="BX470" s="165"/>
      <c r="BY470" s="165"/>
      <c r="BZ470" s="165"/>
      <c r="CA470" s="165"/>
      <c r="CB470" s="217"/>
      <c r="CC470" s="126"/>
      <c r="CD470" s="126"/>
      <c r="CE470" s="143"/>
    </row>
    <row r="471" spans="1:83">
      <c r="A471" s="107"/>
      <c r="B471" s="107"/>
      <c r="C471" s="107"/>
      <c r="D471" s="107"/>
      <c r="E471" s="548"/>
      <c r="F471" s="549"/>
      <c r="G471" s="549"/>
      <c r="H471" s="550"/>
      <c r="I471" s="540"/>
      <c r="J471" s="541"/>
      <c r="K471" s="541"/>
      <c r="L471" s="542"/>
      <c r="M471" s="540"/>
      <c r="N471" s="541"/>
      <c r="O471" s="541"/>
      <c r="P471" s="542"/>
      <c r="Q471" s="540"/>
      <c r="R471" s="541"/>
      <c r="S471" s="541"/>
      <c r="T471" s="542"/>
      <c r="U471" s="540"/>
      <c r="V471" s="541"/>
      <c r="W471" s="541"/>
      <c r="X471" s="542"/>
      <c r="Y471" s="540"/>
      <c r="Z471" s="541"/>
      <c r="AA471" s="541"/>
      <c r="AB471" s="542"/>
      <c r="AC471" s="540"/>
      <c r="AD471" s="541"/>
      <c r="AE471" s="541"/>
      <c r="AF471" s="542"/>
      <c r="AG471" s="540"/>
      <c r="AH471" s="541"/>
      <c r="AI471" s="541"/>
      <c r="AJ471" s="542"/>
      <c r="AK471" s="540"/>
      <c r="AL471" s="541"/>
      <c r="AM471" s="541"/>
      <c r="AN471" s="542"/>
      <c r="AO471" s="540"/>
      <c r="AP471" s="541"/>
      <c r="AQ471" s="541"/>
      <c r="AR471" s="542"/>
      <c r="AS471" s="540"/>
      <c r="AT471" s="541"/>
      <c r="AU471" s="541"/>
      <c r="AV471" s="542"/>
      <c r="AW471" s="540"/>
      <c r="AX471" s="541"/>
      <c r="AY471" s="541"/>
      <c r="AZ471" s="542"/>
      <c r="BG471" s="93"/>
      <c r="BH471" s="93"/>
      <c r="BI471" s="93"/>
      <c r="BJ471" s="217"/>
      <c r="BK471" s="164"/>
      <c r="BL471" s="165"/>
      <c r="BM471" s="165"/>
      <c r="BN471" s="165"/>
      <c r="BO471" s="165"/>
      <c r="BP471" s="165"/>
      <c r="BQ471" s="165"/>
      <c r="BR471" s="165"/>
      <c r="BS471" s="165"/>
      <c r="BT471" s="165"/>
      <c r="BU471" s="165"/>
      <c r="BV471" s="165"/>
      <c r="BW471" s="165"/>
      <c r="BX471" s="165"/>
      <c r="BY471" s="165"/>
      <c r="BZ471" s="165"/>
      <c r="CA471" s="165"/>
      <c r="CB471" s="217"/>
      <c r="CC471" s="126"/>
      <c r="CD471" s="126"/>
      <c r="CE471" s="143"/>
    </row>
    <row r="472" spans="1:83">
      <c r="A472" s="107"/>
      <c r="B472" s="107"/>
      <c r="C472" s="107"/>
      <c r="D472" s="107"/>
      <c r="E472" s="551"/>
      <c r="F472" s="552"/>
      <c r="G472" s="552"/>
      <c r="H472" s="553"/>
      <c r="I472" s="545"/>
      <c r="J472" s="546"/>
      <c r="K472" s="546"/>
      <c r="L472" s="547"/>
      <c r="M472" s="545"/>
      <c r="N472" s="546"/>
      <c r="O472" s="546"/>
      <c r="P472" s="547"/>
      <c r="Q472" s="545"/>
      <c r="R472" s="546"/>
      <c r="S472" s="546"/>
      <c r="T472" s="547"/>
      <c r="U472" s="545"/>
      <c r="V472" s="546"/>
      <c r="W472" s="546"/>
      <c r="X472" s="547"/>
      <c r="Y472" s="545"/>
      <c r="Z472" s="546"/>
      <c r="AA472" s="546"/>
      <c r="AB472" s="547"/>
      <c r="AC472" s="545"/>
      <c r="AD472" s="546"/>
      <c r="AE472" s="546"/>
      <c r="AF472" s="547"/>
      <c r="AG472" s="545"/>
      <c r="AH472" s="546"/>
      <c r="AI472" s="546"/>
      <c r="AJ472" s="547"/>
      <c r="AK472" s="545"/>
      <c r="AL472" s="546"/>
      <c r="AM472" s="546"/>
      <c r="AN472" s="547"/>
      <c r="AO472" s="545"/>
      <c r="AP472" s="546"/>
      <c r="AQ472" s="546"/>
      <c r="AR472" s="547"/>
      <c r="AS472" s="545"/>
      <c r="AT472" s="546"/>
      <c r="AU472" s="546"/>
      <c r="AV472" s="547"/>
      <c r="AW472" s="545"/>
      <c r="AX472" s="546"/>
      <c r="AY472" s="546"/>
      <c r="AZ472" s="547"/>
      <c r="BG472" s="93"/>
      <c r="BH472" s="93"/>
      <c r="BI472" s="93"/>
      <c r="BJ472" s="217"/>
      <c r="BK472" s="164"/>
      <c r="BL472" s="165"/>
      <c r="BM472" s="165"/>
      <c r="BN472" s="165"/>
      <c r="BO472" s="165"/>
      <c r="BP472" s="165"/>
      <c r="BQ472" s="165"/>
      <c r="BR472" s="165"/>
      <c r="BS472" s="165"/>
      <c r="BT472" s="165"/>
      <c r="BU472" s="165"/>
      <c r="BV472" s="165"/>
      <c r="BW472" s="165"/>
      <c r="BX472" s="165"/>
      <c r="BY472" s="165"/>
      <c r="BZ472" s="165"/>
      <c r="CA472" s="165"/>
      <c r="CB472" s="217"/>
      <c r="CC472" s="126"/>
      <c r="CD472" s="126"/>
      <c r="CE472" s="143"/>
    </row>
    <row r="473" spans="1:83">
      <c r="A473" s="107"/>
      <c r="B473" s="107"/>
      <c r="C473" s="107"/>
      <c r="D473" s="107"/>
      <c r="E473" s="548"/>
      <c r="F473" s="549"/>
      <c r="G473" s="549"/>
      <c r="H473" s="550"/>
      <c r="I473" s="540"/>
      <c r="J473" s="541"/>
      <c r="K473" s="541"/>
      <c r="L473" s="542"/>
      <c r="M473" s="540"/>
      <c r="N473" s="541"/>
      <c r="O473" s="541"/>
      <c r="P473" s="542"/>
      <c r="Q473" s="540"/>
      <c r="R473" s="541"/>
      <c r="S473" s="541"/>
      <c r="T473" s="542"/>
      <c r="U473" s="540"/>
      <c r="V473" s="541"/>
      <c r="W473" s="541"/>
      <c r="X473" s="542"/>
      <c r="Y473" s="540"/>
      <c r="Z473" s="541"/>
      <c r="AA473" s="541"/>
      <c r="AB473" s="542"/>
      <c r="AC473" s="540"/>
      <c r="AD473" s="541"/>
      <c r="AE473" s="541"/>
      <c r="AF473" s="542"/>
      <c r="AG473" s="540"/>
      <c r="AH473" s="541"/>
      <c r="AI473" s="541"/>
      <c r="AJ473" s="542"/>
      <c r="AK473" s="540"/>
      <c r="AL473" s="541"/>
      <c r="AM473" s="541"/>
      <c r="AN473" s="542"/>
      <c r="AO473" s="540"/>
      <c r="AP473" s="541"/>
      <c r="AQ473" s="541"/>
      <c r="AR473" s="542"/>
      <c r="AS473" s="540"/>
      <c r="AT473" s="541"/>
      <c r="AU473" s="541"/>
      <c r="AV473" s="542"/>
      <c r="AW473" s="540"/>
      <c r="AX473" s="541"/>
      <c r="AY473" s="541"/>
      <c r="AZ473" s="542"/>
      <c r="BG473" s="93"/>
      <c r="BH473" s="93"/>
      <c r="BI473" s="93"/>
      <c r="BJ473" s="217"/>
      <c r="BK473" s="164"/>
      <c r="BL473" s="165"/>
      <c r="BM473" s="165"/>
      <c r="BN473" s="165"/>
      <c r="BO473" s="165"/>
      <c r="BP473" s="165"/>
      <c r="BQ473" s="165"/>
      <c r="BR473" s="165"/>
      <c r="BS473" s="165"/>
      <c r="BT473" s="165"/>
      <c r="BU473" s="165"/>
      <c r="BV473" s="165"/>
      <c r="BW473" s="165"/>
      <c r="BX473" s="165"/>
      <c r="BY473" s="165"/>
      <c r="BZ473" s="165"/>
      <c r="CA473" s="165"/>
      <c r="CB473" s="217"/>
      <c r="CC473" s="126"/>
      <c r="CD473" s="126"/>
      <c r="CE473" s="143"/>
    </row>
    <row r="474" spans="1:83">
      <c r="A474" s="107"/>
      <c r="B474" s="107"/>
      <c r="C474" s="107"/>
      <c r="D474" s="107"/>
      <c r="E474" s="551"/>
      <c r="F474" s="552"/>
      <c r="G474" s="552"/>
      <c r="H474" s="553"/>
      <c r="I474" s="545"/>
      <c r="J474" s="546"/>
      <c r="K474" s="546"/>
      <c r="L474" s="547"/>
      <c r="M474" s="545"/>
      <c r="N474" s="546"/>
      <c r="O474" s="546"/>
      <c r="P474" s="547"/>
      <c r="Q474" s="545"/>
      <c r="R474" s="546"/>
      <c r="S474" s="546"/>
      <c r="T474" s="547"/>
      <c r="U474" s="545"/>
      <c r="V474" s="546"/>
      <c r="W474" s="546"/>
      <c r="X474" s="547"/>
      <c r="Y474" s="545"/>
      <c r="Z474" s="546"/>
      <c r="AA474" s="546"/>
      <c r="AB474" s="547"/>
      <c r="AC474" s="545"/>
      <c r="AD474" s="546"/>
      <c r="AE474" s="546"/>
      <c r="AF474" s="547"/>
      <c r="AG474" s="545"/>
      <c r="AH474" s="546"/>
      <c r="AI474" s="546"/>
      <c r="AJ474" s="547"/>
      <c r="AK474" s="545"/>
      <c r="AL474" s="546"/>
      <c r="AM474" s="546"/>
      <c r="AN474" s="547"/>
      <c r="AO474" s="545"/>
      <c r="AP474" s="546"/>
      <c r="AQ474" s="546"/>
      <c r="AR474" s="547"/>
      <c r="AS474" s="545"/>
      <c r="AT474" s="546"/>
      <c r="AU474" s="546"/>
      <c r="AV474" s="547"/>
      <c r="AW474" s="545"/>
      <c r="AX474" s="546"/>
      <c r="AY474" s="546"/>
      <c r="AZ474" s="547"/>
      <c r="BG474" s="93"/>
      <c r="BH474" s="93"/>
      <c r="BI474" s="93"/>
      <c r="BJ474" s="217"/>
      <c r="BK474" s="164"/>
      <c r="BL474" s="165"/>
      <c r="BM474" s="165"/>
      <c r="BN474" s="165"/>
      <c r="BO474" s="165"/>
      <c r="BP474" s="165"/>
      <c r="BQ474" s="165"/>
      <c r="BR474" s="165"/>
      <c r="BS474" s="165"/>
      <c r="BT474" s="165"/>
      <c r="BU474" s="165"/>
      <c r="BV474" s="165"/>
      <c r="BW474" s="165"/>
      <c r="BX474" s="165"/>
      <c r="BY474" s="165"/>
      <c r="BZ474" s="165"/>
      <c r="CA474" s="165"/>
      <c r="CB474" s="217"/>
      <c r="CC474" s="126"/>
      <c r="CD474" s="126"/>
      <c r="CE474" s="143"/>
    </row>
    <row r="475" spans="1:83">
      <c r="A475" s="107"/>
      <c r="B475" s="107"/>
      <c r="C475" s="107"/>
      <c r="D475" s="107"/>
      <c r="E475" s="548"/>
      <c r="F475" s="549"/>
      <c r="G475" s="549"/>
      <c r="H475" s="550"/>
      <c r="I475" s="540"/>
      <c r="J475" s="541"/>
      <c r="K475" s="541"/>
      <c r="L475" s="542"/>
      <c r="M475" s="540"/>
      <c r="N475" s="541"/>
      <c r="O475" s="541"/>
      <c r="P475" s="542"/>
      <c r="Q475" s="540"/>
      <c r="R475" s="541"/>
      <c r="S475" s="541"/>
      <c r="T475" s="542"/>
      <c r="U475" s="540"/>
      <c r="V475" s="541"/>
      <c r="W475" s="541"/>
      <c r="X475" s="542"/>
      <c r="Y475" s="540"/>
      <c r="Z475" s="541"/>
      <c r="AA475" s="541"/>
      <c r="AB475" s="542"/>
      <c r="AC475" s="540"/>
      <c r="AD475" s="541"/>
      <c r="AE475" s="541"/>
      <c r="AF475" s="542"/>
      <c r="AG475" s="540"/>
      <c r="AH475" s="541"/>
      <c r="AI475" s="541"/>
      <c r="AJ475" s="542"/>
      <c r="AK475" s="540"/>
      <c r="AL475" s="541"/>
      <c r="AM475" s="541"/>
      <c r="AN475" s="542"/>
      <c r="AO475" s="540"/>
      <c r="AP475" s="541"/>
      <c r="AQ475" s="541"/>
      <c r="AR475" s="542"/>
      <c r="AS475" s="540"/>
      <c r="AT475" s="541"/>
      <c r="AU475" s="541"/>
      <c r="AV475" s="542"/>
      <c r="AW475" s="540"/>
      <c r="AX475" s="541"/>
      <c r="AY475" s="541"/>
      <c r="AZ475" s="542"/>
      <c r="BG475" s="93"/>
      <c r="BH475" s="93"/>
      <c r="BI475" s="93"/>
      <c r="BJ475" s="217"/>
      <c r="BK475" s="164"/>
      <c r="BL475" s="165"/>
      <c r="BM475" s="165"/>
      <c r="BN475" s="165"/>
      <c r="BO475" s="165"/>
      <c r="BP475" s="165"/>
      <c r="BQ475" s="165"/>
      <c r="BR475" s="165"/>
      <c r="BS475" s="165"/>
      <c r="BT475" s="165"/>
      <c r="BU475" s="165"/>
      <c r="BV475" s="165"/>
      <c r="BW475" s="165"/>
      <c r="BX475" s="165"/>
      <c r="BY475" s="165"/>
      <c r="BZ475" s="165"/>
      <c r="CA475" s="165"/>
      <c r="CB475" s="217"/>
      <c r="CC475" s="126"/>
      <c r="CD475" s="126"/>
      <c r="CE475" s="143"/>
    </row>
    <row r="476" spans="1:83">
      <c r="A476" s="107"/>
      <c r="B476" s="107"/>
      <c r="C476" s="107"/>
      <c r="D476" s="107"/>
      <c r="E476" s="551"/>
      <c r="F476" s="552"/>
      <c r="G476" s="552"/>
      <c r="H476" s="553"/>
      <c r="I476" s="545"/>
      <c r="J476" s="546"/>
      <c r="K476" s="546"/>
      <c r="L476" s="547"/>
      <c r="M476" s="545"/>
      <c r="N476" s="546"/>
      <c r="O476" s="546"/>
      <c r="P476" s="547"/>
      <c r="Q476" s="545"/>
      <c r="R476" s="546"/>
      <c r="S476" s="546"/>
      <c r="T476" s="547"/>
      <c r="U476" s="545"/>
      <c r="V476" s="546"/>
      <c r="W476" s="546"/>
      <c r="X476" s="547"/>
      <c r="Y476" s="545"/>
      <c r="Z476" s="546"/>
      <c r="AA476" s="546"/>
      <c r="AB476" s="547"/>
      <c r="AC476" s="545"/>
      <c r="AD476" s="546"/>
      <c r="AE476" s="546"/>
      <c r="AF476" s="547"/>
      <c r="AG476" s="545"/>
      <c r="AH476" s="546"/>
      <c r="AI476" s="546"/>
      <c r="AJ476" s="547"/>
      <c r="AK476" s="545"/>
      <c r="AL476" s="546"/>
      <c r="AM476" s="546"/>
      <c r="AN476" s="547"/>
      <c r="AO476" s="545"/>
      <c r="AP476" s="546"/>
      <c r="AQ476" s="546"/>
      <c r="AR476" s="547"/>
      <c r="AS476" s="545"/>
      <c r="AT476" s="546"/>
      <c r="AU476" s="546"/>
      <c r="AV476" s="547"/>
      <c r="AW476" s="545"/>
      <c r="AX476" s="546"/>
      <c r="AY476" s="546"/>
      <c r="AZ476" s="547"/>
      <c r="BG476" s="93"/>
      <c r="BH476" s="93"/>
      <c r="BI476" s="93"/>
      <c r="BJ476" s="217"/>
      <c r="BK476" s="164"/>
      <c r="BL476" s="165"/>
      <c r="BM476" s="165"/>
      <c r="BN476" s="165"/>
      <c r="BO476" s="165"/>
      <c r="BP476" s="165"/>
      <c r="BQ476" s="165"/>
      <c r="BR476" s="165"/>
      <c r="BS476" s="165"/>
      <c r="BT476" s="165"/>
      <c r="BU476" s="165"/>
      <c r="BV476" s="165"/>
      <c r="BW476" s="165"/>
      <c r="BX476" s="165"/>
      <c r="BY476" s="165"/>
      <c r="BZ476" s="165"/>
      <c r="CA476" s="165"/>
      <c r="CB476" s="217"/>
      <c r="CC476" s="126"/>
      <c r="CD476" s="126"/>
      <c r="CE476" s="143"/>
    </row>
    <row r="477" spans="1:83">
      <c r="A477" s="107"/>
      <c r="B477" s="107"/>
      <c r="C477" s="107"/>
      <c r="D477" s="107"/>
      <c r="E477" s="548"/>
      <c r="F477" s="549"/>
      <c r="G477" s="549"/>
      <c r="H477" s="550"/>
      <c r="I477" s="540"/>
      <c r="J477" s="541"/>
      <c r="K477" s="541"/>
      <c r="L477" s="542"/>
      <c r="M477" s="540"/>
      <c r="N477" s="541"/>
      <c r="O477" s="541"/>
      <c r="P477" s="542"/>
      <c r="Q477" s="540"/>
      <c r="R477" s="541"/>
      <c r="S477" s="541"/>
      <c r="T477" s="542"/>
      <c r="U477" s="540"/>
      <c r="V477" s="541"/>
      <c r="W477" s="541"/>
      <c r="X477" s="542"/>
      <c r="Y477" s="540"/>
      <c r="Z477" s="541"/>
      <c r="AA477" s="541"/>
      <c r="AB477" s="542"/>
      <c r="AC477" s="540"/>
      <c r="AD477" s="541"/>
      <c r="AE477" s="541"/>
      <c r="AF477" s="542"/>
      <c r="AG477" s="540"/>
      <c r="AH477" s="541"/>
      <c r="AI477" s="541"/>
      <c r="AJ477" s="542"/>
      <c r="AK477" s="540"/>
      <c r="AL477" s="541"/>
      <c r="AM477" s="541"/>
      <c r="AN477" s="542"/>
      <c r="AO477" s="540"/>
      <c r="AP477" s="541"/>
      <c r="AQ477" s="541"/>
      <c r="AR477" s="542"/>
      <c r="AS477" s="540"/>
      <c r="AT477" s="541"/>
      <c r="AU477" s="541"/>
      <c r="AV477" s="542"/>
      <c r="AW477" s="540"/>
      <c r="AX477" s="541"/>
      <c r="AY477" s="541"/>
      <c r="AZ477" s="542"/>
      <c r="BG477" s="93"/>
      <c r="BH477" s="93"/>
      <c r="BI477" s="93"/>
      <c r="BJ477" s="217"/>
      <c r="BK477" s="164"/>
      <c r="BL477" s="165"/>
      <c r="BM477" s="165"/>
      <c r="BN477" s="165"/>
      <c r="BO477" s="165"/>
      <c r="BP477" s="165"/>
      <c r="BQ477" s="165"/>
      <c r="BR477" s="165"/>
      <c r="BS477" s="165"/>
      <c r="BT477" s="165"/>
      <c r="BU477" s="165"/>
      <c r="BV477" s="165"/>
      <c r="BW477" s="165"/>
      <c r="BX477" s="165"/>
      <c r="BY477" s="165"/>
      <c r="BZ477" s="165"/>
      <c r="CA477" s="165"/>
      <c r="CB477" s="217"/>
      <c r="CC477" s="126"/>
      <c r="CD477" s="126"/>
      <c r="CE477" s="143"/>
    </row>
    <row r="478" spans="1:83">
      <c r="A478" s="107"/>
      <c r="B478" s="107"/>
      <c r="C478" s="107"/>
      <c r="D478" s="107"/>
      <c r="E478" s="551"/>
      <c r="F478" s="552"/>
      <c r="G478" s="552"/>
      <c r="H478" s="553"/>
      <c r="I478" s="545"/>
      <c r="J478" s="546"/>
      <c r="K478" s="546"/>
      <c r="L478" s="547"/>
      <c r="M478" s="545"/>
      <c r="N478" s="546"/>
      <c r="O478" s="546"/>
      <c r="P478" s="547"/>
      <c r="Q478" s="545"/>
      <c r="R478" s="546"/>
      <c r="S478" s="546"/>
      <c r="T478" s="547"/>
      <c r="U478" s="545"/>
      <c r="V478" s="546"/>
      <c r="W478" s="546"/>
      <c r="X478" s="547"/>
      <c r="Y478" s="545"/>
      <c r="Z478" s="546"/>
      <c r="AA478" s="546"/>
      <c r="AB478" s="547"/>
      <c r="AC478" s="545"/>
      <c r="AD478" s="546"/>
      <c r="AE478" s="546"/>
      <c r="AF478" s="547"/>
      <c r="AG478" s="545"/>
      <c r="AH478" s="546"/>
      <c r="AI478" s="546"/>
      <c r="AJ478" s="547"/>
      <c r="AK478" s="545"/>
      <c r="AL478" s="546"/>
      <c r="AM478" s="546"/>
      <c r="AN478" s="547"/>
      <c r="AO478" s="545"/>
      <c r="AP478" s="546"/>
      <c r="AQ478" s="546"/>
      <c r="AR478" s="547"/>
      <c r="AS478" s="545"/>
      <c r="AT478" s="546"/>
      <c r="AU478" s="546"/>
      <c r="AV478" s="547"/>
      <c r="AW478" s="545"/>
      <c r="AX478" s="546"/>
      <c r="AY478" s="546"/>
      <c r="AZ478" s="547"/>
      <c r="BG478" s="93"/>
      <c r="BH478" s="93"/>
      <c r="BI478" s="93"/>
      <c r="BJ478" s="217"/>
      <c r="BK478" s="164"/>
      <c r="BL478" s="165"/>
      <c r="BM478" s="165"/>
      <c r="BN478" s="165"/>
      <c r="BO478" s="165"/>
      <c r="BP478" s="165"/>
      <c r="BQ478" s="165"/>
      <c r="BR478" s="165"/>
      <c r="BS478" s="165"/>
      <c r="BT478" s="165"/>
      <c r="BU478" s="165"/>
      <c r="BV478" s="165"/>
      <c r="BW478" s="165"/>
      <c r="BX478" s="165"/>
      <c r="BY478" s="165"/>
      <c r="BZ478" s="165"/>
      <c r="CA478" s="165"/>
      <c r="CB478" s="217"/>
      <c r="CC478" s="126"/>
      <c r="CD478" s="126"/>
      <c r="CE478" s="143"/>
    </row>
    <row r="479" spans="1:83">
      <c r="A479" s="107"/>
      <c r="B479" s="107"/>
      <c r="C479" s="107"/>
      <c r="D479" s="107"/>
      <c r="E479" s="548"/>
      <c r="F479" s="549"/>
      <c r="G479" s="549"/>
      <c r="H479" s="550"/>
      <c r="I479" s="540"/>
      <c r="J479" s="541"/>
      <c r="K479" s="541"/>
      <c r="L479" s="542"/>
      <c r="M479" s="540"/>
      <c r="N479" s="541"/>
      <c r="O479" s="541"/>
      <c r="P479" s="542"/>
      <c r="Q479" s="540"/>
      <c r="R479" s="541"/>
      <c r="S479" s="541"/>
      <c r="T479" s="542"/>
      <c r="U479" s="540"/>
      <c r="V479" s="541"/>
      <c r="W479" s="541"/>
      <c r="X479" s="542"/>
      <c r="Y479" s="540"/>
      <c r="Z479" s="541"/>
      <c r="AA479" s="541"/>
      <c r="AB479" s="542"/>
      <c r="AC479" s="540"/>
      <c r="AD479" s="541"/>
      <c r="AE479" s="541"/>
      <c r="AF479" s="542"/>
      <c r="AG479" s="540"/>
      <c r="AH479" s="541"/>
      <c r="AI479" s="541"/>
      <c r="AJ479" s="542"/>
      <c r="AK479" s="540"/>
      <c r="AL479" s="541"/>
      <c r="AM479" s="541"/>
      <c r="AN479" s="542"/>
      <c r="AO479" s="540"/>
      <c r="AP479" s="541"/>
      <c r="AQ479" s="541"/>
      <c r="AR479" s="542"/>
      <c r="AS479" s="540"/>
      <c r="AT479" s="541"/>
      <c r="AU479" s="541"/>
      <c r="AV479" s="542"/>
      <c r="AW479" s="540"/>
      <c r="AX479" s="541"/>
      <c r="AY479" s="541"/>
      <c r="AZ479" s="542"/>
      <c r="BG479" s="93"/>
      <c r="BH479" s="93"/>
      <c r="BI479" s="93"/>
      <c r="BJ479" s="217"/>
      <c r="BK479" s="164"/>
      <c r="BL479" s="165"/>
      <c r="BM479" s="165"/>
      <c r="BN479" s="165"/>
      <c r="BO479" s="165"/>
      <c r="BP479" s="165"/>
      <c r="BQ479" s="165"/>
      <c r="BR479" s="165"/>
      <c r="BS479" s="165"/>
      <c r="BT479" s="165"/>
      <c r="BU479" s="165"/>
      <c r="BV479" s="165"/>
      <c r="BW479" s="165"/>
      <c r="BX479" s="165"/>
      <c r="BY479" s="165"/>
      <c r="BZ479" s="165"/>
      <c r="CA479" s="165"/>
      <c r="CB479" s="217"/>
      <c r="CC479" s="126"/>
      <c r="CD479" s="126"/>
      <c r="CE479" s="143"/>
    </row>
    <row r="480" spans="1:83">
      <c r="A480" s="107"/>
      <c r="B480" s="107"/>
      <c r="C480" s="107"/>
      <c r="D480" s="107"/>
      <c r="E480" s="551"/>
      <c r="F480" s="552"/>
      <c r="G480" s="552"/>
      <c r="H480" s="553"/>
      <c r="I480" s="545"/>
      <c r="J480" s="546"/>
      <c r="K480" s="546"/>
      <c r="L480" s="547"/>
      <c r="M480" s="545"/>
      <c r="N480" s="546"/>
      <c r="O480" s="546"/>
      <c r="P480" s="547"/>
      <c r="Q480" s="545"/>
      <c r="R480" s="546"/>
      <c r="S480" s="546"/>
      <c r="T480" s="547"/>
      <c r="U480" s="545"/>
      <c r="V480" s="546"/>
      <c r="W480" s="546"/>
      <c r="X480" s="547"/>
      <c r="Y480" s="545"/>
      <c r="Z480" s="546"/>
      <c r="AA480" s="546"/>
      <c r="AB480" s="547"/>
      <c r="AC480" s="545"/>
      <c r="AD480" s="546"/>
      <c r="AE480" s="546"/>
      <c r="AF480" s="547"/>
      <c r="AG480" s="545"/>
      <c r="AH480" s="546"/>
      <c r="AI480" s="546"/>
      <c r="AJ480" s="547"/>
      <c r="AK480" s="545"/>
      <c r="AL480" s="546"/>
      <c r="AM480" s="546"/>
      <c r="AN480" s="547"/>
      <c r="AO480" s="545"/>
      <c r="AP480" s="546"/>
      <c r="AQ480" s="546"/>
      <c r="AR480" s="547"/>
      <c r="AS480" s="545"/>
      <c r="AT480" s="546"/>
      <c r="AU480" s="546"/>
      <c r="AV480" s="547"/>
      <c r="AW480" s="545"/>
      <c r="AX480" s="546"/>
      <c r="AY480" s="546"/>
      <c r="AZ480" s="547"/>
      <c r="BG480" s="93"/>
      <c r="BH480" s="93"/>
      <c r="BI480" s="93"/>
      <c r="BJ480" s="217"/>
      <c r="BK480" s="164"/>
      <c r="BL480" s="165"/>
      <c r="BM480" s="165"/>
      <c r="BN480" s="165"/>
      <c r="BO480" s="165"/>
      <c r="BP480" s="165"/>
      <c r="BQ480" s="165"/>
      <c r="BR480" s="165"/>
      <c r="BS480" s="165"/>
      <c r="BT480" s="165"/>
      <c r="BU480" s="165"/>
      <c r="BV480" s="165"/>
      <c r="BW480" s="165"/>
      <c r="BX480" s="165"/>
      <c r="BY480" s="165"/>
      <c r="BZ480" s="165"/>
      <c r="CA480" s="165"/>
      <c r="CB480" s="217"/>
      <c r="CC480" s="126"/>
      <c r="CD480" s="126"/>
      <c r="CE480" s="143"/>
    </row>
    <row r="481" spans="1:83">
      <c r="A481" s="107"/>
      <c r="B481" s="107"/>
      <c r="C481" s="107"/>
      <c r="D481" s="107"/>
      <c r="E481" s="548"/>
      <c r="F481" s="549"/>
      <c r="G481" s="549"/>
      <c r="H481" s="550"/>
      <c r="I481" s="540"/>
      <c r="J481" s="541"/>
      <c r="K481" s="541"/>
      <c r="L481" s="542"/>
      <c r="M481" s="540"/>
      <c r="N481" s="541"/>
      <c r="O481" s="541"/>
      <c r="P481" s="542"/>
      <c r="Q481" s="540"/>
      <c r="R481" s="541"/>
      <c r="S481" s="541"/>
      <c r="T481" s="542"/>
      <c r="U481" s="540"/>
      <c r="V481" s="541"/>
      <c r="W481" s="541"/>
      <c r="X481" s="542"/>
      <c r="Y481" s="540"/>
      <c r="Z481" s="541"/>
      <c r="AA481" s="541"/>
      <c r="AB481" s="542"/>
      <c r="AC481" s="540"/>
      <c r="AD481" s="541"/>
      <c r="AE481" s="541"/>
      <c r="AF481" s="542"/>
      <c r="AG481" s="540"/>
      <c r="AH481" s="541"/>
      <c r="AI481" s="541"/>
      <c r="AJ481" s="542"/>
      <c r="AK481" s="540"/>
      <c r="AL481" s="541"/>
      <c r="AM481" s="541"/>
      <c r="AN481" s="542"/>
      <c r="AO481" s="540"/>
      <c r="AP481" s="541"/>
      <c r="AQ481" s="541"/>
      <c r="AR481" s="542"/>
      <c r="AS481" s="540"/>
      <c r="AT481" s="541"/>
      <c r="AU481" s="541"/>
      <c r="AV481" s="542"/>
      <c r="AW481" s="540"/>
      <c r="AX481" s="541"/>
      <c r="AY481" s="541"/>
      <c r="AZ481" s="542"/>
      <c r="BG481" s="93"/>
      <c r="BH481" s="93"/>
      <c r="BI481" s="93"/>
      <c r="BJ481" s="217"/>
      <c r="BK481" s="164"/>
      <c r="BL481" s="165"/>
      <c r="BM481" s="165"/>
      <c r="BN481" s="165"/>
      <c r="BO481" s="165"/>
      <c r="BP481" s="165"/>
      <c r="BQ481" s="165"/>
      <c r="BR481" s="165"/>
      <c r="BS481" s="165"/>
      <c r="BT481" s="165"/>
      <c r="BU481" s="165"/>
      <c r="BV481" s="165"/>
      <c r="BW481" s="165"/>
      <c r="BX481" s="165"/>
      <c r="BY481" s="165"/>
      <c r="BZ481" s="165"/>
      <c r="CA481" s="165"/>
      <c r="CB481" s="217"/>
      <c r="CC481" s="126"/>
      <c r="CD481" s="126"/>
      <c r="CE481" s="143"/>
    </row>
    <row r="482" spans="1:83">
      <c r="A482" s="107"/>
      <c r="B482" s="107"/>
      <c r="C482" s="107"/>
      <c r="D482" s="107"/>
      <c r="E482" s="551"/>
      <c r="F482" s="552"/>
      <c r="G482" s="552"/>
      <c r="H482" s="553"/>
      <c r="I482" s="545"/>
      <c r="J482" s="546"/>
      <c r="K482" s="546"/>
      <c r="L482" s="547"/>
      <c r="M482" s="545"/>
      <c r="N482" s="546"/>
      <c r="O482" s="546"/>
      <c r="P482" s="547"/>
      <c r="Q482" s="545"/>
      <c r="R482" s="546"/>
      <c r="S482" s="546"/>
      <c r="T482" s="547"/>
      <c r="U482" s="545"/>
      <c r="V482" s="546"/>
      <c r="W482" s="546"/>
      <c r="X482" s="547"/>
      <c r="Y482" s="545"/>
      <c r="Z482" s="546"/>
      <c r="AA482" s="546"/>
      <c r="AB482" s="547"/>
      <c r="AC482" s="545"/>
      <c r="AD482" s="546"/>
      <c r="AE482" s="546"/>
      <c r="AF482" s="547"/>
      <c r="AG482" s="545"/>
      <c r="AH482" s="546"/>
      <c r="AI482" s="546"/>
      <c r="AJ482" s="547"/>
      <c r="AK482" s="545"/>
      <c r="AL482" s="546"/>
      <c r="AM482" s="546"/>
      <c r="AN482" s="547"/>
      <c r="AO482" s="545"/>
      <c r="AP482" s="546"/>
      <c r="AQ482" s="546"/>
      <c r="AR482" s="547"/>
      <c r="AS482" s="545"/>
      <c r="AT482" s="546"/>
      <c r="AU482" s="546"/>
      <c r="AV482" s="547"/>
      <c r="AW482" s="545"/>
      <c r="AX482" s="546"/>
      <c r="AY482" s="546"/>
      <c r="AZ482" s="547"/>
      <c r="BG482" s="93"/>
      <c r="BH482" s="93"/>
      <c r="BI482" s="93"/>
      <c r="BJ482" s="217"/>
      <c r="BK482" s="164"/>
      <c r="BL482" s="165"/>
      <c r="BM482" s="165"/>
      <c r="BN482" s="165"/>
      <c r="BO482" s="165"/>
      <c r="BP482" s="165"/>
      <c r="BQ482" s="165"/>
      <c r="BR482" s="165"/>
      <c r="BS482" s="165"/>
      <c r="BT482" s="165"/>
      <c r="BU482" s="165"/>
      <c r="BV482" s="165"/>
      <c r="BW482" s="165"/>
      <c r="BX482" s="165"/>
      <c r="BY482" s="165"/>
      <c r="BZ482" s="165"/>
      <c r="CA482" s="165"/>
      <c r="CB482" s="217"/>
      <c r="CC482" s="126"/>
      <c r="CD482" s="126"/>
      <c r="CE482" s="143"/>
    </row>
    <row r="483" spans="1:83">
      <c r="A483" s="107"/>
      <c r="B483" s="107"/>
      <c r="C483" s="107"/>
      <c r="D483" s="107"/>
      <c r="E483" s="548"/>
      <c r="F483" s="549"/>
      <c r="G483" s="549"/>
      <c r="H483" s="550"/>
      <c r="I483" s="540"/>
      <c r="J483" s="541"/>
      <c r="K483" s="541"/>
      <c r="L483" s="542"/>
      <c r="M483" s="540"/>
      <c r="N483" s="541"/>
      <c r="O483" s="541"/>
      <c r="P483" s="542"/>
      <c r="Q483" s="540"/>
      <c r="R483" s="541"/>
      <c r="S483" s="541"/>
      <c r="T483" s="542"/>
      <c r="U483" s="540"/>
      <c r="V483" s="541"/>
      <c r="W483" s="541"/>
      <c r="X483" s="542"/>
      <c r="Y483" s="540"/>
      <c r="Z483" s="541"/>
      <c r="AA483" s="541"/>
      <c r="AB483" s="542"/>
      <c r="AC483" s="540"/>
      <c r="AD483" s="541"/>
      <c r="AE483" s="541"/>
      <c r="AF483" s="542"/>
      <c r="AG483" s="540"/>
      <c r="AH483" s="541"/>
      <c r="AI483" s="541"/>
      <c r="AJ483" s="542"/>
      <c r="AK483" s="540"/>
      <c r="AL483" s="541"/>
      <c r="AM483" s="541"/>
      <c r="AN483" s="542"/>
      <c r="AO483" s="540"/>
      <c r="AP483" s="541"/>
      <c r="AQ483" s="541"/>
      <c r="AR483" s="542"/>
      <c r="AS483" s="540"/>
      <c r="AT483" s="541"/>
      <c r="AU483" s="541"/>
      <c r="AV483" s="542"/>
      <c r="AW483" s="540"/>
      <c r="AX483" s="541"/>
      <c r="AY483" s="541"/>
      <c r="AZ483" s="542"/>
      <c r="BG483" s="93"/>
      <c r="BH483" s="93"/>
      <c r="BI483" s="93"/>
      <c r="BJ483" s="217"/>
      <c r="BK483" s="164"/>
      <c r="BL483" s="165"/>
      <c r="BM483" s="165"/>
      <c r="BN483" s="165"/>
      <c r="BO483" s="165"/>
      <c r="BP483" s="165"/>
      <c r="BQ483" s="165"/>
      <c r="BR483" s="165"/>
      <c r="BS483" s="165"/>
      <c r="BT483" s="165"/>
      <c r="BU483" s="165"/>
      <c r="BV483" s="165"/>
      <c r="BW483" s="165"/>
      <c r="BX483" s="165"/>
      <c r="BY483" s="165"/>
      <c r="BZ483" s="165"/>
      <c r="CA483" s="165"/>
      <c r="CB483" s="217"/>
      <c r="CC483" s="126"/>
      <c r="CD483" s="126"/>
      <c r="CE483" s="143"/>
    </row>
    <row r="484" spans="1:83">
      <c r="A484" s="107"/>
      <c r="B484" s="107"/>
      <c r="C484" s="107"/>
      <c r="D484" s="107"/>
      <c r="E484" s="551"/>
      <c r="F484" s="552"/>
      <c r="G484" s="552"/>
      <c r="H484" s="553"/>
      <c r="I484" s="545"/>
      <c r="J484" s="546"/>
      <c r="K484" s="546"/>
      <c r="L484" s="547"/>
      <c r="M484" s="545"/>
      <c r="N484" s="546"/>
      <c r="O484" s="546"/>
      <c r="P484" s="547"/>
      <c r="Q484" s="545"/>
      <c r="R484" s="546"/>
      <c r="S484" s="546"/>
      <c r="T484" s="547"/>
      <c r="U484" s="545"/>
      <c r="V484" s="546"/>
      <c r="W484" s="546"/>
      <c r="X484" s="547"/>
      <c r="Y484" s="545"/>
      <c r="Z484" s="546"/>
      <c r="AA484" s="546"/>
      <c r="AB484" s="547"/>
      <c r="AC484" s="545"/>
      <c r="AD484" s="546"/>
      <c r="AE484" s="546"/>
      <c r="AF484" s="547"/>
      <c r="AG484" s="545"/>
      <c r="AH484" s="546"/>
      <c r="AI484" s="546"/>
      <c r="AJ484" s="547"/>
      <c r="AK484" s="545"/>
      <c r="AL484" s="546"/>
      <c r="AM484" s="546"/>
      <c r="AN484" s="547"/>
      <c r="AO484" s="545"/>
      <c r="AP484" s="546"/>
      <c r="AQ484" s="546"/>
      <c r="AR484" s="547"/>
      <c r="AS484" s="545"/>
      <c r="AT484" s="546"/>
      <c r="AU484" s="546"/>
      <c r="AV484" s="547"/>
      <c r="AW484" s="545"/>
      <c r="AX484" s="546"/>
      <c r="AY484" s="546"/>
      <c r="AZ484" s="547"/>
      <c r="BG484" s="93"/>
      <c r="BH484" s="93"/>
      <c r="BI484" s="93"/>
      <c r="BJ484" s="217"/>
      <c r="BK484" s="164"/>
      <c r="BL484" s="165"/>
      <c r="BM484" s="165"/>
      <c r="BN484" s="165"/>
      <c r="BO484" s="165"/>
      <c r="BP484" s="165"/>
      <c r="BQ484" s="165"/>
      <c r="BR484" s="165"/>
      <c r="BS484" s="165"/>
      <c r="BT484" s="165"/>
      <c r="BU484" s="165"/>
      <c r="BV484" s="165"/>
      <c r="BW484" s="165"/>
      <c r="BX484" s="165"/>
      <c r="BY484" s="165"/>
      <c r="BZ484" s="165"/>
      <c r="CA484" s="165"/>
      <c r="CB484" s="217"/>
      <c r="CC484" s="126"/>
      <c r="CD484" s="126"/>
      <c r="CE484" s="143"/>
    </row>
    <row r="485" spans="1:83">
      <c r="A485" s="107"/>
      <c r="B485" s="107"/>
      <c r="C485" s="107"/>
      <c r="D485" s="107"/>
      <c r="E485" s="548"/>
      <c r="F485" s="549"/>
      <c r="G485" s="549"/>
      <c r="H485" s="550"/>
      <c r="I485" s="540"/>
      <c r="J485" s="541"/>
      <c r="K485" s="541"/>
      <c r="L485" s="542"/>
      <c r="M485" s="540"/>
      <c r="N485" s="541"/>
      <c r="O485" s="541"/>
      <c r="P485" s="542"/>
      <c r="Q485" s="540"/>
      <c r="R485" s="541"/>
      <c r="S485" s="541"/>
      <c r="T485" s="542"/>
      <c r="U485" s="540"/>
      <c r="V485" s="541"/>
      <c r="W485" s="541"/>
      <c r="X485" s="542"/>
      <c r="Y485" s="540"/>
      <c r="Z485" s="541"/>
      <c r="AA485" s="541"/>
      <c r="AB485" s="542"/>
      <c r="AC485" s="540"/>
      <c r="AD485" s="541"/>
      <c r="AE485" s="541"/>
      <c r="AF485" s="542"/>
      <c r="AG485" s="540"/>
      <c r="AH485" s="541"/>
      <c r="AI485" s="541"/>
      <c r="AJ485" s="542"/>
      <c r="AK485" s="540"/>
      <c r="AL485" s="541"/>
      <c r="AM485" s="541"/>
      <c r="AN485" s="542"/>
      <c r="AO485" s="540"/>
      <c r="AP485" s="541"/>
      <c r="AQ485" s="541"/>
      <c r="AR485" s="542"/>
      <c r="AS485" s="540"/>
      <c r="AT485" s="541"/>
      <c r="AU485" s="541"/>
      <c r="AV485" s="542"/>
      <c r="AW485" s="540"/>
      <c r="AX485" s="541"/>
      <c r="AY485" s="541"/>
      <c r="AZ485" s="542"/>
      <c r="BG485" s="93"/>
      <c r="BH485" s="93"/>
      <c r="BI485" s="93"/>
      <c r="BJ485" s="217"/>
      <c r="BK485" s="164"/>
      <c r="BL485" s="165"/>
      <c r="BM485" s="165"/>
      <c r="BN485" s="165"/>
      <c r="BO485" s="165"/>
      <c r="BP485" s="165"/>
      <c r="BQ485" s="165"/>
      <c r="BR485" s="165"/>
      <c r="BS485" s="165"/>
      <c r="BT485" s="165"/>
      <c r="BU485" s="165"/>
      <c r="BV485" s="165"/>
      <c r="BW485" s="165"/>
      <c r="BX485" s="165"/>
      <c r="BY485" s="165"/>
      <c r="BZ485" s="165"/>
      <c r="CA485" s="165"/>
      <c r="CB485" s="217"/>
      <c r="CC485" s="126"/>
      <c r="CD485" s="126"/>
      <c r="CE485" s="143"/>
    </row>
    <row r="486" spans="1:83">
      <c r="A486" s="107"/>
      <c r="B486" s="107"/>
      <c r="C486" s="107"/>
      <c r="D486" s="107"/>
      <c r="E486" s="551"/>
      <c r="F486" s="552"/>
      <c r="G486" s="552"/>
      <c r="H486" s="553"/>
      <c r="I486" s="545"/>
      <c r="J486" s="546"/>
      <c r="K486" s="546"/>
      <c r="L486" s="547"/>
      <c r="M486" s="545"/>
      <c r="N486" s="546"/>
      <c r="O486" s="546"/>
      <c r="P486" s="547"/>
      <c r="Q486" s="545"/>
      <c r="R486" s="546"/>
      <c r="S486" s="546"/>
      <c r="T486" s="547"/>
      <c r="U486" s="545"/>
      <c r="V486" s="546"/>
      <c r="W486" s="546"/>
      <c r="X486" s="547"/>
      <c r="Y486" s="545"/>
      <c r="Z486" s="546"/>
      <c r="AA486" s="546"/>
      <c r="AB486" s="547"/>
      <c r="AC486" s="545"/>
      <c r="AD486" s="546"/>
      <c r="AE486" s="546"/>
      <c r="AF486" s="547"/>
      <c r="AG486" s="545"/>
      <c r="AH486" s="546"/>
      <c r="AI486" s="546"/>
      <c r="AJ486" s="547"/>
      <c r="AK486" s="545"/>
      <c r="AL486" s="546"/>
      <c r="AM486" s="546"/>
      <c r="AN486" s="547"/>
      <c r="AO486" s="545"/>
      <c r="AP486" s="546"/>
      <c r="AQ486" s="546"/>
      <c r="AR486" s="547"/>
      <c r="AS486" s="545"/>
      <c r="AT486" s="546"/>
      <c r="AU486" s="546"/>
      <c r="AV486" s="547"/>
      <c r="AW486" s="545"/>
      <c r="AX486" s="546"/>
      <c r="AY486" s="546"/>
      <c r="AZ486" s="547"/>
      <c r="BG486" s="93"/>
      <c r="BH486" s="93"/>
      <c r="BI486" s="93"/>
      <c r="BJ486" s="217"/>
      <c r="BK486" s="164"/>
      <c r="BL486" s="165"/>
      <c r="BM486" s="165"/>
      <c r="BN486" s="165"/>
      <c r="BO486" s="165"/>
      <c r="BP486" s="165"/>
      <c r="BQ486" s="165"/>
      <c r="BR486" s="165"/>
      <c r="BS486" s="165"/>
      <c r="BT486" s="165"/>
      <c r="BU486" s="165"/>
      <c r="BV486" s="165"/>
      <c r="BW486" s="165"/>
      <c r="BX486" s="165"/>
      <c r="BY486" s="165"/>
      <c r="BZ486" s="165"/>
      <c r="CA486" s="165"/>
      <c r="CB486" s="217"/>
      <c r="CC486" s="126"/>
      <c r="CD486" s="126"/>
      <c r="CE486" s="143"/>
    </row>
    <row r="487" spans="1:83">
      <c r="A487" s="107"/>
      <c r="B487" s="107"/>
      <c r="C487" s="107"/>
      <c r="D487" s="107"/>
      <c r="E487" s="548"/>
      <c r="F487" s="549"/>
      <c r="G487" s="549"/>
      <c r="H487" s="550"/>
      <c r="I487" s="540"/>
      <c r="J487" s="541"/>
      <c r="K487" s="541"/>
      <c r="L487" s="542"/>
      <c r="M487" s="540"/>
      <c r="N487" s="541"/>
      <c r="O487" s="541"/>
      <c r="P487" s="542"/>
      <c r="Q487" s="540"/>
      <c r="R487" s="541"/>
      <c r="S487" s="541"/>
      <c r="T487" s="542"/>
      <c r="U487" s="540"/>
      <c r="V487" s="541"/>
      <c r="W487" s="541"/>
      <c r="X487" s="542"/>
      <c r="Y487" s="540"/>
      <c r="Z487" s="541"/>
      <c r="AA487" s="541"/>
      <c r="AB487" s="542"/>
      <c r="AC487" s="540"/>
      <c r="AD487" s="541"/>
      <c r="AE487" s="541"/>
      <c r="AF487" s="542"/>
      <c r="AG487" s="540"/>
      <c r="AH487" s="541"/>
      <c r="AI487" s="541"/>
      <c r="AJ487" s="542"/>
      <c r="AK487" s="540"/>
      <c r="AL487" s="541"/>
      <c r="AM487" s="541"/>
      <c r="AN487" s="542"/>
      <c r="AO487" s="540"/>
      <c r="AP487" s="541"/>
      <c r="AQ487" s="541"/>
      <c r="AR487" s="542"/>
      <c r="AS487" s="540"/>
      <c r="AT487" s="541"/>
      <c r="AU487" s="541"/>
      <c r="AV487" s="542"/>
      <c r="AW487" s="540"/>
      <c r="AX487" s="541"/>
      <c r="AY487" s="541"/>
      <c r="AZ487" s="542"/>
      <c r="BG487" s="93"/>
      <c r="BH487" s="93"/>
      <c r="BI487" s="93"/>
      <c r="BJ487" s="217"/>
      <c r="BK487" s="164"/>
      <c r="BL487" s="165"/>
      <c r="BM487" s="165"/>
      <c r="BN487" s="165"/>
      <c r="BO487" s="165"/>
      <c r="BP487" s="165"/>
      <c r="BQ487" s="165"/>
      <c r="BR487" s="165"/>
      <c r="BS487" s="165"/>
      <c r="BT487" s="165"/>
      <c r="BU487" s="165"/>
      <c r="BV487" s="165"/>
      <c r="BW487" s="165"/>
      <c r="BX487" s="165"/>
      <c r="BY487" s="165"/>
      <c r="BZ487" s="165"/>
      <c r="CA487" s="165"/>
      <c r="CB487" s="217"/>
      <c r="CC487" s="126"/>
      <c r="CD487" s="126"/>
      <c r="CE487" s="143"/>
    </row>
    <row r="488" spans="1:83">
      <c r="A488" s="107"/>
      <c r="B488" s="107"/>
      <c r="C488" s="107"/>
      <c r="D488" s="107"/>
      <c r="E488" s="551"/>
      <c r="F488" s="552"/>
      <c r="G488" s="552"/>
      <c r="H488" s="553"/>
      <c r="I488" s="545"/>
      <c r="J488" s="546"/>
      <c r="K488" s="546"/>
      <c r="L488" s="547"/>
      <c r="M488" s="545"/>
      <c r="N488" s="546"/>
      <c r="O488" s="546"/>
      <c r="P488" s="547"/>
      <c r="Q488" s="545"/>
      <c r="R488" s="546"/>
      <c r="S488" s="546"/>
      <c r="T488" s="547"/>
      <c r="U488" s="545"/>
      <c r="V488" s="546"/>
      <c r="W488" s="546"/>
      <c r="X488" s="547"/>
      <c r="Y488" s="545"/>
      <c r="Z488" s="546"/>
      <c r="AA488" s="546"/>
      <c r="AB488" s="547"/>
      <c r="AC488" s="545"/>
      <c r="AD488" s="546"/>
      <c r="AE488" s="546"/>
      <c r="AF488" s="547"/>
      <c r="AG488" s="545"/>
      <c r="AH488" s="546"/>
      <c r="AI488" s="546"/>
      <c r="AJ488" s="547"/>
      <c r="AK488" s="545"/>
      <c r="AL488" s="546"/>
      <c r="AM488" s="546"/>
      <c r="AN488" s="547"/>
      <c r="AO488" s="545"/>
      <c r="AP488" s="546"/>
      <c r="AQ488" s="546"/>
      <c r="AR488" s="547"/>
      <c r="AS488" s="545"/>
      <c r="AT488" s="546"/>
      <c r="AU488" s="546"/>
      <c r="AV488" s="547"/>
      <c r="AW488" s="545"/>
      <c r="AX488" s="546"/>
      <c r="AY488" s="546"/>
      <c r="AZ488" s="547"/>
      <c r="BG488" s="93"/>
      <c r="BH488" s="93"/>
      <c r="BI488" s="93"/>
      <c r="BJ488" s="217"/>
      <c r="BK488" s="164"/>
      <c r="BL488" s="165"/>
      <c r="BM488" s="165"/>
      <c r="BN488" s="165"/>
      <c r="BO488" s="165"/>
      <c r="BP488" s="165"/>
      <c r="BQ488" s="165"/>
      <c r="BR488" s="165"/>
      <c r="BS488" s="165"/>
      <c r="BT488" s="165"/>
      <c r="BU488" s="165"/>
      <c r="BV488" s="165"/>
      <c r="BW488" s="165"/>
      <c r="BX488" s="165"/>
      <c r="BY488" s="165"/>
      <c r="BZ488" s="165"/>
      <c r="CA488" s="165"/>
      <c r="CB488" s="217"/>
      <c r="CC488" s="126"/>
      <c r="CD488" s="126"/>
      <c r="CE488" s="143"/>
    </row>
    <row r="489" spans="1:83">
      <c r="A489" s="107"/>
      <c r="B489" s="107"/>
      <c r="C489" s="107"/>
      <c r="D489" s="107"/>
      <c r="E489" s="548"/>
      <c r="F489" s="549"/>
      <c r="G489" s="549"/>
      <c r="H489" s="550"/>
      <c r="I489" s="540"/>
      <c r="J489" s="541"/>
      <c r="K489" s="541"/>
      <c r="L489" s="542"/>
      <c r="M489" s="540"/>
      <c r="N489" s="541"/>
      <c r="O489" s="541"/>
      <c r="P489" s="542"/>
      <c r="Q489" s="540"/>
      <c r="R489" s="541"/>
      <c r="S489" s="541"/>
      <c r="T489" s="542"/>
      <c r="U489" s="540"/>
      <c r="V489" s="541"/>
      <c r="W489" s="541"/>
      <c r="X489" s="542"/>
      <c r="Y489" s="540"/>
      <c r="Z489" s="541"/>
      <c r="AA489" s="541"/>
      <c r="AB489" s="542"/>
      <c r="AC489" s="540"/>
      <c r="AD489" s="541"/>
      <c r="AE489" s="541"/>
      <c r="AF489" s="542"/>
      <c r="AG489" s="540"/>
      <c r="AH489" s="541"/>
      <c r="AI489" s="541"/>
      <c r="AJ489" s="542"/>
      <c r="AK489" s="540"/>
      <c r="AL489" s="541"/>
      <c r="AM489" s="541"/>
      <c r="AN489" s="542"/>
      <c r="AO489" s="540"/>
      <c r="AP489" s="541"/>
      <c r="AQ489" s="541"/>
      <c r="AR489" s="542"/>
      <c r="AS489" s="540"/>
      <c r="AT489" s="541"/>
      <c r="AU489" s="541"/>
      <c r="AV489" s="542"/>
      <c r="AW489" s="540"/>
      <c r="AX489" s="541"/>
      <c r="AY489" s="541"/>
      <c r="AZ489" s="542"/>
      <c r="BG489" s="93"/>
      <c r="BH489" s="93"/>
      <c r="BI489" s="93"/>
      <c r="BJ489" s="217"/>
      <c r="BK489" s="164"/>
      <c r="BL489" s="165"/>
      <c r="BM489" s="165"/>
      <c r="BN489" s="165"/>
      <c r="BO489" s="165"/>
      <c r="BP489" s="165"/>
      <c r="BQ489" s="165"/>
      <c r="BR489" s="165"/>
      <c r="BS489" s="165"/>
      <c r="BT489" s="165"/>
      <c r="BU489" s="165"/>
      <c r="BV489" s="165"/>
      <c r="BW489" s="165"/>
      <c r="BX489" s="165"/>
      <c r="BY489" s="165"/>
      <c r="BZ489" s="165"/>
      <c r="CA489" s="165"/>
      <c r="CB489" s="217"/>
      <c r="CC489" s="126"/>
      <c r="CD489" s="126"/>
      <c r="CE489" s="143"/>
    </row>
    <row r="490" spans="1:83">
      <c r="A490" s="107"/>
      <c r="B490" s="107"/>
      <c r="C490" s="107"/>
      <c r="D490" s="107"/>
      <c r="E490" s="551"/>
      <c r="F490" s="552"/>
      <c r="G490" s="552"/>
      <c r="H490" s="553"/>
      <c r="I490" s="545"/>
      <c r="J490" s="546"/>
      <c r="K490" s="546"/>
      <c r="L490" s="547"/>
      <c r="M490" s="545"/>
      <c r="N490" s="546"/>
      <c r="O490" s="546"/>
      <c r="P490" s="547"/>
      <c r="Q490" s="545"/>
      <c r="R490" s="546"/>
      <c r="S490" s="546"/>
      <c r="T490" s="547"/>
      <c r="U490" s="545"/>
      <c r="V490" s="546"/>
      <c r="W490" s="546"/>
      <c r="X490" s="547"/>
      <c r="Y490" s="545"/>
      <c r="Z490" s="546"/>
      <c r="AA490" s="546"/>
      <c r="AB490" s="547"/>
      <c r="AC490" s="545"/>
      <c r="AD490" s="546"/>
      <c r="AE490" s="546"/>
      <c r="AF490" s="547"/>
      <c r="AG490" s="545"/>
      <c r="AH490" s="546"/>
      <c r="AI490" s="546"/>
      <c r="AJ490" s="547"/>
      <c r="AK490" s="545"/>
      <c r="AL490" s="546"/>
      <c r="AM490" s="546"/>
      <c r="AN490" s="547"/>
      <c r="AO490" s="545"/>
      <c r="AP490" s="546"/>
      <c r="AQ490" s="546"/>
      <c r="AR490" s="547"/>
      <c r="AS490" s="545"/>
      <c r="AT490" s="546"/>
      <c r="AU490" s="546"/>
      <c r="AV490" s="547"/>
      <c r="AW490" s="545"/>
      <c r="AX490" s="546"/>
      <c r="AY490" s="546"/>
      <c r="AZ490" s="547"/>
      <c r="BG490" s="93"/>
      <c r="BH490" s="93"/>
      <c r="BI490" s="93"/>
      <c r="BJ490" s="217"/>
      <c r="BK490" s="164"/>
      <c r="BL490" s="165"/>
      <c r="BM490" s="165"/>
      <c r="BN490" s="165"/>
      <c r="BO490" s="165"/>
      <c r="BP490" s="165"/>
      <c r="BQ490" s="165"/>
      <c r="BR490" s="165"/>
      <c r="BS490" s="165"/>
      <c r="BT490" s="165"/>
      <c r="BU490" s="165"/>
      <c r="BV490" s="165"/>
      <c r="BW490" s="165"/>
      <c r="BX490" s="165"/>
      <c r="BY490" s="165"/>
      <c r="BZ490" s="165"/>
      <c r="CA490" s="165"/>
      <c r="CB490" s="217"/>
      <c r="CC490" s="126"/>
      <c r="CD490" s="126"/>
      <c r="CE490" s="143"/>
    </row>
    <row r="491" spans="1:83">
      <c r="A491" s="107"/>
      <c r="B491" s="107"/>
      <c r="C491" s="107"/>
      <c r="D491" s="107"/>
      <c r="E491" s="548"/>
      <c r="F491" s="549"/>
      <c r="G491" s="549"/>
      <c r="H491" s="550"/>
      <c r="I491" s="540"/>
      <c r="J491" s="541"/>
      <c r="K491" s="541"/>
      <c r="L491" s="542"/>
      <c r="M491" s="540"/>
      <c r="N491" s="541"/>
      <c r="O491" s="541"/>
      <c r="P491" s="542"/>
      <c r="Q491" s="540"/>
      <c r="R491" s="541"/>
      <c r="S491" s="541"/>
      <c r="T491" s="542"/>
      <c r="U491" s="540"/>
      <c r="V491" s="541"/>
      <c r="W491" s="541"/>
      <c r="X491" s="542"/>
      <c r="Y491" s="540"/>
      <c r="Z491" s="541"/>
      <c r="AA491" s="541"/>
      <c r="AB491" s="542"/>
      <c r="AC491" s="540"/>
      <c r="AD491" s="541"/>
      <c r="AE491" s="541"/>
      <c r="AF491" s="542"/>
      <c r="AG491" s="540"/>
      <c r="AH491" s="541"/>
      <c r="AI491" s="541"/>
      <c r="AJ491" s="542"/>
      <c r="AK491" s="540"/>
      <c r="AL491" s="541"/>
      <c r="AM491" s="541"/>
      <c r="AN491" s="542"/>
      <c r="AO491" s="540"/>
      <c r="AP491" s="541"/>
      <c r="AQ491" s="541"/>
      <c r="AR491" s="542"/>
      <c r="AS491" s="540"/>
      <c r="AT491" s="541"/>
      <c r="AU491" s="541"/>
      <c r="AV491" s="542"/>
      <c r="AW491" s="540"/>
      <c r="AX491" s="541"/>
      <c r="AY491" s="541"/>
      <c r="AZ491" s="542"/>
      <c r="BG491" s="93"/>
      <c r="BH491" s="93"/>
      <c r="BI491" s="93"/>
      <c r="BJ491" s="217"/>
      <c r="BK491" s="164"/>
      <c r="BL491" s="165"/>
      <c r="BM491" s="165"/>
      <c r="BN491" s="165"/>
      <c r="BO491" s="165"/>
      <c r="BP491" s="165"/>
      <c r="BQ491" s="165"/>
      <c r="BR491" s="165"/>
      <c r="BS491" s="165"/>
      <c r="BT491" s="165"/>
      <c r="BU491" s="165"/>
      <c r="BV491" s="165"/>
      <c r="BW491" s="165"/>
      <c r="BX491" s="165"/>
      <c r="BY491" s="165"/>
      <c r="BZ491" s="165"/>
      <c r="CA491" s="165"/>
      <c r="CB491" s="217"/>
      <c r="CC491" s="126"/>
      <c r="CD491" s="126"/>
      <c r="CE491" s="143"/>
    </row>
    <row r="492" spans="1:83">
      <c r="A492" s="107"/>
      <c r="B492" s="107"/>
      <c r="C492" s="107"/>
      <c r="D492" s="107"/>
      <c r="E492" s="551"/>
      <c r="F492" s="552"/>
      <c r="G492" s="552"/>
      <c r="H492" s="553"/>
      <c r="I492" s="545"/>
      <c r="J492" s="546"/>
      <c r="K492" s="546"/>
      <c r="L492" s="547"/>
      <c r="M492" s="545"/>
      <c r="N492" s="546"/>
      <c r="O492" s="546"/>
      <c r="P492" s="547"/>
      <c r="Q492" s="545"/>
      <c r="R492" s="546"/>
      <c r="S492" s="546"/>
      <c r="T492" s="547"/>
      <c r="U492" s="545"/>
      <c r="V492" s="546"/>
      <c r="W492" s="546"/>
      <c r="X492" s="547"/>
      <c r="Y492" s="545"/>
      <c r="Z492" s="546"/>
      <c r="AA492" s="546"/>
      <c r="AB492" s="547"/>
      <c r="AC492" s="545"/>
      <c r="AD492" s="546"/>
      <c r="AE492" s="546"/>
      <c r="AF492" s="547"/>
      <c r="AG492" s="545"/>
      <c r="AH492" s="546"/>
      <c r="AI492" s="546"/>
      <c r="AJ492" s="547"/>
      <c r="AK492" s="545"/>
      <c r="AL492" s="546"/>
      <c r="AM492" s="546"/>
      <c r="AN492" s="547"/>
      <c r="AO492" s="545"/>
      <c r="AP492" s="546"/>
      <c r="AQ492" s="546"/>
      <c r="AR492" s="547"/>
      <c r="AS492" s="545"/>
      <c r="AT492" s="546"/>
      <c r="AU492" s="546"/>
      <c r="AV492" s="547"/>
      <c r="AW492" s="545"/>
      <c r="AX492" s="546"/>
      <c r="AY492" s="546"/>
      <c r="AZ492" s="547"/>
      <c r="BG492" s="93"/>
      <c r="BH492" s="93"/>
      <c r="BI492" s="93"/>
      <c r="BJ492" s="217"/>
      <c r="BK492" s="164"/>
      <c r="BL492" s="165"/>
      <c r="BM492" s="165"/>
      <c r="BN492" s="165"/>
      <c r="BO492" s="165"/>
      <c r="BP492" s="165"/>
      <c r="BQ492" s="165"/>
      <c r="BR492" s="165"/>
      <c r="BS492" s="165"/>
      <c r="BT492" s="165"/>
      <c r="BU492" s="165"/>
      <c r="BV492" s="165"/>
      <c r="BW492" s="165"/>
      <c r="BX492" s="165"/>
      <c r="BY492" s="165"/>
      <c r="BZ492" s="165"/>
      <c r="CA492" s="165"/>
      <c r="CB492" s="217"/>
      <c r="CC492" s="126"/>
      <c r="CD492" s="126"/>
      <c r="CE492" s="143"/>
    </row>
    <row r="493" spans="1:83">
      <c r="A493" s="107"/>
      <c r="B493" s="107"/>
      <c r="C493" s="107"/>
      <c r="D493" s="107"/>
      <c r="E493" s="548"/>
      <c r="F493" s="549"/>
      <c r="G493" s="549"/>
      <c r="H493" s="550"/>
      <c r="I493" s="540"/>
      <c r="J493" s="541"/>
      <c r="K493" s="541"/>
      <c r="L493" s="542"/>
      <c r="M493" s="540"/>
      <c r="N493" s="541"/>
      <c r="O493" s="541"/>
      <c r="P493" s="542"/>
      <c r="Q493" s="540"/>
      <c r="R493" s="541"/>
      <c r="S493" s="541"/>
      <c r="T493" s="542"/>
      <c r="U493" s="540"/>
      <c r="V493" s="541"/>
      <c r="W493" s="541"/>
      <c r="X493" s="542"/>
      <c r="Y493" s="540"/>
      <c r="Z493" s="541"/>
      <c r="AA493" s="541"/>
      <c r="AB493" s="542"/>
      <c r="AC493" s="540"/>
      <c r="AD493" s="541"/>
      <c r="AE493" s="541"/>
      <c r="AF493" s="542"/>
      <c r="AG493" s="540"/>
      <c r="AH493" s="541"/>
      <c r="AI493" s="541"/>
      <c r="AJ493" s="542"/>
      <c r="AK493" s="540"/>
      <c r="AL493" s="541"/>
      <c r="AM493" s="541"/>
      <c r="AN493" s="542"/>
      <c r="AO493" s="540"/>
      <c r="AP493" s="541"/>
      <c r="AQ493" s="541"/>
      <c r="AR493" s="542"/>
      <c r="AS493" s="540"/>
      <c r="AT493" s="541"/>
      <c r="AU493" s="541"/>
      <c r="AV493" s="542"/>
      <c r="AW493" s="540"/>
      <c r="AX493" s="541"/>
      <c r="AY493" s="541"/>
      <c r="AZ493" s="542"/>
      <c r="BG493" s="93"/>
      <c r="BH493" s="93"/>
      <c r="BI493" s="93"/>
      <c r="BJ493" s="217"/>
      <c r="BK493" s="164"/>
      <c r="BL493" s="165"/>
      <c r="BM493" s="165"/>
      <c r="BN493" s="165"/>
      <c r="BO493" s="165"/>
      <c r="BP493" s="165"/>
      <c r="BQ493" s="165"/>
      <c r="BR493" s="165"/>
      <c r="BS493" s="165"/>
      <c r="BT493" s="165"/>
      <c r="BU493" s="165"/>
      <c r="BV493" s="165"/>
      <c r="BW493" s="165"/>
      <c r="BX493" s="165"/>
      <c r="BY493" s="165"/>
      <c r="BZ493" s="165"/>
      <c r="CA493" s="165"/>
      <c r="CB493" s="217"/>
      <c r="CC493" s="126"/>
      <c r="CD493" s="126"/>
      <c r="CE493" s="143"/>
    </row>
    <row r="494" spans="1:83">
      <c r="A494" s="107"/>
      <c r="B494" s="107"/>
      <c r="C494" s="107"/>
      <c r="D494" s="107"/>
      <c r="E494" s="551"/>
      <c r="F494" s="552"/>
      <c r="G494" s="552"/>
      <c r="H494" s="553"/>
      <c r="I494" s="545"/>
      <c r="J494" s="546"/>
      <c r="K494" s="546"/>
      <c r="L494" s="547"/>
      <c r="M494" s="545"/>
      <c r="N494" s="546"/>
      <c r="O494" s="546"/>
      <c r="P494" s="547"/>
      <c r="Q494" s="545"/>
      <c r="R494" s="546"/>
      <c r="S494" s="546"/>
      <c r="T494" s="547"/>
      <c r="U494" s="545"/>
      <c r="V494" s="546"/>
      <c r="W494" s="546"/>
      <c r="X494" s="547"/>
      <c r="Y494" s="545"/>
      <c r="Z494" s="546"/>
      <c r="AA494" s="546"/>
      <c r="AB494" s="547"/>
      <c r="AC494" s="545"/>
      <c r="AD494" s="546"/>
      <c r="AE494" s="546"/>
      <c r="AF494" s="547"/>
      <c r="AG494" s="545"/>
      <c r="AH494" s="546"/>
      <c r="AI494" s="546"/>
      <c r="AJ494" s="547"/>
      <c r="AK494" s="545"/>
      <c r="AL494" s="546"/>
      <c r="AM494" s="546"/>
      <c r="AN494" s="547"/>
      <c r="AO494" s="545"/>
      <c r="AP494" s="546"/>
      <c r="AQ494" s="546"/>
      <c r="AR494" s="547"/>
      <c r="AS494" s="545"/>
      <c r="AT494" s="546"/>
      <c r="AU494" s="546"/>
      <c r="AV494" s="547"/>
      <c r="AW494" s="545"/>
      <c r="AX494" s="546"/>
      <c r="AY494" s="546"/>
      <c r="AZ494" s="547"/>
      <c r="BG494" s="93"/>
      <c r="BH494" s="93"/>
      <c r="BI494" s="93"/>
      <c r="BJ494" s="217"/>
      <c r="BK494" s="164"/>
      <c r="BL494" s="165"/>
      <c r="BM494" s="165"/>
      <c r="BN494" s="165"/>
      <c r="BO494" s="165"/>
      <c r="BP494" s="165"/>
      <c r="BQ494" s="165"/>
      <c r="BR494" s="165"/>
      <c r="BS494" s="165"/>
      <c r="BT494" s="165"/>
      <c r="BU494" s="165"/>
      <c r="BV494" s="165"/>
      <c r="BW494" s="165"/>
      <c r="BX494" s="165"/>
      <c r="BY494" s="165"/>
      <c r="BZ494" s="165"/>
      <c r="CA494" s="165"/>
      <c r="CB494" s="217"/>
      <c r="CC494" s="126"/>
      <c r="CD494" s="126"/>
      <c r="CE494" s="143"/>
    </row>
    <row r="495" spans="1:83">
      <c r="A495" s="107"/>
      <c r="B495" s="107"/>
      <c r="C495" s="107"/>
      <c r="D495" s="107"/>
      <c r="E495" s="548"/>
      <c r="F495" s="549"/>
      <c r="G495" s="549"/>
      <c r="H495" s="550"/>
      <c r="I495" s="540"/>
      <c r="J495" s="541"/>
      <c r="K495" s="541"/>
      <c r="L495" s="542"/>
      <c r="M495" s="540"/>
      <c r="N495" s="541"/>
      <c r="O495" s="541"/>
      <c r="P495" s="542"/>
      <c r="Q495" s="540"/>
      <c r="R495" s="541"/>
      <c r="S495" s="541"/>
      <c r="T495" s="542"/>
      <c r="U495" s="540"/>
      <c r="V495" s="541"/>
      <c r="W495" s="541"/>
      <c r="X495" s="542"/>
      <c r="Y495" s="540"/>
      <c r="Z495" s="541"/>
      <c r="AA495" s="541"/>
      <c r="AB495" s="542"/>
      <c r="AC495" s="540"/>
      <c r="AD495" s="541"/>
      <c r="AE495" s="541"/>
      <c r="AF495" s="542"/>
      <c r="AG495" s="540"/>
      <c r="AH495" s="541"/>
      <c r="AI495" s="541"/>
      <c r="AJ495" s="542"/>
      <c r="AK495" s="540"/>
      <c r="AL495" s="541"/>
      <c r="AM495" s="541"/>
      <c r="AN495" s="542"/>
      <c r="AO495" s="540"/>
      <c r="AP495" s="541"/>
      <c r="AQ495" s="541"/>
      <c r="AR495" s="542"/>
      <c r="AS495" s="540"/>
      <c r="AT495" s="541"/>
      <c r="AU495" s="541"/>
      <c r="AV495" s="542"/>
      <c r="AW495" s="540"/>
      <c r="AX495" s="541"/>
      <c r="AY495" s="541"/>
      <c r="AZ495" s="542"/>
      <c r="BG495" s="93"/>
      <c r="BH495" s="93"/>
      <c r="BI495" s="93"/>
      <c r="BJ495" s="217"/>
      <c r="BK495" s="164"/>
      <c r="BL495" s="165"/>
      <c r="BM495" s="165"/>
      <c r="BN495" s="165"/>
      <c r="BO495" s="165"/>
      <c r="BP495" s="165"/>
      <c r="BQ495" s="165"/>
      <c r="BR495" s="165"/>
      <c r="BS495" s="165"/>
      <c r="BT495" s="165"/>
      <c r="BU495" s="165"/>
      <c r="BV495" s="165"/>
      <c r="BW495" s="165"/>
      <c r="BX495" s="165"/>
      <c r="BY495" s="165"/>
      <c r="BZ495" s="165"/>
      <c r="CA495" s="165"/>
      <c r="CB495" s="217"/>
      <c r="CC495" s="126"/>
      <c r="CD495" s="126"/>
      <c r="CE495" s="143"/>
    </row>
    <row r="496" spans="1:83">
      <c r="A496" s="107"/>
      <c r="B496" s="107"/>
      <c r="C496" s="107"/>
      <c r="D496" s="107"/>
      <c r="E496" s="551"/>
      <c r="F496" s="552"/>
      <c r="G496" s="552"/>
      <c r="H496" s="553"/>
      <c r="I496" s="545"/>
      <c r="J496" s="546"/>
      <c r="K496" s="546"/>
      <c r="L496" s="547"/>
      <c r="M496" s="545"/>
      <c r="N496" s="546"/>
      <c r="O496" s="546"/>
      <c r="P496" s="547"/>
      <c r="Q496" s="545"/>
      <c r="R496" s="546"/>
      <c r="S496" s="546"/>
      <c r="T496" s="547"/>
      <c r="U496" s="545"/>
      <c r="V496" s="546"/>
      <c r="W496" s="546"/>
      <c r="X496" s="547"/>
      <c r="Y496" s="545"/>
      <c r="Z496" s="546"/>
      <c r="AA496" s="546"/>
      <c r="AB496" s="547"/>
      <c r="AC496" s="545"/>
      <c r="AD496" s="546"/>
      <c r="AE496" s="546"/>
      <c r="AF496" s="547"/>
      <c r="AG496" s="545"/>
      <c r="AH496" s="546"/>
      <c r="AI496" s="546"/>
      <c r="AJ496" s="547"/>
      <c r="AK496" s="545"/>
      <c r="AL496" s="546"/>
      <c r="AM496" s="546"/>
      <c r="AN496" s="547"/>
      <c r="AO496" s="545"/>
      <c r="AP496" s="546"/>
      <c r="AQ496" s="546"/>
      <c r="AR496" s="547"/>
      <c r="AS496" s="545"/>
      <c r="AT496" s="546"/>
      <c r="AU496" s="546"/>
      <c r="AV496" s="547"/>
      <c r="AW496" s="545"/>
      <c r="AX496" s="546"/>
      <c r="AY496" s="546"/>
      <c r="AZ496" s="547"/>
      <c r="BG496" s="93"/>
      <c r="BH496" s="93"/>
      <c r="BI496" s="93"/>
      <c r="BJ496" s="217"/>
      <c r="BK496" s="164"/>
      <c r="BL496" s="165"/>
      <c r="BM496" s="165"/>
      <c r="BN496" s="165"/>
      <c r="BO496" s="165"/>
      <c r="BP496" s="165"/>
      <c r="BQ496" s="165"/>
      <c r="BR496" s="165"/>
      <c r="BS496" s="165"/>
      <c r="BT496" s="165"/>
      <c r="BU496" s="165"/>
      <c r="BV496" s="165"/>
      <c r="BW496" s="165"/>
      <c r="BX496" s="165"/>
      <c r="BY496" s="165"/>
      <c r="BZ496" s="165"/>
      <c r="CA496" s="165"/>
      <c r="CB496" s="217"/>
      <c r="CC496" s="126"/>
      <c r="CD496" s="126"/>
      <c r="CE496" s="143"/>
    </row>
    <row r="497" spans="1:83">
      <c r="A497" s="107"/>
      <c r="B497" s="107"/>
      <c r="C497" s="107"/>
      <c r="D497" s="107"/>
      <c r="E497" s="548"/>
      <c r="F497" s="549"/>
      <c r="G497" s="549"/>
      <c r="H497" s="550"/>
      <c r="I497" s="540"/>
      <c r="J497" s="541"/>
      <c r="K497" s="541"/>
      <c r="L497" s="542"/>
      <c r="M497" s="540"/>
      <c r="N497" s="541"/>
      <c r="O497" s="541"/>
      <c r="P497" s="542"/>
      <c r="Q497" s="540"/>
      <c r="R497" s="541"/>
      <c r="S497" s="541"/>
      <c r="T497" s="542"/>
      <c r="U497" s="540"/>
      <c r="V497" s="541"/>
      <c r="W497" s="541"/>
      <c r="X497" s="542"/>
      <c r="Y497" s="540"/>
      <c r="Z497" s="541"/>
      <c r="AA497" s="541"/>
      <c r="AB497" s="542"/>
      <c r="AC497" s="540"/>
      <c r="AD497" s="541"/>
      <c r="AE497" s="541"/>
      <c r="AF497" s="542"/>
      <c r="AG497" s="540"/>
      <c r="AH497" s="541"/>
      <c r="AI497" s="541"/>
      <c r="AJ497" s="542"/>
      <c r="AK497" s="540"/>
      <c r="AL497" s="541"/>
      <c r="AM497" s="541"/>
      <c r="AN497" s="542"/>
      <c r="AO497" s="540"/>
      <c r="AP497" s="541"/>
      <c r="AQ497" s="541"/>
      <c r="AR497" s="542"/>
      <c r="AS497" s="540"/>
      <c r="AT497" s="541"/>
      <c r="AU497" s="541"/>
      <c r="AV497" s="542"/>
      <c r="AW497" s="540"/>
      <c r="AX497" s="541"/>
      <c r="AY497" s="541"/>
      <c r="AZ497" s="542"/>
      <c r="BG497" s="93"/>
      <c r="BH497" s="93"/>
      <c r="BI497" s="93"/>
      <c r="BJ497" s="217"/>
      <c r="BK497" s="164"/>
      <c r="BL497" s="165"/>
      <c r="BM497" s="165"/>
      <c r="BN497" s="165"/>
      <c r="BO497" s="165"/>
      <c r="BP497" s="165"/>
      <c r="BQ497" s="165"/>
      <c r="BR497" s="165"/>
      <c r="BS497" s="165"/>
      <c r="BT497" s="165"/>
      <c r="BU497" s="165"/>
      <c r="BV497" s="165"/>
      <c r="BW497" s="165"/>
      <c r="BX497" s="165"/>
      <c r="BY497" s="165"/>
      <c r="BZ497" s="165"/>
      <c r="CA497" s="165"/>
      <c r="CB497" s="217"/>
      <c r="CC497" s="126"/>
      <c r="CD497" s="126"/>
      <c r="CE497" s="143"/>
    </row>
    <row r="498" spans="1:83">
      <c r="A498" s="107"/>
      <c r="B498" s="107"/>
      <c r="C498" s="107"/>
      <c r="D498" s="107"/>
      <c r="E498" s="551"/>
      <c r="F498" s="552"/>
      <c r="G498" s="552"/>
      <c r="H498" s="553"/>
      <c r="I498" s="545"/>
      <c r="J498" s="546"/>
      <c r="K498" s="546"/>
      <c r="L498" s="547"/>
      <c r="M498" s="545"/>
      <c r="N498" s="546"/>
      <c r="O498" s="546"/>
      <c r="P498" s="547"/>
      <c r="Q498" s="545"/>
      <c r="R498" s="546"/>
      <c r="S498" s="546"/>
      <c r="T498" s="547"/>
      <c r="U498" s="545"/>
      <c r="V498" s="546"/>
      <c r="W498" s="546"/>
      <c r="X498" s="547"/>
      <c r="Y498" s="545"/>
      <c r="Z498" s="546"/>
      <c r="AA498" s="546"/>
      <c r="AB498" s="547"/>
      <c r="AC498" s="545"/>
      <c r="AD498" s="546"/>
      <c r="AE498" s="546"/>
      <c r="AF498" s="547"/>
      <c r="AG498" s="545"/>
      <c r="AH498" s="546"/>
      <c r="AI498" s="546"/>
      <c r="AJ498" s="547"/>
      <c r="AK498" s="545"/>
      <c r="AL498" s="546"/>
      <c r="AM498" s="546"/>
      <c r="AN498" s="547"/>
      <c r="AO498" s="545"/>
      <c r="AP498" s="546"/>
      <c r="AQ498" s="546"/>
      <c r="AR498" s="547"/>
      <c r="AS498" s="545"/>
      <c r="AT498" s="546"/>
      <c r="AU498" s="546"/>
      <c r="AV498" s="547"/>
      <c r="AW498" s="545"/>
      <c r="AX498" s="546"/>
      <c r="AY498" s="546"/>
      <c r="AZ498" s="547"/>
      <c r="BG498" s="93"/>
      <c r="BH498" s="93"/>
      <c r="BI498" s="93"/>
      <c r="BJ498" s="217"/>
      <c r="BK498" s="164"/>
      <c r="BL498" s="165"/>
      <c r="BM498" s="165"/>
      <c r="BN498" s="165"/>
      <c r="BO498" s="165"/>
      <c r="BP498" s="165"/>
      <c r="BQ498" s="165"/>
      <c r="BR498" s="165"/>
      <c r="BS498" s="165"/>
      <c r="BT498" s="165"/>
      <c r="BU498" s="165"/>
      <c r="BV498" s="165"/>
      <c r="BW498" s="165"/>
      <c r="BX498" s="165"/>
      <c r="BY498" s="165"/>
      <c r="BZ498" s="165"/>
      <c r="CA498" s="165"/>
      <c r="CB498" s="217"/>
      <c r="CC498" s="126"/>
      <c r="CD498" s="126"/>
      <c r="CE498" s="143"/>
    </row>
    <row r="499" spans="1:83">
      <c r="A499" s="107"/>
      <c r="B499" s="107"/>
      <c r="C499" s="107"/>
      <c r="D499" s="107"/>
      <c r="E499" s="548"/>
      <c r="F499" s="549"/>
      <c r="G499" s="549"/>
      <c r="H499" s="550"/>
      <c r="I499" s="540"/>
      <c r="J499" s="541"/>
      <c r="K499" s="541"/>
      <c r="L499" s="542"/>
      <c r="M499" s="540"/>
      <c r="N499" s="541"/>
      <c r="O499" s="541"/>
      <c r="P499" s="542"/>
      <c r="Q499" s="540"/>
      <c r="R499" s="541"/>
      <c r="S499" s="541"/>
      <c r="T499" s="542"/>
      <c r="U499" s="540"/>
      <c r="V499" s="541"/>
      <c r="W499" s="541"/>
      <c r="X499" s="542"/>
      <c r="Y499" s="540"/>
      <c r="Z499" s="541"/>
      <c r="AA499" s="541"/>
      <c r="AB499" s="542"/>
      <c r="AC499" s="540"/>
      <c r="AD499" s="541"/>
      <c r="AE499" s="541"/>
      <c r="AF499" s="542"/>
      <c r="AG499" s="540"/>
      <c r="AH499" s="541"/>
      <c r="AI499" s="541"/>
      <c r="AJ499" s="542"/>
      <c r="AK499" s="540"/>
      <c r="AL499" s="541"/>
      <c r="AM499" s="541"/>
      <c r="AN499" s="542"/>
      <c r="AO499" s="540"/>
      <c r="AP499" s="541"/>
      <c r="AQ499" s="541"/>
      <c r="AR499" s="542"/>
      <c r="AS499" s="540"/>
      <c r="AT499" s="541"/>
      <c r="AU499" s="541"/>
      <c r="AV499" s="542"/>
      <c r="AW499" s="540"/>
      <c r="AX499" s="541"/>
      <c r="AY499" s="541"/>
      <c r="AZ499" s="542"/>
      <c r="BG499" s="93"/>
      <c r="BH499" s="93"/>
      <c r="BI499" s="93"/>
      <c r="BJ499" s="217"/>
      <c r="BK499" s="164"/>
      <c r="BL499" s="165"/>
      <c r="BM499" s="165"/>
      <c r="BN499" s="165"/>
      <c r="BO499" s="165"/>
      <c r="BP499" s="165"/>
      <c r="BQ499" s="165"/>
      <c r="BR499" s="165"/>
      <c r="BS499" s="165"/>
      <c r="BT499" s="165"/>
      <c r="BU499" s="165"/>
      <c r="BV499" s="165"/>
      <c r="BW499" s="165"/>
      <c r="BX499" s="165"/>
      <c r="BY499" s="165"/>
      <c r="BZ499" s="165"/>
      <c r="CA499" s="165"/>
      <c r="CB499" s="217"/>
      <c r="CC499" s="126"/>
      <c r="CD499" s="126"/>
      <c r="CE499" s="143"/>
    </row>
    <row r="500" spans="1:83">
      <c r="A500" s="107"/>
      <c r="B500" s="107"/>
      <c r="C500" s="107"/>
      <c r="D500" s="107"/>
      <c r="E500" s="551"/>
      <c r="F500" s="552"/>
      <c r="G500" s="552"/>
      <c r="H500" s="553"/>
      <c r="I500" s="545"/>
      <c r="J500" s="546"/>
      <c r="K500" s="546"/>
      <c r="L500" s="547"/>
      <c r="M500" s="545"/>
      <c r="N500" s="546"/>
      <c r="O500" s="546"/>
      <c r="P500" s="547"/>
      <c r="Q500" s="545"/>
      <c r="R500" s="546"/>
      <c r="S500" s="546"/>
      <c r="T500" s="547"/>
      <c r="U500" s="545"/>
      <c r="V500" s="546"/>
      <c r="W500" s="546"/>
      <c r="X500" s="547"/>
      <c r="Y500" s="545"/>
      <c r="Z500" s="546"/>
      <c r="AA500" s="546"/>
      <c r="AB500" s="547"/>
      <c r="AC500" s="545"/>
      <c r="AD500" s="546"/>
      <c r="AE500" s="546"/>
      <c r="AF500" s="547"/>
      <c r="AG500" s="545"/>
      <c r="AH500" s="546"/>
      <c r="AI500" s="546"/>
      <c r="AJ500" s="547"/>
      <c r="AK500" s="545"/>
      <c r="AL500" s="546"/>
      <c r="AM500" s="546"/>
      <c r="AN500" s="547"/>
      <c r="AO500" s="545"/>
      <c r="AP500" s="546"/>
      <c r="AQ500" s="546"/>
      <c r="AR500" s="547"/>
      <c r="AS500" s="545"/>
      <c r="AT500" s="546"/>
      <c r="AU500" s="546"/>
      <c r="AV500" s="547"/>
      <c r="AW500" s="545"/>
      <c r="AX500" s="546"/>
      <c r="AY500" s="546"/>
      <c r="AZ500" s="547"/>
      <c r="BG500" s="93"/>
      <c r="BH500" s="93"/>
      <c r="BI500" s="93"/>
      <c r="BJ500" s="217"/>
      <c r="BK500" s="164"/>
      <c r="BL500" s="165"/>
      <c r="BM500" s="165"/>
      <c r="BN500" s="165"/>
      <c r="BO500" s="165"/>
      <c r="BP500" s="165"/>
      <c r="BQ500" s="165"/>
      <c r="BR500" s="165"/>
      <c r="BS500" s="165"/>
      <c r="BT500" s="165"/>
      <c r="BU500" s="165"/>
      <c r="BV500" s="165"/>
      <c r="BW500" s="165"/>
      <c r="BX500" s="165"/>
      <c r="BY500" s="165"/>
      <c r="BZ500" s="165"/>
      <c r="CA500" s="165"/>
      <c r="CB500" s="217"/>
      <c r="CC500" s="126"/>
      <c r="CD500" s="126"/>
      <c r="CE500" s="143"/>
    </row>
    <row r="501" spans="1:83">
      <c r="A501" s="107"/>
      <c r="B501" s="107"/>
      <c r="C501" s="107"/>
      <c r="D501" s="107"/>
      <c r="E501" s="548"/>
      <c r="F501" s="549"/>
      <c r="G501" s="549"/>
      <c r="H501" s="550"/>
      <c r="I501" s="540"/>
      <c r="J501" s="541"/>
      <c r="K501" s="541"/>
      <c r="L501" s="542"/>
      <c r="M501" s="540"/>
      <c r="N501" s="541"/>
      <c r="O501" s="541"/>
      <c r="P501" s="542"/>
      <c r="Q501" s="540"/>
      <c r="R501" s="541"/>
      <c r="S501" s="541"/>
      <c r="T501" s="542"/>
      <c r="U501" s="540"/>
      <c r="V501" s="541"/>
      <c r="W501" s="541"/>
      <c r="X501" s="542"/>
      <c r="Y501" s="540"/>
      <c r="Z501" s="541"/>
      <c r="AA501" s="541"/>
      <c r="AB501" s="542"/>
      <c r="AC501" s="540"/>
      <c r="AD501" s="541"/>
      <c r="AE501" s="541"/>
      <c r="AF501" s="542"/>
      <c r="AG501" s="540"/>
      <c r="AH501" s="541"/>
      <c r="AI501" s="541"/>
      <c r="AJ501" s="542"/>
      <c r="AK501" s="540"/>
      <c r="AL501" s="541"/>
      <c r="AM501" s="541"/>
      <c r="AN501" s="542"/>
      <c r="AO501" s="540"/>
      <c r="AP501" s="541"/>
      <c r="AQ501" s="541"/>
      <c r="AR501" s="542"/>
      <c r="AS501" s="540"/>
      <c r="AT501" s="541"/>
      <c r="AU501" s="541"/>
      <c r="AV501" s="542"/>
      <c r="AW501" s="540"/>
      <c r="AX501" s="541"/>
      <c r="AY501" s="541"/>
      <c r="AZ501" s="542"/>
      <c r="BG501" s="93"/>
      <c r="BH501" s="93"/>
      <c r="BI501" s="93"/>
      <c r="BJ501" s="217"/>
      <c r="BK501" s="164"/>
      <c r="BL501" s="165"/>
      <c r="BM501" s="165"/>
      <c r="BN501" s="165"/>
      <c r="BO501" s="165"/>
      <c r="BP501" s="165"/>
      <c r="BQ501" s="165"/>
      <c r="BR501" s="165"/>
      <c r="BS501" s="165"/>
      <c r="BT501" s="165"/>
      <c r="BU501" s="165"/>
      <c r="BV501" s="165"/>
      <c r="BW501" s="165"/>
      <c r="BX501" s="165"/>
      <c r="BY501" s="165"/>
      <c r="BZ501" s="165"/>
      <c r="CA501" s="165"/>
      <c r="CB501" s="217"/>
      <c r="CC501" s="126"/>
      <c r="CD501" s="126"/>
      <c r="CE501" s="143"/>
    </row>
    <row r="502" spans="1:83">
      <c r="A502" s="107"/>
      <c r="B502" s="107"/>
      <c r="C502" s="107"/>
      <c r="D502" s="107"/>
      <c r="E502" s="551"/>
      <c r="F502" s="552"/>
      <c r="G502" s="552"/>
      <c r="H502" s="553"/>
      <c r="I502" s="545"/>
      <c r="J502" s="546"/>
      <c r="K502" s="546"/>
      <c r="L502" s="547"/>
      <c r="M502" s="545"/>
      <c r="N502" s="546"/>
      <c r="O502" s="546"/>
      <c r="P502" s="547"/>
      <c r="Q502" s="545"/>
      <c r="R502" s="546"/>
      <c r="S502" s="546"/>
      <c r="T502" s="547"/>
      <c r="U502" s="545"/>
      <c r="V502" s="546"/>
      <c r="W502" s="546"/>
      <c r="X502" s="547"/>
      <c r="Y502" s="545"/>
      <c r="Z502" s="546"/>
      <c r="AA502" s="546"/>
      <c r="AB502" s="547"/>
      <c r="AC502" s="545"/>
      <c r="AD502" s="546"/>
      <c r="AE502" s="546"/>
      <c r="AF502" s="547"/>
      <c r="AG502" s="545"/>
      <c r="AH502" s="546"/>
      <c r="AI502" s="546"/>
      <c r="AJ502" s="547"/>
      <c r="AK502" s="545"/>
      <c r="AL502" s="546"/>
      <c r="AM502" s="546"/>
      <c r="AN502" s="547"/>
      <c r="AO502" s="545"/>
      <c r="AP502" s="546"/>
      <c r="AQ502" s="546"/>
      <c r="AR502" s="547"/>
      <c r="AS502" s="545"/>
      <c r="AT502" s="546"/>
      <c r="AU502" s="546"/>
      <c r="AV502" s="547"/>
      <c r="AW502" s="545"/>
      <c r="AX502" s="546"/>
      <c r="AY502" s="546"/>
      <c r="AZ502" s="547"/>
      <c r="BG502" s="93"/>
      <c r="BH502" s="93"/>
      <c r="BI502" s="93"/>
      <c r="BJ502" s="217"/>
      <c r="BK502" s="164"/>
      <c r="BL502" s="165"/>
      <c r="BM502" s="165"/>
      <c r="BN502" s="165"/>
      <c r="BO502" s="165"/>
      <c r="BP502" s="165"/>
      <c r="BQ502" s="165"/>
      <c r="BR502" s="165"/>
      <c r="BS502" s="165"/>
      <c r="BT502" s="165"/>
      <c r="BU502" s="165"/>
      <c r="BV502" s="165"/>
      <c r="BW502" s="165"/>
      <c r="BX502" s="165"/>
      <c r="BY502" s="165"/>
      <c r="BZ502" s="165"/>
      <c r="CA502" s="165"/>
      <c r="CB502" s="217"/>
      <c r="CC502" s="126"/>
      <c r="CD502" s="126"/>
      <c r="CE502" s="143"/>
    </row>
    <row r="503" spans="1:83">
      <c r="A503" s="107"/>
      <c r="B503" s="107"/>
      <c r="C503" s="107"/>
      <c r="D503" s="107"/>
      <c r="E503" s="548"/>
      <c r="F503" s="549"/>
      <c r="G503" s="549"/>
      <c r="H503" s="550"/>
      <c r="I503" s="540"/>
      <c r="J503" s="541"/>
      <c r="K503" s="541"/>
      <c r="L503" s="542"/>
      <c r="M503" s="540"/>
      <c r="N503" s="541"/>
      <c r="O503" s="541"/>
      <c r="P503" s="542"/>
      <c r="Q503" s="540"/>
      <c r="R503" s="541"/>
      <c r="S503" s="541"/>
      <c r="T503" s="542"/>
      <c r="U503" s="540"/>
      <c r="V503" s="541"/>
      <c r="W503" s="541"/>
      <c r="X503" s="542"/>
      <c r="Y503" s="540"/>
      <c r="Z503" s="541"/>
      <c r="AA503" s="541"/>
      <c r="AB503" s="542"/>
      <c r="AC503" s="540"/>
      <c r="AD503" s="541"/>
      <c r="AE503" s="541"/>
      <c r="AF503" s="542"/>
      <c r="AG503" s="540"/>
      <c r="AH503" s="541"/>
      <c r="AI503" s="541"/>
      <c r="AJ503" s="542"/>
      <c r="AK503" s="540"/>
      <c r="AL503" s="541"/>
      <c r="AM503" s="541"/>
      <c r="AN503" s="542"/>
      <c r="AO503" s="540"/>
      <c r="AP503" s="541"/>
      <c r="AQ503" s="541"/>
      <c r="AR503" s="542"/>
      <c r="AS503" s="540"/>
      <c r="AT503" s="541"/>
      <c r="AU503" s="541"/>
      <c r="AV503" s="542"/>
      <c r="AW503" s="540"/>
      <c r="AX503" s="541"/>
      <c r="AY503" s="541"/>
      <c r="AZ503" s="542"/>
      <c r="BG503" s="93"/>
      <c r="BH503" s="93"/>
      <c r="BI503" s="93"/>
      <c r="BJ503" s="217"/>
      <c r="BK503" s="164"/>
      <c r="BL503" s="165"/>
      <c r="BM503" s="165"/>
      <c r="BN503" s="165"/>
      <c r="BO503" s="165"/>
      <c r="BP503" s="165"/>
      <c r="BQ503" s="165"/>
      <c r="BR503" s="165"/>
      <c r="BS503" s="165"/>
      <c r="BT503" s="165"/>
      <c r="BU503" s="165"/>
      <c r="BV503" s="165"/>
      <c r="BW503" s="165"/>
      <c r="BX503" s="165"/>
      <c r="BY503" s="165"/>
      <c r="BZ503" s="165"/>
      <c r="CA503" s="165"/>
      <c r="CB503" s="217"/>
      <c r="CC503" s="126"/>
      <c r="CD503" s="126"/>
      <c r="CE503" s="143"/>
    </row>
    <row r="504" spans="1:83">
      <c r="A504" s="107"/>
      <c r="B504" s="107"/>
      <c r="C504" s="107"/>
      <c r="D504" s="107"/>
      <c r="E504" s="551"/>
      <c r="F504" s="552"/>
      <c r="G504" s="552"/>
      <c r="H504" s="553"/>
      <c r="I504" s="545"/>
      <c r="J504" s="546"/>
      <c r="K504" s="546"/>
      <c r="L504" s="547"/>
      <c r="M504" s="545"/>
      <c r="N504" s="546"/>
      <c r="O504" s="546"/>
      <c r="P504" s="547"/>
      <c r="Q504" s="545"/>
      <c r="R504" s="546"/>
      <c r="S504" s="546"/>
      <c r="T504" s="547"/>
      <c r="U504" s="545"/>
      <c r="V504" s="546"/>
      <c r="W504" s="546"/>
      <c r="X504" s="547"/>
      <c r="Y504" s="545"/>
      <c r="Z504" s="546"/>
      <c r="AA504" s="546"/>
      <c r="AB504" s="547"/>
      <c r="AC504" s="545"/>
      <c r="AD504" s="546"/>
      <c r="AE504" s="546"/>
      <c r="AF504" s="547"/>
      <c r="AG504" s="545"/>
      <c r="AH504" s="546"/>
      <c r="AI504" s="546"/>
      <c r="AJ504" s="547"/>
      <c r="AK504" s="545"/>
      <c r="AL504" s="546"/>
      <c r="AM504" s="546"/>
      <c r="AN504" s="547"/>
      <c r="AO504" s="545"/>
      <c r="AP504" s="546"/>
      <c r="AQ504" s="546"/>
      <c r="AR504" s="547"/>
      <c r="AS504" s="545"/>
      <c r="AT504" s="546"/>
      <c r="AU504" s="546"/>
      <c r="AV504" s="547"/>
      <c r="AW504" s="545"/>
      <c r="AX504" s="546"/>
      <c r="AY504" s="546"/>
      <c r="AZ504" s="547"/>
      <c r="BG504" s="93"/>
      <c r="BH504" s="93"/>
      <c r="BI504" s="93"/>
      <c r="BJ504" s="217"/>
      <c r="BK504" s="164"/>
      <c r="BL504" s="165"/>
      <c r="BM504" s="165"/>
      <c r="BN504" s="165"/>
      <c r="BO504" s="165"/>
      <c r="BP504" s="165"/>
      <c r="BQ504" s="165"/>
      <c r="BR504" s="165"/>
      <c r="BS504" s="165"/>
      <c r="BT504" s="165"/>
      <c r="BU504" s="165"/>
      <c r="BV504" s="165"/>
      <c r="BW504" s="165"/>
      <c r="BX504" s="165"/>
      <c r="BY504" s="165"/>
      <c r="BZ504" s="165"/>
      <c r="CA504" s="165"/>
      <c r="CB504" s="217"/>
      <c r="CC504" s="126"/>
      <c r="CD504" s="126"/>
      <c r="CE504" s="143"/>
    </row>
    <row r="505" spans="1:83">
      <c r="A505" s="107"/>
      <c r="B505" s="107"/>
      <c r="C505" s="107"/>
      <c r="D505" s="107"/>
      <c r="E505" s="548"/>
      <c r="F505" s="549"/>
      <c r="G505" s="549"/>
      <c r="H505" s="550"/>
      <c r="I505" s="540"/>
      <c r="J505" s="541"/>
      <c r="K505" s="541"/>
      <c r="L505" s="542"/>
      <c r="M505" s="540"/>
      <c r="N505" s="541"/>
      <c r="O505" s="541"/>
      <c r="P505" s="542"/>
      <c r="Q505" s="540"/>
      <c r="R505" s="541"/>
      <c r="S505" s="541"/>
      <c r="T505" s="542"/>
      <c r="U505" s="540"/>
      <c r="V505" s="541"/>
      <c r="W505" s="541"/>
      <c r="X505" s="542"/>
      <c r="Y505" s="540"/>
      <c r="Z505" s="541"/>
      <c r="AA505" s="541"/>
      <c r="AB505" s="542"/>
      <c r="AC505" s="540"/>
      <c r="AD505" s="541"/>
      <c r="AE505" s="541"/>
      <c r="AF505" s="542"/>
      <c r="AG505" s="540"/>
      <c r="AH505" s="541"/>
      <c r="AI505" s="541"/>
      <c r="AJ505" s="542"/>
      <c r="AK505" s="540"/>
      <c r="AL505" s="541"/>
      <c r="AM505" s="541"/>
      <c r="AN505" s="542"/>
      <c r="AO505" s="540"/>
      <c r="AP505" s="541"/>
      <c r="AQ505" s="541"/>
      <c r="AR505" s="542"/>
      <c r="AS505" s="540"/>
      <c r="AT505" s="541"/>
      <c r="AU505" s="541"/>
      <c r="AV505" s="542"/>
      <c r="AW505" s="540"/>
      <c r="AX505" s="541"/>
      <c r="AY505" s="541"/>
      <c r="AZ505" s="542"/>
      <c r="BG505" s="93"/>
      <c r="BH505" s="93"/>
      <c r="BI505" s="93"/>
      <c r="BJ505" s="217"/>
      <c r="BK505" s="164"/>
      <c r="BL505" s="165"/>
      <c r="BM505" s="165"/>
      <c r="BN505" s="165"/>
      <c r="BO505" s="165"/>
      <c r="BP505" s="165"/>
      <c r="BQ505" s="165"/>
      <c r="BR505" s="165"/>
      <c r="BS505" s="165"/>
      <c r="BT505" s="165"/>
      <c r="BU505" s="165"/>
      <c r="BV505" s="165"/>
      <c r="BW505" s="165"/>
      <c r="BX505" s="165"/>
      <c r="BY505" s="165"/>
      <c r="BZ505" s="165"/>
      <c r="CA505" s="165"/>
      <c r="CB505" s="217"/>
      <c r="CC505" s="126"/>
      <c r="CD505" s="126"/>
      <c r="CE505" s="143"/>
    </row>
    <row r="506" spans="1:83">
      <c r="A506" s="107"/>
      <c r="B506" s="107"/>
      <c r="C506" s="107"/>
      <c r="D506" s="107"/>
      <c r="E506" s="551"/>
      <c r="F506" s="552"/>
      <c r="G506" s="552"/>
      <c r="H506" s="553"/>
      <c r="I506" s="545"/>
      <c r="J506" s="546"/>
      <c r="K506" s="546"/>
      <c r="L506" s="547"/>
      <c r="M506" s="545"/>
      <c r="N506" s="546"/>
      <c r="O506" s="546"/>
      <c r="P506" s="547"/>
      <c r="Q506" s="545"/>
      <c r="R506" s="546"/>
      <c r="S506" s="546"/>
      <c r="T506" s="547"/>
      <c r="U506" s="545"/>
      <c r="V506" s="546"/>
      <c r="W506" s="546"/>
      <c r="X506" s="547"/>
      <c r="Y506" s="545"/>
      <c r="Z506" s="546"/>
      <c r="AA506" s="546"/>
      <c r="AB506" s="547"/>
      <c r="AC506" s="545"/>
      <c r="AD506" s="546"/>
      <c r="AE506" s="546"/>
      <c r="AF506" s="547"/>
      <c r="AG506" s="545"/>
      <c r="AH506" s="546"/>
      <c r="AI506" s="546"/>
      <c r="AJ506" s="547"/>
      <c r="AK506" s="545"/>
      <c r="AL506" s="546"/>
      <c r="AM506" s="546"/>
      <c r="AN506" s="547"/>
      <c r="AO506" s="545"/>
      <c r="AP506" s="546"/>
      <c r="AQ506" s="546"/>
      <c r="AR506" s="547"/>
      <c r="AS506" s="545"/>
      <c r="AT506" s="546"/>
      <c r="AU506" s="546"/>
      <c r="AV506" s="547"/>
      <c r="AW506" s="545"/>
      <c r="AX506" s="546"/>
      <c r="AY506" s="546"/>
      <c r="AZ506" s="547"/>
      <c r="BG506" s="93"/>
      <c r="BH506" s="93"/>
      <c r="BI506" s="93"/>
      <c r="BJ506" s="217"/>
      <c r="BK506" s="164"/>
      <c r="BL506" s="165"/>
      <c r="BM506" s="165"/>
      <c r="BN506" s="165"/>
      <c r="BO506" s="165"/>
      <c r="BP506" s="165"/>
      <c r="BQ506" s="165"/>
      <c r="BR506" s="165"/>
      <c r="BS506" s="165"/>
      <c r="BT506" s="165"/>
      <c r="BU506" s="165"/>
      <c r="BV506" s="165"/>
      <c r="BW506" s="165"/>
      <c r="BX506" s="165"/>
      <c r="BY506" s="165"/>
      <c r="BZ506" s="165"/>
      <c r="CA506" s="165"/>
      <c r="CB506" s="217"/>
      <c r="CC506" s="126"/>
      <c r="CD506" s="126"/>
      <c r="CE506" s="143"/>
    </row>
    <row r="507" spans="1:83">
      <c r="A507" s="107"/>
      <c r="B507" s="107"/>
      <c r="C507" s="107"/>
      <c r="D507" s="107"/>
      <c r="E507" s="548"/>
      <c r="F507" s="549"/>
      <c r="G507" s="549"/>
      <c r="H507" s="550"/>
      <c r="I507" s="540"/>
      <c r="J507" s="541"/>
      <c r="K507" s="541"/>
      <c r="L507" s="542"/>
      <c r="M507" s="540"/>
      <c r="N507" s="541"/>
      <c r="O507" s="541"/>
      <c r="P507" s="542"/>
      <c r="Q507" s="540"/>
      <c r="R507" s="541"/>
      <c r="S507" s="541"/>
      <c r="T507" s="542"/>
      <c r="U507" s="540"/>
      <c r="V507" s="541"/>
      <c r="W507" s="541"/>
      <c r="X507" s="542"/>
      <c r="Y507" s="540"/>
      <c r="Z507" s="541"/>
      <c r="AA507" s="541"/>
      <c r="AB507" s="542"/>
      <c r="AC507" s="540"/>
      <c r="AD507" s="541"/>
      <c r="AE507" s="541"/>
      <c r="AF507" s="542"/>
      <c r="AG507" s="540"/>
      <c r="AH507" s="541"/>
      <c r="AI507" s="541"/>
      <c r="AJ507" s="542"/>
      <c r="AK507" s="540"/>
      <c r="AL507" s="541"/>
      <c r="AM507" s="541"/>
      <c r="AN507" s="542"/>
      <c r="AO507" s="540"/>
      <c r="AP507" s="541"/>
      <c r="AQ507" s="541"/>
      <c r="AR507" s="542"/>
      <c r="AS507" s="540"/>
      <c r="AT507" s="541"/>
      <c r="AU507" s="541"/>
      <c r="AV507" s="542"/>
      <c r="AW507" s="540"/>
      <c r="AX507" s="541"/>
      <c r="AY507" s="541"/>
      <c r="AZ507" s="542"/>
      <c r="BG507" s="93"/>
      <c r="BH507" s="93"/>
      <c r="BI507" s="93"/>
      <c r="BJ507" s="217"/>
      <c r="BK507" s="164"/>
      <c r="BL507" s="165"/>
      <c r="BM507" s="165"/>
      <c r="BN507" s="165"/>
      <c r="BO507" s="165"/>
      <c r="BP507" s="165"/>
      <c r="BQ507" s="165"/>
      <c r="BR507" s="165"/>
      <c r="BS507" s="165"/>
      <c r="BT507" s="165"/>
      <c r="BU507" s="165"/>
      <c r="BV507" s="165"/>
      <c r="BW507" s="165"/>
      <c r="BX507" s="165"/>
      <c r="BY507" s="165"/>
      <c r="BZ507" s="165"/>
      <c r="CA507" s="165"/>
      <c r="CB507" s="217"/>
      <c r="CC507" s="126"/>
      <c r="CD507" s="126"/>
      <c r="CE507" s="143"/>
    </row>
    <row r="508" spans="1:83">
      <c r="A508" s="107"/>
      <c r="B508" s="107"/>
      <c r="C508" s="107"/>
      <c r="D508" s="107"/>
      <c r="E508" s="551"/>
      <c r="F508" s="552"/>
      <c r="G508" s="552"/>
      <c r="H508" s="553"/>
      <c r="I508" s="545"/>
      <c r="J508" s="546"/>
      <c r="K508" s="546"/>
      <c r="L508" s="547"/>
      <c r="M508" s="545"/>
      <c r="N508" s="546"/>
      <c r="O508" s="546"/>
      <c r="P508" s="547"/>
      <c r="Q508" s="545"/>
      <c r="R508" s="546"/>
      <c r="S508" s="546"/>
      <c r="T508" s="547"/>
      <c r="U508" s="545"/>
      <c r="V508" s="546"/>
      <c r="W508" s="546"/>
      <c r="X508" s="547"/>
      <c r="Y508" s="545"/>
      <c r="Z508" s="546"/>
      <c r="AA508" s="546"/>
      <c r="AB508" s="547"/>
      <c r="AC508" s="545"/>
      <c r="AD508" s="546"/>
      <c r="AE508" s="546"/>
      <c r="AF508" s="547"/>
      <c r="AG508" s="545"/>
      <c r="AH508" s="546"/>
      <c r="AI508" s="546"/>
      <c r="AJ508" s="547"/>
      <c r="AK508" s="545"/>
      <c r="AL508" s="546"/>
      <c r="AM508" s="546"/>
      <c r="AN508" s="547"/>
      <c r="AO508" s="545"/>
      <c r="AP508" s="546"/>
      <c r="AQ508" s="546"/>
      <c r="AR508" s="547"/>
      <c r="AS508" s="545"/>
      <c r="AT508" s="546"/>
      <c r="AU508" s="546"/>
      <c r="AV508" s="547"/>
      <c r="AW508" s="545"/>
      <c r="AX508" s="546"/>
      <c r="AY508" s="546"/>
      <c r="AZ508" s="547"/>
      <c r="BG508" s="93"/>
      <c r="BH508" s="93"/>
      <c r="BI508" s="93"/>
      <c r="BJ508" s="217"/>
      <c r="BK508" s="164"/>
      <c r="BL508" s="165"/>
      <c r="BM508" s="165"/>
      <c r="BN508" s="165"/>
      <c r="BO508" s="165"/>
      <c r="BP508" s="165"/>
      <c r="BQ508" s="165"/>
      <c r="BR508" s="165"/>
      <c r="BS508" s="165"/>
      <c r="BT508" s="165"/>
      <c r="BU508" s="165"/>
      <c r="BV508" s="165"/>
      <c r="BW508" s="165"/>
      <c r="BX508" s="165"/>
      <c r="BY508" s="165"/>
      <c r="BZ508" s="165"/>
      <c r="CA508" s="165"/>
      <c r="CB508" s="217"/>
      <c r="CC508" s="126"/>
      <c r="CD508" s="126"/>
      <c r="CE508" s="143"/>
    </row>
    <row r="509" spans="1:83">
      <c r="A509" s="107"/>
      <c r="B509" s="107"/>
      <c r="C509" s="107"/>
      <c r="D509" s="107"/>
      <c r="E509" s="548"/>
      <c r="F509" s="549"/>
      <c r="G509" s="549"/>
      <c r="H509" s="550"/>
      <c r="I509" s="540"/>
      <c r="J509" s="541"/>
      <c r="K509" s="541"/>
      <c r="L509" s="542"/>
      <c r="M509" s="540"/>
      <c r="N509" s="541"/>
      <c r="O509" s="541"/>
      <c r="P509" s="542"/>
      <c r="Q509" s="540"/>
      <c r="R509" s="541"/>
      <c r="S509" s="541"/>
      <c r="T509" s="542"/>
      <c r="U509" s="540"/>
      <c r="V509" s="541"/>
      <c r="W509" s="541"/>
      <c r="X509" s="542"/>
      <c r="Y509" s="540"/>
      <c r="Z509" s="541"/>
      <c r="AA509" s="541"/>
      <c r="AB509" s="542"/>
      <c r="AC509" s="540"/>
      <c r="AD509" s="541"/>
      <c r="AE509" s="541"/>
      <c r="AF509" s="542"/>
      <c r="AG509" s="540"/>
      <c r="AH509" s="541"/>
      <c r="AI509" s="541"/>
      <c r="AJ509" s="542"/>
      <c r="AK509" s="540"/>
      <c r="AL509" s="541"/>
      <c r="AM509" s="541"/>
      <c r="AN509" s="542"/>
      <c r="AO509" s="540"/>
      <c r="AP509" s="541"/>
      <c r="AQ509" s="541"/>
      <c r="AR509" s="542"/>
      <c r="AS509" s="540"/>
      <c r="AT509" s="541"/>
      <c r="AU509" s="541"/>
      <c r="AV509" s="542"/>
      <c r="AW509" s="540"/>
      <c r="AX509" s="541"/>
      <c r="AY509" s="541"/>
      <c r="AZ509" s="542"/>
      <c r="BG509" s="93"/>
      <c r="BH509" s="93"/>
      <c r="BI509" s="93"/>
      <c r="BJ509" s="217"/>
      <c r="BK509" s="164"/>
      <c r="BL509" s="165"/>
      <c r="BM509" s="165"/>
      <c r="BN509" s="165"/>
      <c r="BO509" s="165"/>
      <c r="BP509" s="165"/>
      <c r="BQ509" s="165"/>
      <c r="BR509" s="165"/>
      <c r="BS509" s="165"/>
      <c r="BT509" s="165"/>
      <c r="BU509" s="165"/>
      <c r="BV509" s="165"/>
      <c r="BW509" s="165"/>
      <c r="BX509" s="165"/>
      <c r="BY509" s="165"/>
      <c r="BZ509" s="165"/>
      <c r="CA509" s="165"/>
      <c r="CB509" s="217"/>
      <c r="CC509" s="126"/>
      <c r="CD509" s="126"/>
      <c r="CE509" s="143"/>
    </row>
    <row r="510" spans="1:83">
      <c r="A510" s="107"/>
      <c r="B510" s="107"/>
      <c r="C510" s="107"/>
      <c r="D510" s="107"/>
      <c r="E510" s="551"/>
      <c r="F510" s="552"/>
      <c r="G510" s="552"/>
      <c r="H510" s="553"/>
      <c r="I510" s="545"/>
      <c r="J510" s="546"/>
      <c r="K510" s="546"/>
      <c r="L510" s="547"/>
      <c r="M510" s="545"/>
      <c r="N510" s="546"/>
      <c r="O510" s="546"/>
      <c r="P510" s="547"/>
      <c r="Q510" s="545"/>
      <c r="R510" s="546"/>
      <c r="S510" s="546"/>
      <c r="T510" s="547"/>
      <c r="U510" s="545"/>
      <c r="V510" s="546"/>
      <c r="W510" s="546"/>
      <c r="X510" s="547"/>
      <c r="Y510" s="545"/>
      <c r="Z510" s="546"/>
      <c r="AA510" s="546"/>
      <c r="AB510" s="547"/>
      <c r="AC510" s="545"/>
      <c r="AD510" s="546"/>
      <c r="AE510" s="546"/>
      <c r="AF510" s="547"/>
      <c r="AG510" s="545"/>
      <c r="AH510" s="546"/>
      <c r="AI510" s="546"/>
      <c r="AJ510" s="547"/>
      <c r="AK510" s="545"/>
      <c r="AL510" s="546"/>
      <c r="AM510" s="546"/>
      <c r="AN510" s="547"/>
      <c r="AO510" s="545"/>
      <c r="AP510" s="546"/>
      <c r="AQ510" s="546"/>
      <c r="AR510" s="547"/>
      <c r="AS510" s="545"/>
      <c r="AT510" s="546"/>
      <c r="AU510" s="546"/>
      <c r="AV510" s="547"/>
      <c r="AW510" s="545"/>
      <c r="AX510" s="546"/>
      <c r="AY510" s="546"/>
      <c r="AZ510" s="547"/>
      <c r="BG510" s="93"/>
      <c r="BH510" s="93"/>
      <c r="BI510" s="93"/>
      <c r="BJ510" s="217"/>
      <c r="BK510" s="164"/>
      <c r="BL510" s="165"/>
      <c r="BM510" s="165"/>
      <c r="BN510" s="165"/>
      <c r="BO510" s="165"/>
      <c r="BP510" s="165"/>
      <c r="BQ510" s="165"/>
      <c r="BR510" s="165"/>
      <c r="BS510" s="165"/>
      <c r="BT510" s="165"/>
      <c r="BU510" s="165"/>
      <c r="BV510" s="165"/>
      <c r="BW510" s="165"/>
      <c r="BX510" s="165"/>
      <c r="BY510" s="165"/>
      <c r="BZ510" s="165"/>
      <c r="CA510" s="165"/>
      <c r="CB510" s="217"/>
      <c r="CC510" s="126"/>
      <c r="CD510" s="126"/>
      <c r="CE510" s="143"/>
    </row>
    <row r="511" spans="1:83">
      <c r="A511" s="107"/>
      <c r="B511" s="107"/>
      <c r="C511" s="107"/>
      <c r="D511" s="107"/>
      <c r="E511" s="548"/>
      <c r="F511" s="549"/>
      <c r="G511" s="549"/>
      <c r="H511" s="550"/>
      <c r="I511" s="540"/>
      <c r="J511" s="541"/>
      <c r="K511" s="541"/>
      <c r="L511" s="542"/>
      <c r="M511" s="540"/>
      <c r="N511" s="541"/>
      <c r="O511" s="541"/>
      <c r="P511" s="542"/>
      <c r="Q511" s="540"/>
      <c r="R511" s="541"/>
      <c r="S511" s="541"/>
      <c r="T511" s="542"/>
      <c r="U511" s="540"/>
      <c r="V511" s="541"/>
      <c r="W511" s="541"/>
      <c r="X511" s="542"/>
      <c r="Y511" s="540"/>
      <c r="Z511" s="541"/>
      <c r="AA511" s="541"/>
      <c r="AB511" s="542"/>
      <c r="AC511" s="540"/>
      <c r="AD511" s="541"/>
      <c r="AE511" s="541"/>
      <c r="AF511" s="542"/>
      <c r="AG511" s="540"/>
      <c r="AH511" s="541"/>
      <c r="AI511" s="541"/>
      <c r="AJ511" s="542"/>
      <c r="AK511" s="540"/>
      <c r="AL511" s="541"/>
      <c r="AM511" s="541"/>
      <c r="AN511" s="542"/>
      <c r="AO511" s="540"/>
      <c r="AP511" s="541"/>
      <c r="AQ511" s="541"/>
      <c r="AR511" s="542"/>
      <c r="AS511" s="540"/>
      <c r="AT511" s="541"/>
      <c r="AU511" s="541"/>
      <c r="AV511" s="542"/>
      <c r="AW511" s="540"/>
      <c r="AX511" s="541"/>
      <c r="AY511" s="541"/>
      <c r="AZ511" s="542"/>
      <c r="BG511" s="93"/>
      <c r="BH511" s="93"/>
      <c r="BI511" s="93"/>
      <c r="BJ511" s="217"/>
      <c r="BK511" s="164"/>
      <c r="BL511" s="165"/>
      <c r="BM511" s="165"/>
      <c r="BN511" s="165"/>
      <c r="BO511" s="165"/>
      <c r="BP511" s="165"/>
      <c r="BQ511" s="165"/>
      <c r="BR511" s="165"/>
      <c r="BS511" s="165"/>
      <c r="BT511" s="165"/>
      <c r="BU511" s="165"/>
      <c r="BV511" s="165"/>
      <c r="BW511" s="165"/>
      <c r="BX511" s="165"/>
      <c r="BY511" s="165"/>
      <c r="BZ511" s="165"/>
      <c r="CA511" s="165"/>
      <c r="CB511" s="217"/>
      <c r="CC511" s="126"/>
      <c r="CD511" s="126"/>
      <c r="CE511" s="143"/>
    </row>
    <row r="512" spans="1:83">
      <c r="A512" s="107"/>
      <c r="B512" s="107"/>
      <c r="C512" s="107"/>
      <c r="D512" s="107"/>
      <c r="E512" s="551"/>
      <c r="F512" s="552"/>
      <c r="G512" s="552"/>
      <c r="H512" s="553"/>
      <c r="I512" s="545"/>
      <c r="J512" s="546"/>
      <c r="K512" s="546"/>
      <c r="L512" s="547"/>
      <c r="M512" s="545"/>
      <c r="N512" s="546"/>
      <c r="O512" s="546"/>
      <c r="P512" s="547"/>
      <c r="Q512" s="545"/>
      <c r="R512" s="546"/>
      <c r="S512" s="546"/>
      <c r="T512" s="547"/>
      <c r="U512" s="545"/>
      <c r="V512" s="546"/>
      <c r="W512" s="546"/>
      <c r="X512" s="547"/>
      <c r="Y512" s="545"/>
      <c r="Z512" s="546"/>
      <c r="AA512" s="546"/>
      <c r="AB512" s="547"/>
      <c r="AC512" s="545"/>
      <c r="AD512" s="546"/>
      <c r="AE512" s="546"/>
      <c r="AF512" s="547"/>
      <c r="AG512" s="545"/>
      <c r="AH512" s="546"/>
      <c r="AI512" s="546"/>
      <c r="AJ512" s="547"/>
      <c r="AK512" s="545"/>
      <c r="AL512" s="546"/>
      <c r="AM512" s="546"/>
      <c r="AN512" s="547"/>
      <c r="AO512" s="545"/>
      <c r="AP512" s="546"/>
      <c r="AQ512" s="546"/>
      <c r="AR512" s="547"/>
      <c r="AS512" s="545"/>
      <c r="AT512" s="546"/>
      <c r="AU512" s="546"/>
      <c r="AV512" s="547"/>
      <c r="AW512" s="545"/>
      <c r="AX512" s="546"/>
      <c r="AY512" s="546"/>
      <c r="AZ512" s="547"/>
      <c r="BG512" s="93"/>
      <c r="BH512" s="93"/>
      <c r="BI512" s="93"/>
      <c r="BJ512" s="217"/>
      <c r="BK512" s="164"/>
      <c r="BL512" s="165"/>
      <c r="BM512" s="165"/>
      <c r="BN512" s="165"/>
      <c r="BO512" s="165"/>
      <c r="BP512" s="165"/>
      <c r="BQ512" s="165"/>
      <c r="BR512" s="165"/>
      <c r="BS512" s="165"/>
      <c r="BT512" s="165"/>
      <c r="BU512" s="165"/>
      <c r="BV512" s="165"/>
      <c r="BW512" s="165"/>
      <c r="BX512" s="165"/>
      <c r="BY512" s="165"/>
      <c r="BZ512" s="165"/>
      <c r="CA512" s="165"/>
      <c r="CB512" s="217"/>
      <c r="CC512" s="126"/>
      <c r="CD512" s="126"/>
      <c r="CE512" s="143"/>
    </row>
    <row r="513" spans="1:83">
      <c r="A513" s="107"/>
      <c r="B513" s="107"/>
      <c r="C513" s="107"/>
      <c r="D513" s="107"/>
      <c r="E513" s="548"/>
      <c r="F513" s="549"/>
      <c r="G513" s="549"/>
      <c r="H513" s="550"/>
      <c r="I513" s="540"/>
      <c r="J513" s="541"/>
      <c r="K513" s="541"/>
      <c r="L513" s="542"/>
      <c r="M513" s="540"/>
      <c r="N513" s="541"/>
      <c r="O513" s="541"/>
      <c r="P513" s="542"/>
      <c r="Q513" s="540"/>
      <c r="R513" s="541"/>
      <c r="S513" s="541"/>
      <c r="T513" s="542"/>
      <c r="U513" s="540"/>
      <c r="V513" s="541"/>
      <c r="W513" s="541"/>
      <c r="X513" s="542"/>
      <c r="Y513" s="540"/>
      <c r="Z513" s="541"/>
      <c r="AA513" s="541"/>
      <c r="AB513" s="542"/>
      <c r="AC513" s="540"/>
      <c r="AD513" s="541"/>
      <c r="AE513" s="541"/>
      <c r="AF513" s="542"/>
      <c r="AG513" s="540"/>
      <c r="AH513" s="541"/>
      <c r="AI513" s="541"/>
      <c r="AJ513" s="542"/>
      <c r="AK513" s="540"/>
      <c r="AL513" s="541"/>
      <c r="AM513" s="541"/>
      <c r="AN513" s="542"/>
      <c r="AO513" s="540"/>
      <c r="AP513" s="541"/>
      <c r="AQ513" s="541"/>
      <c r="AR513" s="542"/>
      <c r="AS513" s="540"/>
      <c r="AT513" s="541"/>
      <c r="AU513" s="541"/>
      <c r="AV513" s="542"/>
      <c r="AW513" s="540"/>
      <c r="AX513" s="541"/>
      <c r="AY513" s="541"/>
      <c r="AZ513" s="542"/>
      <c r="BG513" s="93"/>
      <c r="BH513" s="93"/>
      <c r="BI513" s="93"/>
      <c r="BJ513" s="217"/>
      <c r="BK513" s="164"/>
      <c r="BL513" s="165"/>
      <c r="BM513" s="165"/>
      <c r="BN513" s="165"/>
      <c r="BO513" s="165"/>
      <c r="BP513" s="165"/>
      <c r="BQ513" s="165"/>
      <c r="BR513" s="165"/>
      <c r="BS513" s="165"/>
      <c r="BT513" s="165"/>
      <c r="BU513" s="165"/>
      <c r="BV513" s="165"/>
      <c r="BW513" s="165"/>
      <c r="BX513" s="165"/>
      <c r="BY513" s="165"/>
      <c r="BZ513" s="165"/>
      <c r="CA513" s="165"/>
      <c r="CB513" s="217"/>
      <c r="CC513" s="126"/>
      <c r="CD513" s="126"/>
      <c r="CE513" s="143"/>
    </row>
    <row r="514" spans="1:83">
      <c r="A514" s="107"/>
      <c r="B514" s="107"/>
      <c r="C514" s="107"/>
      <c r="D514" s="107"/>
      <c r="E514" s="551"/>
      <c r="F514" s="552"/>
      <c r="G514" s="552"/>
      <c r="H514" s="553"/>
      <c r="I514" s="545"/>
      <c r="J514" s="546"/>
      <c r="K514" s="546"/>
      <c r="L514" s="547"/>
      <c r="M514" s="545"/>
      <c r="N514" s="546"/>
      <c r="O514" s="546"/>
      <c r="P514" s="547"/>
      <c r="Q514" s="545"/>
      <c r="R514" s="546"/>
      <c r="S514" s="546"/>
      <c r="T514" s="547"/>
      <c r="U514" s="545"/>
      <c r="V514" s="546"/>
      <c r="W514" s="546"/>
      <c r="X514" s="547"/>
      <c r="Y514" s="545"/>
      <c r="Z514" s="546"/>
      <c r="AA514" s="546"/>
      <c r="AB514" s="547"/>
      <c r="AC514" s="545"/>
      <c r="AD514" s="546"/>
      <c r="AE514" s="546"/>
      <c r="AF514" s="547"/>
      <c r="AG514" s="545"/>
      <c r="AH514" s="546"/>
      <c r="AI514" s="546"/>
      <c r="AJ514" s="547"/>
      <c r="AK514" s="545"/>
      <c r="AL514" s="546"/>
      <c r="AM514" s="546"/>
      <c r="AN514" s="547"/>
      <c r="AO514" s="545"/>
      <c r="AP514" s="546"/>
      <c r="AQ514" s="546"/>
      <c r="AR514" s="547"/>
      <c r="AS514" s="545"/>
      <c r="AT514" s="546"/>
      <c r="AU514" s="546"/>
      <c r="AV514" s="547"/>
      <c r="AW514" s="545"/>
      <c r="AX514" s="546"/>
      <c r="AY514" s="546"/>
      <c r="AZ514" s="547"/>
      <c r="BG514" s="93"/>
      <c r="BH514" s="93"/>
      <c r="BI514" s="93"/>
      <c r="BJ514" s="217"/>
      <c r="BK514" s="164"/>
      <c r="BL514" s="165"/>
      <c r="BM514" s="165"/>
      <c r="BN514" s="165"/>
      <c r="BO514" s="165"/>
      <c r="BP514" s="165"/>
      <c r="BQ514" s="165"/>
      <c r="BR514" s="165"/>
      <c r="BS514" s="165"/>
      <c r="BT514" s="165"/>
      <c r="BU514" s="165"/>
      <c r="BV514" s="165"/>
      <c r="BW514" s="165"/>
      <c r="BX514" s="165"/>
      <c r="BY514" s="165"/>
      <c r="BZ514" s="165"/>
      <c r="CA514" s="165"/>
      <c r="CB514" s="217"/>
      <c r="CC514" s="126"/>
      <c r="CD514" s="126"/>
      <c r="CE514" s="143"/>
    </row>
    <row r="515" spans="1:83">
      <c r="A515" s="107"/>
      <c r="B515" s="107"/>
      <c r="C515" s="107"/>
      <c r="D515" s="107"/>
      <c r="E515" s="548"/>
      <c r="F515" s="549"/>
      <c r="G515" s="549"/>
      <c r="H515" s="550"/>
      <c r="I515" s="540"/>
      <c r="J515" s="541"/>
      <c r="K515" s="541"/>
      <c r="L515" s="542"/>
      <c r="M515" s="540"/>
      <c r="N515" s="541"/>
      <c r="O515" s="541"/>
      <c r="P515" s="542"/>
      <c r="Q515" s="540"/>
      <c r="R515" s="541"/>
      <c r="S515" s="541"/>
      <c r="T515" s="542"/>
      <c r="U515" s="540"/>
      <c r="V515" s="541"/>
      <c r="W515" s="541"/>
      <c r="X515" s="542"/>
      <c r="Y515" s="540"/>
      <c r="Z515" s="541"/>
      <c r="AA515" s="541"/>
      <c r="AB515" s="542"/>
      <c r="AC515" s="540"/>
      <c r="AD515" s="541"/>
      <c r="AE515" s="541"/>
      <c r="AF515" s="542"/>
      <c r="AG515" s="540"/>
      <c r="AH515" s="541"/>
      <c r="AI515" s="541"/>
      <c r="AJ515" s="542"/>
      <c r="AK515" s="540"/>
      <c r="AL515" s="541"/>
      <c r="AM515" s="541"/>
      <c r="AN515" s="542"/>
      <c r="AO515" s="540"/>
      <c r="AP515" s="541"/>
      <c r="AQ515" s="541"/>
      <c r="AR515" s="542"/>
      <c r="AS515" s="540"/>
      <c r="AT515" s="541"/>
      <c r="AU515" s="541"/>
      <c r="AV515" s="542"/>
      <c r="AW515" s="540"/>
      <c r="AX515" s="541"/>
      <c r="AY515" s="541"/>
      <c r="AZ515" s="542"/>
      <c r="BG515" s="93"/>
      <c r="BH515" s="93"/>
      <c r="BI515" s="93"/>
      <c r="BJ515" s="217"/>
      <c r="BK515" s="164"/>
      <c r="BL515" s="165"/>
      <c r="BM515" s="165"/>
      <c r="BN515" s="165"/>
      <c r="BO515" s="165"/>
      <c r="BP515" s="165"/>
      <c r="BQ515" s="165"/>
      <c r="BR515" s="165"/>
      <c r="BS515" s="165"/>
      <c r="BT515" s="165"/>
      <c r="BU515" s="165"/>
      <c r="BV515" s="165"/>
      <c r="BW515" s="165"/>
      <c r="BX515" s="165"/>
      <c r="BY515" s="165"/>
      <c r="BZ515" s="165"/>
      <c r="CA515" s="165"/>
      <c r="CB515" s="217"/>
      <c r="CC515" s="126"/>
      <c r="CD515" s="126"/>
      <c r="CE515" s="143"/>
    </row>
    <row r="516" spans="1:83">
      <c r="A516" s="107"/>
      <c r="B516" s="107"/>
      <c r="C516" s="107"/>
      <c r="D516" s="107"/>
      <c r="E516" s="551"/>
      <c r="F516" s="552"/>
      <c r="G516" s="552"/>
      <c r="H516" s="553"/>
      <c r="I516" s="545"/>
      <c r="J516" s="546"/>
      <c r="K516" s="546"/>
      <c r="L516" s="547"/>
      <c r="M516" s="545"/>
      <c r="N516" s="546"/>
      <c r="O516" s="546"/>
      <c r="P516" s="547"/>
      <c r="Q516" s="545"/>
      <c r="R516" s="546"/>
      <c r="S516" s="546"/>
      <c r="T516" s="547"/>
      <c r="U516" s="545"/>
      <c r="V516" s="546"/>
      <c r="W516" s="546"/>
      <c r="X516" s="547"/>
      <c r="Y516" s="545"/>
      <c r="Z516" s="546"/>
      <c r="AA516" s="546"/>
      <c r="AB516" s="547"/>
      <c r="AC516" s="545"/>
      <c r="AD516" s="546"/>
      <c r="AE516" s="546"/>
      <c r="AF516" s="547"/>
      <c r="AG516" s="545"/>
      <c r="AH516" s="546"/>
      <c r="AI516" s="546"/>
      <c r="AJ516" s="547"/>
      <c r="AK516" s="545"/>
      <c r="AL516" s="546"/>
      <c r="AM516" s="546"/>
      <c r="AN516" s="547"/>
      <c r="AO516" s="545"/>
      <c r="AP516" s="546"/>
      <c r="AQ516" s="546"/>
      <c r="AR516" s="547"/>
      <c r="AS516" s="545"/>
      <c r="AT516" s="546"/>
      <c r="AU516" s="546"/>
      <c r="AV516" s="547"/>
      <c r="AW516" s="545"/>
      <c r="AX516" s="546"/>
      <c r="AY516" s="546"/>
      <c r="AZ516" s="547"/>
      <c r="BG516" s="93"/>
      <c r="BH516" s="93"/>
      <c r="BI516" s="93"/>
      <c r="BJ516" s="217"/>
      <c r="BK516" s="164"/>
      <c r="BL516" s="165"/>
      <c r="BM516" s="165"/>
      <c r="BN516" s="165"/>
      <c r="BO516" s="165"/>
      <c r="BP516" s="165"/>
      <c r="BQ516" s="165"/>
      <c r="BR516" s="165"/>
      <c r="BS516" s="165"/>
      <c r="BT516" s="165"/>
      <c r="BU516" s="165"/>
      <c r="BV516" s="165"/>
      <c r="BW516" s="165"/>
      <c r="BX516" s="165"/>
      <c r="BY516" s="165"/>
      <c r="BZ516" s="165"/>
      <c r="CA516" s="165"/>
      <c r="CB516" s="217"/>
      <c r="CC516" s="126"/>
      <c r="CD516" s="126"/>
      <c r="CE516" s="143"/>
    </row>
    <row r="517" spans="1:83">
      <c r="A517" s="107"/>
      <c r="B517" s="107"/>
      <c r="C517" s="107"/>
      <c r="D517" s="107"/>
      <c r="E517" s="548"/>
      <c r="F517" s="549"/>
      <c r="G517" s="549"/>
      <c r="H517" s="550"/>
      <c r="I517" s="540"/>
      <c r="J517" s="541"/>
      <c r="K517" s="541"/>
      <c r="L517" s="542"/>
      <c r="M517" s="540"/>
      <c r="N517" s="541"/>
      <c r="O517" s="541"/>
      <c r="P517" s="542"/>
      <c r="Q517" s="540"/>
      <c r="R517" s="541"/>
      <c r="S517" s="541"/>
      <c r="T517" s="542"/>
      <c r="U517" s="540"/>
      <c r="V517" s="541"/>
      <c r="W517" s="541"/>
      <c r="X517" s="542"/>
      <c r="Y517" s="540"/>
      <c r="Z517" s="541"/>
      <c r="AA517" s="541"/>
      <c r="AB517" s="542"/>
      <c r="AC517" s="540"/>
      <c r="AD517" s="541"/>
      <c r="AE517" s="541"/>
      <c r="AF517" s="542"/>
      <c r="AG517" s="540"/>
      <c r="AH517" s="541"/>
      <c r="AI517" s="541"/>
      <c r="AJ517" s="542"/>
      <c r="AK517" s="540"/>
      <c r="AL517" s="541"/>
      <c r="AM517" s="541"/>
      <c r="AN517" s="542"/>
      <c r="AO517" s="540"/>
      <c r="AP517" s="541"/>
      <c r="AQ517" s="541"/>
      <c r="AR517" s="542"/>
      <c r="AS517" s="540"/>
      <c r="AT517" s="541"/>
      <c r="AU517" s="541"/>
      <c r="AV517" s="542"/>
      <c r="AW517" s="540"/>
      <c r="AX517" s="541"/>
      <c r="AY517" s="541"/>
      <c r="AZ517" s="542"/>
      <c r="BG517" s="93"/>
      <c r="BH517" s="93"/>
      <c r="BI517" s="93"/>
      <c r="BJ517" s="217"/>
      <c r="BK517" s="164"/>
      <c r="BL517" s="165"/>
      <c r="BM517" s="165"/>
      <c r="BN517" s="165"/>
      <c r="BO517" s="165"/>
      <c r="BP517" s="165"/>
      <c r="BQ517" s="165"/>
      <c r="BR517" s="165"/>
      <c r="BS517" s="165"/>
      <c r="BT517" s="165"/>
      <c r="BU517" s="165"/>
      <c r="BV517" s="165"/>
      <c r="BW517" s="165"/>
      <c r="BX517" s="165"/>
      <c r="BY517" s="165"/>
      <c r="BZ517" s="165"/>
      <c r="CA517" s="165"/>
      <c r="CB517" s="217"/>
      <c r="CC517" s="126"/>
      <c r="CD517" s="126"/>
      <c r="CE517" s="143"/>
    </row>
    <row r="518" spans="1:83">
      <c r="A518" s="107"/>
      <c r="B518" s="107"/>
      <c r="C518" s="107"/>
      <c r="D518" s="107"/>
      <c r="E518" s="551"/>
      <c r="F518" s="552"/>
      <c r="G518" s="552"/>
      <c r="H518" s="553"/>
      <c r="I518" s="545"/>
      <c r="J518" s="546"/>
      <c r="K518" s="546"/>
      <c r="L518" s="547"/>
      <c r="M518" s="545"/>
      <c r="N518" s="546"/>
      <c r="O518" s="546"/>
      <c r="P518" s="547"/>
      <c r="Q518" s="545"/>
      <c r="R518" s="546"/>
      <c r="S518" s="546"/>
      <c r="T518" s="547"/>
      <c r="U518" s="545"/>
      <c r="V518" s="546"/>
      <c r="W518" s="546"/>
      <c r="X518" s="547"/>
      <c r="Y518" s="545"/>
      <c r="Z518" s="546"/>
      <c r="AA518" s="546"/>
      <c r="AB518" s="547"/>
      <c r="AC518" s="545"/>
      <c r="AD518" s="546"/>
      <c r="AE518" s="546"/>
      <c r="AF518" s="547"/>
      <c r="AG518" s="545"/>
      <c r="AH518" s="546"/>
      <c r="AI518" s="546"/>
      <c r="AJ518" s="547"/>
      <c r="AK518" s="545"/>
      <c r="AL518" s="546"/>
      <c r="AM518" s="546"/>
      <c r="AN518" s="547"/>
      <c r="AO518" s="545"/>
      <c r="AP518" s="546"/>
      <c r="AQ518" s="546"/>
      <c r="AR518" s="547"/>
      <c r="AS518" s="545"/>
      <c r="AT518" s="546"/>
      <c r="AU518" s="546"/>
      <c r="AV518" s="547"/>
      <c r="AW518" s="545"/>
      <c r="AX518" s="546"/>
      <c r="AY518" s="546"/>
      <c r="AZ518" s="547"/>
      <c r="BG518" s="93"/>
      <c r="BH518" s="93"/>
      <c r="BI518" s="93"/>
      <c r="BJ518" s="217"/>
      <c r="BK518" s="164"/>
      <c r="BL518" s="165"/>
      <c r="BM518" s="165"/>
      <c r="BN518" s="165"/>
      <c r="BO518" s="165"/>
      <c r="BP518" s="165"/>
      <c r="BQ518" s="165"/>
      <c r="BR518" s="165"/>
      <c r="BS518" s="165"/>
      <c r="BT518" s="165"/>
      <c r="BU518" s="165"/>
      <c r="BV518" s="165"/>
      <c r="BW518" s="165"/>
      <c r="BX518" s="165"/>
      <c r="BY518" s="165"/>
      <c r="BZ518" s="165"/>
      <c r="CA518" s="165"/>
      <c r="CB518" s="217"/>
      <c r="CC518" s="126"/>
      <c r="CD518" s="126"/>
      <c r="CE518" s="143"/>
    </row>
    <row r="519" spans="1:83">
      <c r="A519" s="107"/>
      <c r="B519" s="107"/>
      <c r="C519" s="107"/>
      <c r="D519" s="107"/>
      <c r="E519" s="548"/>
      <c r="F519" s="549"/>
      <c r="G519" s="549"/>
      <c r="H519" s="550"/>
      <c r="I519" s="540"/>
      <c r="J519" s="541"/>
      <c r="K519" s="541"/>
      <c r="L519" s="542"/>
      <c r="M519" s="540"/>
      <c r="N519" s="541"/>
      <c r="O519" s="541"/>
      <c r="P519" s="542"/>
      <c r="Q519" s="540"/>
      <c r="R519" s="541"/>
      <c r="S519" s="541"/>
      <c r="T519" s="542"/>
      <c r="U519" s="540"/>
      <c r="V519" s="541"/>
      <c r="W519" s="541"/>
      <c r="X519" s="542"/>
      <c r="Y519" s="540"/>
      <c r="Z519" s="541"/>
      <c r="AA519" s="541"/>
      <c r="AB519" s="542"/>
      <c r="AC519" s="540"/>
      <c r="AD519" s="541"/>
      <c r="AE519" s="541"/>
      <c r="AF519" s="542"/>
      <c r="AG519" s="540"/>
      <c r="AH519" s="541"/>
      <c r="AI519" s="541"/>
      <c r="AJ519" s="542"/>
      <c r="AK519" s="540"/>
      <c r="AL519" s="541"/>
      <c r="AM519" s="541"/>
      <c r="AN519" s="542"/>
      <c r="AO519" s="540"/>
      <c r="AP519" s="541"/>
      <c r="AQ519" s="541"/>
      <c r="AR519" s="542"/>
      <c r="AS519" s="540"/>
      <c r="AT519" s="541"/>
      <c r="AU519" s="541"/>
      <c r="AV519" s="542"/>
      <c r="AW519" s="540"/>
      <c r="AX519" s="541"/>
      <c r="AY519" s="541"/>
      <c r="AZ519" s="542"/>
      <c r="BG519" s="93"/>
      <c r="BH519" s="93"/>
      <c r="BI519" s="93"/>
      <c r="BJ519" s="217"/>
      <c r="BK519" s="164"/>
      <c r="BL519" s="165"/>
      <c r="BM519" s="165"/>
      <c r="BN519" s="165"/>
      <c r="BO519" s="165"/>
      <c r="BP519" s="165"/>
      <c r="BQ519" s="165"/>
      <c r="BR519" s="165"/>
      <c r="BS519" s="165"/>
      <c r="BT519" s="165"/>
      <c r="BU519" s="165"/>
      <c r="BV519" s="165"/>
      <c r="BW519" s="165"/>
      <c r="BX519" s="165"/>
      <c r="BY519" s="165"/>
      <c r="BZ519" s="165"/>
      <c r="CA519" s="165"/>
      <c r="CB519" s="217"/>
      <c r="CC519" s="126"/>
      <c r="CD519" s="126"/>
      <c r="CE519" s="143"/>
    </row>
    <row r="520" spans="1:83">
      <c r="A520" s="107"/>
      <c r="B520" s="107"/>
      <c r="C520" s="107"/>
      <c r="D520" s="107"/>
      <c r="E520" s="551"/>
      <c r="F520" s="552"/>
      <c r="G520" s="552"/>
      <c r="H520" s="553"/>
      <c r="I520" s="545"/>
      <c r="J520" s="546"/>
      <c r="K520" s="546"/>
      <c r="L520" s="547"/>
      <c r="M520" s="545"/>
      <c r="N520" s="546"/>
      <c r="O520" s="546"/>
      <c r="P520" s="547"/>
      <c r="Q520" s="545"/>
      <c r="R520" s="546"/>
      <c r="S520" s="546"/>
      <c r="T520" s="547"/>
      <c r="U520" s="545"/>
      <c r="V520" s="546"/>
      <c r="W520" s="546"/>
      <c r="X520" s="547"/>
      <c r="Y520" s="545"/>
      <c r="Z520" s="546"/>
      <c r="AA520" s="546"/>
      <c r="AB520" s="547"/>
      <c r="AC520" s="545"/>
      <c r="AD520" s="546"/>
      <c r="AE520" s="546"/>
      <c r="AF520" s="547"/>
      <c r="AG520" s="545"/>
      <c r="AH520" s="546"/>
      <c r="AI520" s="546"/>
      <c r="AJ520" s="547"/>
      <c r="AK520" s="545"/>
      <c r="AL520" s="546"/>
      <c r="AM520" s="546"/>
      <c r="AN520" s="547"/>
      <c r="AO520" s="545"/>
      <c r="AP520" s="546"/>
      <c r="AQ520" s="546"/>
      <c r="AR520" s="547"/>
      <c r="AS520" s="545"/>
      <c r="AT520" s="546"/>
      <c r="AU520" s="546"/>
      <c r="AV520" s="547"/>
      <c r="AW520" s="545"/>
      <c r="AX520" s="546"/>
      <c r="AY520" s="546"/>
      <c r="AZ520" s="547"/>
      <c r="BG520" s="93"/>
      <c r="BH520" s="93"/>
      <c r="BI520" s="93"/>
      <c r="BJ520" s="217"/>
      <c r="BK520" s="164"/>
      <c r="BL520" s="165"/>
      <c r="BM520" s="165"/>
      <c r="BN520" s="165"/>
      <c r="BO520" s="165"/>
      <c r="BP520" s="165"/>
      <c r="BQ520" s="165"/>
      <c r="BR520" s="165"/>
      <c r="BS520" s="165"/>
      <c r="BT520" s="165"/>
      <c r="BU520" s="165"/>
      <c r="BV520" s="165"/>
      <c r="BW520" s="165"/>
      <c r="BX520" s="165"/>
      <c r="BY520" s="165"/>
      <c r="BZ520" s="165"/>
      <c r="CA520" s="165"/>
      <c r="CB520" s="217"/>
      <c r="CC520" s="126"/>
      <c r="CD520" s="126"/>
      <c r="CE520" s="143"/>
    </row>
    <row r="521" spans="1:83">
      <c r="A521" s="107"/>
      <c r="B521" s="107"/>
      <c r="C521" s="107"/>
      <c r="D521" s="107"/>
      <c r="E521" s="548"/>
      <c r="F521" s="549"/>
      <c r="G521" s="549"/>
      <c r="H521" s="550"/>
      <c r="I521" s="540"/>
      <c r="J521" s="541"/>
      <c r="K521" s="541"/>
      <c r="L521" s="542"/>
      <c r="M521" s="540"/>
      <c r="N521" s="541"/>
      <c r="O521" s="541"/>
      <c r="P521" s="542"/>
      <c r="Q521" s="540"/>
      <c r="R521" s="541"/>
      <c r="S521" s="541"/>
      <c r="T521" s="542"/>
      <c r="U521" s="540"/>
      <c r="V521" s="541"/>
      <c r="W521" s="541"/>
      <c r="X521" s="542"/>
      <c r="Y521" s="540"/>
      <c r="Z521" s="541"/>
      <c r="AA521" s="541"/>
      <c r="AB521" s="542"/>
      <c r="AC521" s="540"/>
      <c r="AD521" s="541"/>
      <c r="AE521" s="541"/>
      <c r="AF521" s="542"/>
      <c r="AG521" s="540"/>
      <c r="AH521" s="541"/>
      <c r="AI521" s="541"/>
      <c r="AJ521" s="542"/>
      <c r="AK521" s="540"/>
      <c r="AL521" s="541"/>
      <c r="AM521" s="541"/>
      <c r="AN521" s="542"/>
      <c r="AO521" s="540"/>
      <c r="AP521" s="541"/>
      <c r="AQ521" s="541"/>
      <c r="AR521" s="542"/>
      <c r="AS521" s="540"/>
      <c r="AT521" s="541"/>
      <c r="AU521" s="541"/>
      <c r="AV521" s="542"/>
      <c r="AW521" s="540"/>
      <c r="AX521" s="541"/>
      <c r="AY521" s="541"/>
      <c r="AZ521" s="542"/>
      <c r="BG521" s="93"/>
      <c r="BH521" s="93"/>
      <c r="BI521" s="93"/>
      <c r="BJ521" s="217"/>
      <c r="BK521" s="164"/>
      <c r="BL521" s="165"/>
      <c r="BM521" s="165"/>
      <c r="BN521" s="165"/>
      <c r="BO521" s="165"/>
      <c r="BP521" s="165"/>
      <c r="BQ521" s="165"/>
      <c r="BR521" s="165"/>
      <c r="BS521" s="165"/>
      <c r="BT521" s="165"/>
      <c r="BU521" s="165"/>
      <c r="BV521" s="165"/>
      <c r="BW521" s="165"/>
      <c r="BX521" s="165"/>
      <c r="BY521" s="165"/>
      <c r="BZ521" s="165"/>
      <c r="CA521" s="165"/>
      <c r="CB521" s="217"/>
      <c r="CC521" s="126"/>
      <c r="CD521" s="126"/>
      <c r="CE521" s="143"/>
    </row>
    <row r="522" spans="1:83">
      <c r="A522" s="107"/>
      <c r="B522" s="107"/>
      <c r="C522" s="107"/>
      <c r="D522" s="107"/>
      <c r="E522" s="551"/>
      <c r="F522" s="552"/>
      <c r="G522" s="552"/>
      <c r="H522" s="553"/>
      <c r="I522" s="545"/>
      <c r="J522" s="546"/>
      <c r="K522" s="546"/>
      <c r="L522" s="547"/>
      <c r="M522" s="545"/>
      <c r="N522" s="546"/>
      <c r="O522" s="546"/>
      <c r="P522" s="547"/>
      <c r="Q522" s="545"/>
      <c r="R522" s="546"/>
      <c r="S522" s="546"/>
      <c r="T522" s="547"/>
      <c r="U522" s="545"/>
      <c r="V522" s="546"/>
      <c r="W522" s="546"/>
      <c r="X522" s="547"/>
      <c r="Y522" s="545"/>
      <c r="Z522" s="546"/>
      <c r="AA522" s="546"/>
      <c r="AB522" s="547"/>
      <c r="AC522" s="545"/>
      <c r="AD522" s="546"/>
      <c r="AE522" s="546"/>
      <c r="AF522" s="547"/>
      <c r="AG522" s="545"/>
      <c r="AH522" s="546"/>
      <c r="AI522" s="546"/>
      <c r="AJ522" s="547"/>
      <c r="AK522" s="545"/>
      <c r="AL522" s="546"/>
      <c r="AM522" s="546"/>
      <c r="AN522" s="547"/>
      <c r="AO522" s="545"/>
      <c r="AP522" s="546"/>
      <c r="AQ522" s="546"/>
      <c r="AR522" s="547"/>
      <c r="AS522" s="545"/>
      <c r="AT522" s="546"/>
      <c r="AU522" s="546"/>
      <c r="AV522" s="547"/>
      <c r="AW522" s="545"/>
      <c r="AX522" s="546"/>
      <c r="AY522" s="546"/>
      <c r="AZ522" s="547"/>
      <c r="BG522" s="93"/>
      <c r="BH522" s="93"/>
      <c r="BI522" s="93"/>
      <c r="BJ522" s="217"/>
      <c r="BK522" s="164"/>
      <c r="BL522" s="165"/>
      <c r="BM522" s="165"/>
      <c r="BN522" s="165"/>
      <c r="BO522" s="165"/>
      <c r="BP522" s="165"/>
      <c r="BQ522" s="165"/>
      <c r="BR522" s="165"/>
      <c r="BS522" s="165"/>
      <c r="BT522" s="165"/>
      <c r="BU522" s="165"/>
      <c r="BV522" s="165"/>
      <c r="BW522" s="165"/>
      <c r="BX522" s="165"/>
      <c r="BY522" s="165"/>
      <c r="BZ522" s="165"/>
      <c r="CA522" s="165"/>
      <c r="CB522" s="217"/>
      <c r="CC522" s="126"/>
      <c r="CD522" s="126"/>
      <c r="CE522" s="143"/>
    </row>
    <row r="523" spans="1:83">
      <c r="A523" s="107"/>
      <c r="B523" s="107"/>
      <c r="C523" s="107"/>
      <c r="D523" s="107"/>
      <c r="E523" s="548"/>
      <c r="F523" s="549"/>
      <c r="G523" s="549"/>
      <c r="H523" s="550"/>
      <c r="I523" s="540"/>
      <c r="J523" s="541"/>
      <c r="K523" s="541"/>
      <c r="L523" s="542"/>
      <c r="M523" s="540"/>
      <c r="N523" s="541"/>
      <c r="O523" s="541"/>
      <c r="P523" s="542"/>
      <c r="Q523" s="540"/>
      <c r="R523" s="541"/>
      <c r="S523" s="541"/>
      <c r="T523" s="542"/>
      <c r="U523" s="540"/>
      <c r="V523" s="541"/>
      <c r="W523" s="541"/>
      <c r="X523" s="542"/>
      <c r="Y523" s="540"/>
      <c r="Z523" s="541"/>
      <c r="AA523" s="541"/>
      <c r="AB523" s="542"/>
      <c r="AC523" s="540"/>
      <c r="AD523" s="541"/>
      <c r="AE523" s="541"/>
      <c r="AF523" s="542"/>
      <c r="AG523" s="540"/>
      <c r="AH523" s="541"/>
      <c r="AI523" s="541"/>
      <c r="AJ523" s="542"/>
      <c r="AK523" s="540"/>
      <c r="AL523" s="541"/>
      <c r="AM523" s="541"/>
      <c r="AN523" s="542"/>
      <c r="AO523" s="540"/>
      <c r="AP523" s="541"/>
      <c r="AQ523" s="541"/>
      <c r="AR523" s="542"/>
      <c r="AS523" s="540"/>
      <c r="AT523" s="541"/>
      <c r="AU523" s="541"/>
      <c r="AV523" s="542"/>
      <c r="AW523" s="540"/>
      <c r="AX523" s="541"/>
      <c r="AY523" s="541"/>
      <c r="AZ523" s="542"/>
      <c r="BG523" s="93"/>
      <c r="BH523" s="93"/>
      <c r="BI523" s="93"/>
      <c r="BJ523" s="217"/>
      <c r="BK523" s="164"/>
      <c r="BL523" s="165"/>
      <c r="BM523" s="165"/>
      <c r="BN523" s="165"/>
      <c r="BO523" s="165"/>
      <c r="BP523" s="165"/>
      <c r="BQ523" s="165"/>
      <c r="BR523" s="165"/>
      <c r="BS523" s="165"/>
      <c r="BT523" s="165"/>
      <c r="BU523" s="165"/>
      <c r="BV523" s="165"/>
      <c r="BW523" s="165"/>
      <c r="BX523" s="165"/>
      <c r="BY523" s="165"/>
      <c r="BZ523" s="165"/>
      <c r="CA523" s="165"/>
      <c r="CB523" s="217"/>
      <c r="CC523" s="126"/>
      <c r="CD523" s="126"/>
      <c r="CE523" s="143"/>
    </row>
    <row r="524" spans="1:83">
      <c r="A524" s="107"/>
      <c r="B524" s="107"/>
      <c r="C524" s="107"/>
      <c r="D524" s="107"/>
      <c r="E524" s="551"/>
      <c r="F524" s="552"/>
      <c r="G524" s="552"/>
      <c r="H524" s="553"/>
      <c r="I524" s="545"/>
      <c r="J524" s="546"/>
      <c r="K524" s="546"/>
      <c r="L524" s="547"/>
      <c r="M524" s="545"/>
      <c r="N524" s="546"/>
      <c r="O524" s="546"/>
      <c r="P524" s="547"/>
      <c r="Q524" s="545"/>
      <c r="R524" s="546"/>
      <c r="S524" s="546"/>
      <c r="T524" s="547"/>
      <c r="U524" s="545"/>
      <c r="V524" s="546"/>
      <c r="W524" s="546"/>
      <c r="X524" s="547"/>
      <c r="Y524" s="545"/>
      <c r="Z524" s="546"/>
      <c r="AA524" s="546"/>
      <c r="AB524" s="547"/>
      <c r="AC524" s="545"/>
      <c r="AD524" s="546"/>
      <c r="AE524" s="546"/>
      <c r="AF524" s="547"/>
      <c r="AG524" s="545"/>
      <c r="AH524" s="546"/>
      <c r="AI524" s="546"/>
      <c r="AJ524" s="547"/>
      <c r="AK524" s="545"/>
      <c r="AL524" s="546"/>
      <c r="AM524" s="546"/>
      <c r="AN524" s="547"/>
      <c r="AO524" s="545"/>
      <c r="AP524" s="546"/>
      <c r="AQ524" s="546"/>
      <c r="AR524" s="547"/>
      <c r="AS524" s="545"/>
      <c r="AT524" s="546"/>
      <c r="AU524" s="546"/>
      <c r="AV524" s="547"/>
      <c r="AW524" s="545"/>
      <c r="AX524" s="546"/>
      <c r="AY524" s="546"/>
      <c r="AZ524" s="547"/>
      <c r="BG524" s="93"/>
      <c r="BH524" s="93"/>
      <c r="BI524" s="93"/>
      <c r="BJ524" s="217"/>
      <c r="BK524" s="164"/>
      <c r="BL524" s="165"/>
      <c r="BM524" s="165"/>
      <c r="BN524" s="165"/>
      <c r="BO524" s="165"/>
      <c r="BP524" s="165"/>
      <c r="BQ524" s="165"/>
      <c r="BR524" s="165"/>
      <c r="BS524" s="165"/>
      <c r="BT524" s="165"/>
      <c r="BU524" s="165"/>
      <c r="BV524" s="165"/>
      <c r="BW524" s="165"/>
      <c r="BX524" s="165"/>
      <c r="BY524" s="165"/>
      <c r="BZ524" s="165"/>
      <c r="CA524" s="165"/>
      <c r="CB524" s="217"/>
      <c r="CC524" s="126"/>
      <c r="CD524" s="126"/>
      <c r="CE524" s="143"/>
    </row>
    <row r="525" spans="1:83">
      <c r="A525" s="107"/>
      <c r="B525" s="107"/>
      <c r="C525" s="107"/>
      <c r="D525" s="107"/>
      <c r="E525" s="548"/>
      <c r="F525" s="549"/>
      <c r="G525" s="549"/>
      <c r="H525" s="550"/>
      <c r="I525" s="540"/>
      <c r="J525" s="541"/>
      <c r="K525" s="541"/>
      <c r="L525" s="542"/>
      <c r="M525" s="540"/>
      <c r="N525" s="541"/>
      <c r="O525" s="541"/>
      <c r="P525" s="542"/>
      <c r="Q525" s="540"/>
      <c r="R525" s="541"/>
      <c r="S525" s="541"/>
      <c r="T525" s="542"/>
      <c r="U525" s="540"/>
      <c r="V525" s="541"/>
      <c r="W525" s="541"/>
      <c r="X525" s="542"/>
      <c r="Y525" s="540"/>
      <c r="Z525" s="541"/>
      <c r="AA525" s="541"/>
      <c r="AB525" s="542"/>
      <c r="AC525" s="540"/>
      <c r="AD525" s="541"/>
      <c r="AE525" s="541"/>
      <c r="AF525" s="542"/>
      <c r="AG525" s="540"/>
      <c r="AH525" s="541"/>
      <c r="AI525" s="541"/>
      <c r="AJ525" s="542"/>
      <c r="AK525" s="540"/>
      <c r="AL525" s="541"/>
      <c r="AM525" s="541"/>
      <c r="AN525" s="542"/>
      <c r="AO525" s="540"/>
      <c r="AP525" s="541"/>
      <c r="AQ525" s="541"/>
      <c r="AR525" s="542"/>
      <c r="AS525" s="540"/>
      <c r="AT525" s="541"/>
      <c r="AU525" s="541"/>
      <c r="AV525" s="542"/>
      <c r="AW525" s="540"/>
      <c r="AX525" s="541"/>
      <c r="AY525" s="541"/>
      <c r="AZ525" s="542"/>
      <c r="BG525" s="93"/>
      <c r="BH525" s="93"/>
      <c r="BI525" s="93"/>
      <c r="BJ525" s="217"/>
      <c r="BK525" s="164"/>
      <c r="BL525" s="165"/>
      <c r="BM525" s="165"/>
      <c r="BN525" s="165"/>
      <c r="BO525" s="165"/>
      <c r="BP525" s="165"/>
      <c r="BQ525" s="165"/>
      <c r="BR525" s="165"/>
      <c r="BS525" s="165"/>
      <c r="BT525" s="165"/>
      <c r="BU525" s="165"/>
      <c r="BV525" s="165"/>
      <c r="BW525" s="165"/>
      <c r="BX525" s="165"/>
      <c r="BY525" s="165"/>
      <c r="BZ525" s="165"/>
      <c r="CA525" s="165"/>
      <c r="CB525" s="217"/>
      <c r="CC525" s="126"/>
      <c r="CD525" s="126"/>
      <c r="CE525" s="143"/>
    </row>
    <row r="526" spans="1:83">
      <c r="A526" s="107"/>
      <c r="B526" s="107"/>
      <c r="C526" s="107"/>
      <c r="D526" s="107"/>
      <c r="E526" s="551"/>
      <c r="F526" s="552"/>
      <c r="G526" s="552"/>
      <c r="H526" s="553"/>
      <c r="I526" s="545"/>
      <c r="J526" s="546"/>
      <c r="K526" s="546"/>
      <c r="L526" s="547"/>
      <c r="M526" s="545"/>
      <c r="N526" s="546"/>
      <c r="O526" s="546"/>
      <c r="P526" s="547"/>
      <c r="Q526" s="545"/>
      <c r="R526" s="546"/>
      <c r="S526" s="546"/>
      <c r="T526" s="547"/>
      <c r="U526" s="545"/>
      <c r="V526" s="546"/>
      <c r="W526" s="546"/>
      <c r="X526" s="547"/>
      <c r="Y526" s="545"/>
      <c r="Z526" s="546"/>
      <c r="AA526" s="546"/>
      <c r="AB526" s="547"/>
      <c r="AC526" s="545"/>
      <c r="AD526" s="546"/>
      <c r="AE526" s="546"/>
      <c r="AF526" s="547"/>
      <c r="AG526" s="545"/>
      <c r="AH526" s="546"/>
      <c r="AI526" s="546"/>
      <c r="AJ526" s="547"/>
      <c r="AK526" s="545"/>
      <c r="AL526" s="546"/>
      <c r="AM526" s="546"/>
      <c r="AN526" s="547"/>
      <c r="AO526" s="545"/>
      <c r="AP526" s="546"/>
      <c r="AQ526" s="546"/>
      <c r="AR526" s="547"/>
      <c r="AS526" s="545"/>
      <c r="AT526" s="546"/>
      <c r="AU526" s="546"/>
      <c r="AV526" s="547"/>
      <c r="AW526" s="545"/>
      <c r="AX526" s="546"/>
      <c r="AY526" s="546"/>
      <c r="AZ526" s="547"/>
      <c r="BG526" s="93"/>
      <c r="BH526" s="93"/>
      <c r="BI526" s="93"/>
      <c r="BJ526" s="217"/>
      <c r="BK526" s="164"/>
      <c r="BL526" s="165"/>
      <c r="BM526" s="165"/>
      <c r="BN526" s="165"/>
      <c r="BO526" s="165"/>
      <c r="BP526" s="165"/>
      <c r="BQ526" s="165"/>
      <c r="BR526" s="165"/>
      <c r="BS526" s="165"/>
      <c r="BT526" s="165"/>
      <c r="BU526" s="165"/>
      <c r="BV526" s="165"/>
      <c r="BW526" s="165"/>
      <c r="BX526" s="165"/>
      <c r="BY526" s="165"/>
      <c r="BZ526" s="165"/>
      <c r="CA526" s="165"/>
      <c r="CB526" s="217"/>
      <c r="CC526" s="126"/>
      <c r="CD526" s="126"/>
      <c r="CE526" s="143"/>
    </row>
    <row r="527" spans="1:83">
      <c r="A527" s="107"/>
      <c r="B527" s="107"/>
      <c r="C527" s="107"/>
      <c r="D527" s="107"/>
      <c r="E527" s="548"/>
      <c r="F527" s="549"/>
      <c r="G527" s="549"/>
      <c r="H527" s="550"/>
      <c r="I527" s="540"/>
      <c r="J527" s="541"/>
      <c r="K527" s="541"/>
      <c r="L527" s="542"/>
      <c r="M527" s="540"/>
      <c r="N527" s="541"/>
      <c r="O527" s="541"/>
      <c r="P527" s="542"/>
      <c r="Q527" s="540"/>
      <c r="R527" s="541"/>
      <c r="S527" s="541"/>
      <c r="T527" s="542"/>
      <c r="U527" s="540"/>
      <c r="V527" s="541"/>
      <c r="W527" s="541"/>
      <c r="X527" s="542"/>
      <c r="Y527" s="540"/>
      <c r="Z527" s="541"/>
      <c r="AA527" s="541"/>
      <c r="AB527" s="542"/>
      <c r="AC527" s="540"/>
      <c r="AD527" s="541"/>
      <c r="AE527" s="541"/>
      <c r="AF527" s="542"/>
      <c r="AG527" s="540"/>
      <c r="AH527" s="541"/>
      <c r="AI527" s="541"/>
      <c r="AJ527" s="542"/>
      <c r="AK527" s="540"/>
      <c r="AL527" s="541"/>
      <c r="AM527" s="541"/>
      <c r="AN527" s="542"/>
      <c r="AO527" s="540"/>
      <c r="AP527" s="541"/>
      <c r="AQ527" s="541"/>
      <c r="AR527" s="542"/>
      <c r="AS527" s="540"/>
      <c r="AT527" s="541"/>
      <c r="AU527" s="541"/>
      <c r="AV527" s="542"/>
      <c r="AW527" s="540"/>
      <c r="AX527" s="541"/>
      <c r="AY527" s="541"/>
      <c r="AZ527" s="542"/>
      <c r="BG527" s="93"/>
      <c r="BH527" s="93"/>
      <c r="BI527" s="93"/>
      <c r="BJ527" s="217"/>
      <c r="BK527" s="164"/>
      <c r="BL527" s="165"/>
      <c r="BM527" s="165"/>
      <c r="BN527" s="165"/>
      <c r="BO527" s="165"/>
      <c r="BP527" s="165"/>
      <c r="BQ527" s="165"/>
      <c r="BR527" s="165"/>
      <c r="BS527" s="165"/>
      <c r="BT527" s="165"/>
      <c r="BU527" s="165"/>
      <c r="BV527" s="165"/>
      <c r="BW527" s="165"/>
      <c r="BX527" s="165"/>
      <c r="BY527" s="165"/>
      <c r="BZ527" s="165"/>
      <c r="CA527" s="165"/>
      <c r="CB527" s="217"/>
      <c r="CC527" s="126"/>
      <c r="CD527" s="126"/>
      <c r="CE527" s="143"/>
    </row>
    <row r="528" spans="1:83">
      <c r="A528" s="107"/>
      <c r="B528" s="107"/>
      <c r="C528" s="107"/>
      <c r="D528" s="107"/>
      <c r="E528" s="551"/>
      <c r="F528" s="552"/>
      <c r="G528" s="552"/>
      <c r="H528" s="553"/>
      <c r="I528" s="545"/>
      <c r="J528" s="546"/>
      <c r="K528" s="546"/>
      <c r="L528" s="547"/>
      <c r="M528" s="545"/>
      <c r="N528" s="546"/>
      <c r="O528" s="546"/>
      <c r="P528" s="547"/>
      <c r="Q528" s="545"/>
      <c r="R528" s="546"/>
      <c r="S528" s="546"/>
      <c r="T528" s="547"/>
      <c r="U528" s="545"/>
      <c r="V528" s="546"/>
      <c r="W528" s="546"/>
      <c r="X528" s="547"/>
      <c r="Y528" s="545"/>
      <c r="Z528" s="546"/>
      <c r="AA528" s="546"/>
      <c r="AB528" s="547"/>
      <c r="AC528" s="545"/>
      <c r="AD528" s="546"/>
      <c r="AE528" s="546"/>
      <c r="AF528" s="547"/>
      <c r="AG528" s="545"/>
      <c r="AH528" s="546"/>
      <c r="AI528" s="546"/>
      <c r="AJ528" s="547"/>
      <c r="AK528" s="545"/>
      <c r="AL528" s="546"/>
      <c r="AM528" s="546"/>
      <c r="AN528" s="547"/>
      <c r="AO528" s="545"/>
      <c r="AP528" s="546"/>
      <c r="AQ528" s="546"/>
      <c r="AR528" s="547"/>
      <c r="AS528" s="545"/>
      <c r="AT528" s="546"/>
      <c r="AU528" s="546"/>
      <c r="AV528" s="547"/>
      <c r="AW528" s="545"/>
      <c r="AX528" s="546"/>
      <c r="AY528" s="546"/>
      <c r="AZ528" s="547"/>
      <c r="BG528" s="93"/>
      <c r="BH528" s="93"/>
      <c r="BI528" s="93"/>
      <c r="BJ528" s="217"/>
      <c r="BK528" s="164"/>
      <c r="BL528" s="165"/>
      <c r="BM528" s="165"/>
      <c r="BN528" s="165"/>
      <c r="BO528" s="165"/>
      <c r="BP528" s="165"/>
      <c r="BQ528" s="165"/>
      <c r="BR528" s="165"/>
      <c r="BS528" s="165"/>
      <c r="BT528" s="165"/>
      <c r="BU528" s="165"/>
      <c r="BV528" s="165"/>
      <c r="BW528" s="165"/>
      <c r="BX528" s="165"/>
      <c r="BY528" s="165"/>
      <c r="BZ528" s="165"/>
      <c r="CA528" s="165"/>
      <c r="CB528" s="217"/>
      <c r="CC528" s="126"/>
      <c r="CD528" s="126"/>
      <c r="CE528" s="143"/>
    </row>
    <row r="529" spans="1:83">
      <c r="A529" s="107"/>
      <c r="B529" s="107"/>
      <c r="C529" s="107"/>
      <c r="D529" s="107"/>
      <c r="E529" s="548"/>
      <c r="F529" s="549"/>
      <c r="G529" s="549"/>
      <c r="H529" s="550"/>
      <c r="I529" s="540"/>
      <c r="J529" s="541"/>
      <c r="K529" s="541"/>
      <c r="L529" s="542"/>
      <c r="M529" s="540"/>
      <c r="N529" s="541"/>
      <c r="O529" s="541"/>
      <c r="P529" s="542"/>
      <c r="Q529" s="540"/>
      <c r="R529" s="541"/>
      <c r="S529" s="541"/>
      <c r="T529" s="542"/>
      <c r="U529" s="540"/>
      <c r="V529" s="541"/>
      <c r="W529" s="541"/>
      <c r="X529" s="542"/>
      <c r="Y529" s="540"/>
      <c r="Z529" s="541"/>
      <c r="AA529" s="541"/>
      <c r="AB529" s="542"/>
      <c r="AC529" s="540"/>
      <c r="AD529" s="541"/>
      <c r="AE529" s="541"/>
      <c r="AF529" s="542"/>
      <c r="AG529" s="540"/>
      <c r="AH529" s="541"/>
      <c r="AI529" s="541"/>
      <c r="AJ529" s="542"/>
      <c r="AK529" s="540"/>
      <c r="AL529" s="541"/>
      <c r="AM529" s="541"/>
      <c r="AN529" s="542"/>
      <c r="AO529" s="540"/>
      <c r="AP529" s="541"/>
      <c r="AQ529" s="541"/>
      <c r="AR529" s="542"/>
      <c r="AS529" s="540"/>
      <c r="AT529" s="541"/>
      <c r="AU529" s="541"/>
      <c r="AV529" s="542"/>
      <c r="AW529" s="540"/>
      <c r="AX529" s="541"/>
      <c r="AY529" s="541"/>
      <c r="AZ529" s="542"/>
      <c r="BG529" s="93"/>
      <c r="BH529" s="93"/>
      <c r="BI529" s="93"/>
      <c r="BJ529" s="217"/>
      <c r="BK529" s="164"/>
      <c r="BL529" s="165"/>
      <c r="BM529" s="165"/>
      <c r="BN529" s="165"/>
      <c r="BO529" s="165"/>
      <c r="BP529" s="165"/>
      <c r="BQ529" s="165"/>
      <c r="BR529" s="165"/>
      <c r="BS529" s="165"/>
      <c r="BT529" s="165"/>
      <c r="BU529" s="165"/>
      <c r="BV529" s="165"/>
      <c r="BW529" s="165"/>
      <c r="BX529" s="165"/>
      <c r="BY529" s="165"/>
      <c r="BZ529" s="165"/>
      <c r="CA529" s="165"/>
      <c r="CB529" s="217"/>
      <c r="CC529" s="126"/>
      <c r="CD529" s="126"/>
      <c r="CE529" s="143"/>
    </row>
    <row r="530" spans="1:83">
      <c r="A530" s="107"/>
      <c r="B530" s="107"/>
      <c r="C530" s="107"/>
      <c r="D530" s="107"/>
      <c r="E530" s="551"/>
      <c r="F530" s="552"/>
      <c r="G530" s="552"/>
      <c r="H530" s="553"/>
      <c r="I530" s="545"/>
      <c r="J530" s="546"/>
      <c r="K530" s="546"/>
      <c r="L530" s="547"/>
      <c r="M530" s="545"/>
      <c r="N530" s="546"/>
      <c r="O530" s="546"/>
      <c r="P530" s="547"/>
      <c r="Q530" s="545"/>
      <c r="R530" s="546"/>
      <c r="S530" s="546"/>
      <c r="T530" s="547"/>
      <c r="U530" s="545"/>
      <c r="V530" s="546"/>
      <c r="W530" s="546"/>
      <c r="X530" s="547"/>
      <c r="Y530" s="545"/>
      <c r="Z530" s="546"/>
      <c r="AA530" s="546"/>
      <c r="AB530" s="547"/>
      <c r="AC530" s="545"/>
      <c r="AD530" s="546"/>
      <c r="AE530" s="546"/>
      <c r="AF530" s="547"/>
      <c r="AG530" s="545"/>
      <c r="AH530" s="546"/>
      <c r="AI530" s="546"/>
      <c r="AJ530" s="547"/>
      <c r="AK530" s="545"/>
      <c r="AL530" s="546"/>
      <c r="AM530" s="546"/>
      <c r="AN530" s="547"/>
      <c r="AO530" s="545"/>
      <c r="AP530" s="546"/>
      <c r="AQ530" s="546"/>
      <c r="AR530" s="547"/>
      <c r="AS530" s="545"/>
      <c r="AT530" s="546"/>
      <c r="AU530" s="546"/>
      <c r="AV530" s="547"/>
      <c r="AW530" s="545"/>
      <c r="AX530" s="546"/>
      <c r="AY530" s="546"/>
      <c r="AZ530" s="547"/>
      <c r="BG530" s="218"/>
      <c r="BH530" s="218"/>
      <c r="BI530" s="218"/>
      <c r="BJ530" s="217"/>
      <c r="BK530" s="164"/>
      <c r="BL530" s="165"/>
      <c r="BM530" s="165"/>
      <c r="BN530" s="165"/>
      <c r="BO530" s="165"/>
      <c r="BP530" s="165"/>
      <c r="BQ530" s="165"/>
      <c r="BR530" s="165"/>
      <c r="BS530" s="165"/>
      <c r="BT530" s="165"/>
      <c r="BU530" s="165"/>
      <c r="BV530" s="165"/>
      <c r="BW530" s="165"/>
      <c r="BX530" s="165"/>
      <c r="BY530" s="165"/>
      <c r="BZ530" s="165"/>
      <c r="CA530" s="165"/>
      <c r="CB530" s="217"/>
      <c r="CC530" s="219"/>
      <c r="CD530" s="219"/>
      <c r="CE530" s="220"/>
    </row>
    <row r="531" spans="1:83">
      <c r="A531" s="107"/>
      <c r="B531" s="107"/>
      <c r="C531" s="107"/>
      <c r="D531" s="107"/>
      <c r="E531" s="548"/>
      <c r="F531" s="549"/>
      <c r="G531" s="549"/>
      <c r="H531" s="550"/>
      <c r="I531" s="540"/>
      <c r="J531" s="541"/>
      <c r="K531" s="541"/>
      <c r="L531" s="542"/>
      <c r="M531" s="540"/>
      <c r="N531" s="541"/>
      <c r="O531" s="541"/>
      <c r="P531" s="542"/>
      <c r="Q531" s="540"/>
      <c r="R531" s="541"/>
      <c r="S531" s="541"/>
      <c r="T531" s="542"/>
      <c r="U531" s="540"/>
      <c r="V531" s="541"/>
      <c r="W531" s="541"/>
      <c r="X531" s="542"/>
      <c r="Y531" s="540"/>
      <c r="Z531" s="541"/>
      <c r="AA531" s="541"/>
      <c r="AB531" s="542"/>
      <c r="AC531" s="540"/>
      <c r="AD531" s="541"/>
      <c r="AE531" s="541"/>
      <c r="AF531" s="542"/>
      <c r="AG531" s="540"/>
      <c r="AH531" s="541"/>
      <c r="AI531" s="541"/>
      <c r="AJ531" s="542"/>
      <c r="AK531" s="540"/>
      <c r="AL531" s="541"/>
      <c r="AM531" s="541"/>
      <c r="AN531" s="542"/>
      <c r="AO531" s="540"/>
      <c r="AP531" s="541"/>
      <c r="AQ531" s="541"/>
      <c r="AR531" s="542"/>
      <c r="AS531" s="540"/>
      <c r="AT531" s="541"/>
      <c r="AU531" s="541"/>
      <c r="AV531" s="542"/>
      <c r="AW531" s="540"/>
      <c r="AX531" s="541"/>
      <c r="AY531" s="541"/>
      <c r="AZ531" s="542"/>
      <c r="BG531" s="93"/>
      <c r="BH531" s="93"/>
      <c r="BI531" s="93"/>
      <c r="BJ531" s="217"/>
      <c r="BK531" s="164"/>
      <c r="BL531" s="165"/>
      <c r="BM531" s="165"/>
      <c r="BN531" s="165"/>
      <c r="BO531" s="165"/>
      <c r="BP531" s="165"/>
      <c r="BQ531" s="165"/>
      <c r="BR531" s="165"/>
      <c r="BS531" s="165"/>
      <c r="BT531" s="165"/>
      <c r="BU531" s="165"/>
      <c r="BV531" s="165"/>
      <c r="BW531" s="165"/>
      <c r="BX531" s="165"/>
      <c r="BY531" s="165"/>
      <c r="BZ531" s="165"/>
      <c r="CA531" s="165"/>
      <c r="CB531" s="217"/>
      <c r="CC531" s="93"/>
      <c r="CD531" s="93"/>
      <c r="CE531" s="93"/>
    </row>
    <row r="532" spans="1:83">
      <c r="A532" s="107"/>
      <c r="B532" s="107"/>
      <c r="C532" s="107"/>
      <c r="D532" s="107"/>
      <c r="E532" s="551"/>
      <c r="F532" s="552"/>
      <c r="G532" s="552"/>
      <c r="H532" s="553"/>
      <c r="I532" s="545"/>
      <c r="J532" s="546"/>
      <c r="K532" s="546"/>
      <c r="L532" s="547"/>
      <c r="M532" s="545"/>
      <c r="N532" s="546"/>
      <c r="O532" s="546"/>
      <c r="P532" s="547"/>
      <c r="Q532" s="545"/>
      <c r="R532" s="546"/>
      <c r="S532" s="546"/>
      <c r="T532" s="547"/>
      <c r="U532" s="545"/>
      <c r="V532" s="546"/>
      <c r="W532" s="546"/>
      <c r="X532" s="547"/>
      <c r="Y532" s="545"/>
      <c r="Z532" s="546"/>
      <c r="AA532" s="546"/>
      <c r="AB532" s="547"/>
      <c r="AC532" s="545"/>
      <c r="AD532" s="546"/>
      <c r="AE532" s="546"/>
      <c r="AF532" s="547"/>
      <c r="AG532" s="545"/>
      <c r="AH532" s="546"/>
      <c r="AI532" s="546"/>
      <c r="AJ532" s="547"/>
      <c r="AK532" s="545"/>
      <c r="AL532" s="546"/>
      <c r="AM532" s="546"/>
      <c r="AN532" s="547"/>
      <c r="AO532" s="545"/>
      <c r="AP532" s="546"/>
      <c r="AQ532" s="546"/>
      <c r="AR532" s="547"/>
      <c r="AS532" s="545"/>
      <c r="AT532" s="546"/>
      <c r="AU532" s="546"/>
      <c r="AV532" s="547"/>
      <c r="AW532" s="545"/>
      <c r="AX532" s="546"/>
      <c r="AY532" s="546"/>
      <c r="AZ532" s="547"/>
      <c r="BJ532" s="217"/>
      <c r="BK532" s="164"/>
      <c r="BL532" s="165"/>
      <c r="BM532" s="165"/>
      <c r="BN532" s="165"/>
      <c r="BO532" s="165"/>
      <c r="BP532" s="165"/>
      <c r="BQ532" s="165"/>
      <c r="BR532" s="165"/>
      <c r="BS532" s="165"/>
      <c r="BT532" s="165"/>
      <c r="BU532" s="165"/>
      <c r="BV532" s="165"/>
      <c r="BW532" s="165"/>
      <c r="BX532" s="165"/>
      <c r="BY532" s="165"/>
      <c r="BZ532" s="165"/>
      <c r="CA532" s="165"/>
      <c r="CB532" s="217"/>
    </row>
    <row r="533" spans="1:83">
      <c r="A533" s="107"/>
      <c r="B533" s="107"/>
      <c r="C533" s="107"/>
      <c r="D533" s="107"/>
      <c r="E533" s="548"/>
      <c r="F533" s="549"/>
      <c r="G533" s="549"/>
      <c r="H533" s="550"/>
      <c r="I533" s="540"/>
      <c r="J533" s="541"/>
      <c r="K533" s="541"/>
      <c r="L533" s="542"/>
      <c r="M533" s="540"/>
      <c r="N533" s="541"/>
      <c r="O533" s="541"/>
      <c r="P533" s="542"/>
      <c r="Q533" s="540"/>
      <c r="R533" s="541"/>
      <c r="S533" s="541"/>
      <c r="T533" s="542"/>
      <c r="U533" s="540"/>
      <c r="V533" s="541"/>
      <c r="W533" s="541"/>
      <c r="X533" s="542"/>
      <c r="Y533" s="540"/>
      <c r="Z533" s="541"/>
      <c r="AA533" s="541"/>
      <c r="AB533" s="542"/>
      <c r="AC533" s="540"/>
      <c r="AD533" s="541"/>
      <c r="AE533" s="541"/>
      <c r="AF533" s="542"/>
      <c r="AG533" s="540"/>
      <c r="AH533" s="541"/>
      <c r="AI533" s="541"/>
      <c r="AJ533" s="542"/>
      <c r="AK533" s="540"/>
      <c r="AL533" s="541"/>
      <c r="AM533" s="541"/>
      <c r="AN533" s="542"/>
      <c r="AO533" s="540"/>
      <c r="AP533" s="541"/>
      <c r="AQ533" s="541"/>
      <c r="AR533" s="542"/>
      <c r="AS533" s="540"/>
      <c r="AT533" s="541"/>
      <c r="AU533" s="541"/>
      <c r="AV533" s="542"/>
      <c r="AW533" s="540"/>
      <c r="AX533" s="541"/>
      <c r="AY533" s="541"/>
      <c r="AZ533" s="542"/>
      <c r="BJ533" s="217"/>
      <c r="BK533" s="164"/>
      <c r="BL533" s="165"/>
      <c r="BM533" s="165"/>
      <c r="BN533" s="165"/>
      <c r="BO533" s="165"/>
      <c r="BP533" s="165"/>
      <c r="BQ533" s="165"/>
      <c r="BR533" s="165"/>
      <c r="BS533" s="165"/>
      <c r="BT533" s="165"/>
      <c r="BU533" s="165"/>
      <c r="BV533" s="165"/>
      <c r="BW533" s="165"/>
      <c r="BX533" s="165"/>
      <c r="BY533" s="165"/>
      <c r="BZ533" s="165"/>
      <c r="CA533" s="165"/>
      <c r="CB533" s="217"/>
    </row>
    <row r="534" spans="1:83">
      <c r="A534" s="107"/>
      <c r="B534" s="107"/>
      <c r="C534" s="107"/>
      <c r="D534" s="107"/>
      <c r="E534" s="551"/>
      <c r="F534" s="552"/>
      <c r="G534" s="552"/>
      <c r="H534" s="553"/>
      <c r="I534" s="545"/>
      <c r="J534" s="546"/>
      <c r="K534" s="546"/>
      <c r="L534" s="547"/>
      <c r="M534" s="545"/>
      <c r="N534" s="546"/>
      <c r="O534" s="546"/>
      <c r="P534" s="547"/>
      <c r="Q534" s="545"/>
      <c r="R534" s="546"/>
      <c r="S534" s="546"/>
      <c r="T534" s="547"/>
      <c r="U534" s="545"/>
      <c r="V534" s="546"/>
      <c r="W534" s="546"/>
      <c r="X534" s="547"/>
      <c r="Y534" s="545"/>
      <c r="Z534" s="546"/>
      <c r="AA534" s="546"/>
      <c r="AB534" s="547"/>
      <c r="AC534" s="545"/>
      <c r="AD534" s="546"/>
      <c r="AE534" s="546"/>
      <c r="AF534" s="547"/>
      <c r="AG534" s="545"/>
      <c r="AH534" s="546"/>
      <c r="AI534" s="546"/>
      <c r="AJ534" s="547"/>
      <c r="AK534" s="545"/>
      <c r="AL534" s="546"/>
      <c r="AM534" s="546"/>
      <c r="AN534" s="547"/>
      <c r="AO534" s="545"/>
      <c r="AP534" s="546"/>
      <c r="AQ534" s="546"/>
      <c r="AR534" s="547"/>
      <c r="AS534" s="545"/>
      <c r="AT534" s="546"/>
      <c r="AU534" s="546"/>
      <c r="AV534" s="547"/>
      <c r="AW534" s="545"/>
      <c r="AX534" s="546"/>
      <c r="AY534" s="546"/>
      <c r="AZ534" s="547"/>
      <c r="BJ534" s="217"/>
      <c r="BK534" s="164"/>
      <c r="BL534" s="165"/>
      <c r="BM534" s="165"/>
      <c r="BN534" s="165"/>
      <c r="BO534" s="165"/>
      <c r="BP534" s="165"/>
      <c r="BQ534" s="165"/>
      <c r="BR534" s="165"/>
      <c r="BS534" s="165"/>
      <c r="BT534" s="165"/>
      <c r="BU534" s="165"/>
      <c r="BV534" s="165"/>
      <c r="BW534" s="165"/>
      <c r="BX534" s="165"/>
      <c r="BY534" s="165"/>
      <c r="BZ534" s="165"/>
      <c r="CA534" s="165"/>
      <c r="CB534" s="217"/>
    </row>
    <row r="535" spans="1:83">
      <c r="A535" s="107"/>
      <c r="B535" s="107"/>
      <c r="C535" s="107"/>
      <c r="D535" s="107"/>
      <c r="E535" s="548"/>
      <c r="F535" s="549"/>
      <c r="G535" s="549"/>
      <c r="H535" s="550"/>
      <c r="I535" s="540"/>
      <c r="J535" s="541"/>
      <c r="K535" s="541"/>
      <c r="L535" s="542"/>
      <c r="M535" s="540"/>
      <c r="N535" s="541"/>
      <c r="O535" s="541"/>
      <c r="P535" s="542"/>
      <c r="Q535" s="540"/>
      <c r="R535" s="541"/>
      <c r="S535" s="541"/>
      <c r="T535" s="542"/>
      <c r="U535" s="540"/>
      <c r="V535" s="541"/>
      <c r="W535" s="541"/>
      <c r="X535" s="542"/>
      <c r="Y535" s="540"/>
      <c r="Z535" s="541"/>
      <c r="AA535" s="541"/>
      <c r="AB535" s="542"/>
      <c r="AC535" s="540"/>
      <c r="AD535" s="541"/>
      <c r="AE535" s="541"/>
      <c r="AF535" s="542"/>
      <c r="AG535" s="540"/>
      <c r="AH535" s="541"/>
      <c r="AI535" s="541"/>
      <c r="AJ535" s="542"/>
      <c r="AK535" s="540"/>
      <c r="AL535" s="541"/>
      <c r="AM535" s="541"/>
      <c r="AN535" s="542"/>
      <c r="AO535" s="540"/>
      <c r="AP535" s="541"/>
      <c r="AQ535" s="541"/>
      <c r="AR535" s="542"/>
      <c r="AS535" s="540"/>
      <c r="AT535" s="541"/>
      <c r="AU535" s="541"/>
      <c r="AV535" s="542"/>
      <c r="AW535" s="540"/>
      <c r="AX535" s="541"/>
      <c r="AY535" s="541"/>
      <c r="AZ535" s="542"/>
      <c r="BJ535" s="217"/>
      <c r="BK535" s="164"/>
      <c r="BL535" s="165"/>
      <c r="BM535" s="165"/>
      <c r="BN535" s="165"/>
      <c r="BO535" s="165"/>
      <c r="BP535" s="165"/>
      <c r="BQ535" s="165"/>
      <c r="BR535" s="165"/>
      <c r="BS535" s="165"/>
      <c r="BT535" s="165"/>
      <c r="BU535" s="165"/>
      <c r="BV535" s="165"/>
      <c r="BW535" s="165"/>
      <c r="BX535" s="165"/>
      <c r="BY535" s="165"/>
      <c r="BZ535" s="165"/>
      <c r="CA535" s="165"/>
      <c r="CB535" s="217"/>
    </row>
    <row r="536" spans="1:83">
      <c r="A536" s="107"/>
      <c r="B536" s="107"/>
      <c r="C536" s="107"/>
      <c r="D536" s="107"/>
      <c r="E536" s="551"/>
      <c r="F536" s="552"/>
      <c r="G536" s="552"/>
      <c r="H536" s="553"/>
      <c r="I536" s="545"/>
      <c r="J536" s="546"/>
      <c r="K536" s="546"/>
      <c r="L536" s="547"/>
      <c r="M536" s="545"/>
      <c r="N536" s="546"/>
      <c r="O536" s="546"/>
      <c r="P536" s="547"/>
      <c r="Q536" s="545"/>
      <c r="R536" s="546"/>
      <c r="S536" s="546"/>
      <c r="T536" s="547"/>
      <c r="U536" s="545"/>
      <c r="V536" s="546"/>
      <c r="W536" s="546"/>
      <c r="X536" s="547"/>
      <c r="Y536" s="545"/>
      <c r="Z536" s="546"/>
      <c r="AA536" s="546"/>
      <c r="AB536" s="547"/>
      <c r="AC536" s="545"/>
      <c r="AD536" s="546"/>
      <c r="AE536" s="546"/>
      <c r="AF536" s="547"/>
      <c r="AG536" s="545"/>
      <c r="AH536" s="546"/>
      <c r="AI536" s="546"/>
      <c r="AJ536" s="547"/>
      <c r="AK536" s="545"/>
      <c r="AL536" s="546"/>
      <c r="AM536" s="546"/>
      <c r="AN536" s="547"/>
      <c r="AO536" s="545"/>
      <c r="AP536" s="546"/>
      <c r="AQ536" s="546"/>
      <c r="AR536" s="547"/>
      <c r="AS536" s="545"/>
      <c r="AT536" s="546"/>
      <c r="AU536" s="546"/>
      <c r="AV536" s="547"/>
      <c r="AW536" s="545"/>
      <c r="AX536" s="546"/>
      <c r="AY536" s="546"/>
      <c r="AZ536" s="547"/>
      <c r="BJ536" s="217"/>
      <c r="BK536" s="164"/>
      <c r="BL536" s="165"/>
      <c r="BM536" s="165"/>
      <c r="BN536" s="165"/>
      <c r="BO536" s="165"/>
      <c r="BP536" s="165"/>
      <c r="BQ536" s="165"/>
      <c r="BR536" s="165"/>
      <c r="BS536" s="165"/>
      <c r="BT536" s="165"/>
      <c r="BU536" s="165"/>
      <c r="BV536" s="165"/>
      <c r="BW536" s="165"/>
      <c r="BX536" s="165"/>
      <c r="BY536" s="165"/>
      <c r="BZ536" s="165"/>
      <c r="CA536" s="165"/>
      <c r="CB536" s="217"/>
    </row>
    <row r="537" spans="1:83">
      <c r="A537" s="107"/>
      <c r="B537" s="107"/>
      <c r="C537" s="107"/>
      <c r="D537" s="107"/>
      <c r="E537" s="548"/>
      <c r="F537" s="549"/>
      <c r="G537" s="549"/>
      <c r="H537" s="550"/>
      <c r="I537" s="540"/>
      <c r="J537" s="541"/>
      <c r="K537" s="541"/>
      <c r="L537" s="542"/>
      <c r="M537" s="540"/>
      <c r="N537" s="541"/>
      <c r="O537" s="541"/>
      <c r="P537" s="542"/>
      <c r="Q537" s="540"/>
      <c r="R537" s="541"/>
      <c r="S537" s="541"/>
      <c r="T537" s="542"/>
      <c r="U537" s="540"/>
      <c r="V537" s="541"/>
      <c r="W537" s="541"/>
      <c r="X537" s="542"/>
      <c r="Y537" s="540"/>
      <c r="Z537" s="541"/>
      <c r="AA537" s="541"/>
      <c r="AB537" s="542"/>
      <c r="AC537" s="540"/>
      <c r="AD537" s="541"/>
      <c r="AE537" s="541"/>
      <c r="AF537" s="542"/>
      <c r="AG537" s="540"/>
      <c r="AH537" s="541"/>
      <c r="AI537" s="541"/>
      <c r="AJ537" s="542"/>
      <c r="AK537" s="540"/>
      <c r="AL537" s="541"/>
      <c r="AM537" s="541"/>
      <c r="AN537" s="542"/>
      <c r="AO537" s="540"/>
      <c r="AP537" s="541"/>
      <c r="AQ537" s="541"/>
      <c r="AR537" s="542"/>
      <c r="AS537" s="540"/>
      <c r="AT537" s="541"/>
      <c r="AU537" s="541"/>
      <c r="AV537" s="542"/>
      <c r="AW537" s="540"/>
      <c r="AX537" s="541"/>
      <c r="AY537" s="541"/>
      <c r="AZ537" s="542"/>
      <c r="BJ537" s="217"/>
      <c r="BK537" s="164"/>
      <c r="BL537" s="165"/>
      <c r="BM537" s="165"/>
      <c r="BN537" s="165"/>
      <c r="BO537" s="165"/>
      <c r="BP537" s="165"/>
      <c r="BQ537" s="165"/>
      <c r="BR537" s="165"/>
      <c r="BS537" s="165"/>
      <c r="BT537" s="165"/>
      <c r="BU537" s="165"/>
      <c r="BV537" s="165"/>
      <c r="BW537" s="165"/>
      <c r="BX537" s="165"/>
      <c r="BY537" s="165"/>
      <c r="BZ537" s="165"/>
      <c r="CA537" s="165"/>
      <c r="CB537" s="217"/>
    </row>
    <row r="538" spans="1:83">
      <c r="A538" s="107"/>
      <c r="B538" s="107"/>
      <c r="C538" s="107"/>
      <c r="D538" s="107"/>
      <c r="E538" s="551"/>
      <c r="F538" s="552"/>
      <c r="G538" s="552"/>
      <c r="H538" s="553"/>
      <c r="I538" s="545"/>
      <c r="J538" s="546"/>
      <c r="K538" s="546"/>
      <c r="L538" s="547"/>
      <c r="M538" s="545"/>
      <c r="N538" s="546"/>
      <c r="O538" s="546"/>
      <c r="P538" s="547"/>
      <c r="Q538" s="545"/>
      <c r="R538" s="546"/>
      <c r="S538" s="546"/>
      <c r="T538" s="547"/>
      <c r="U538" s="545"/>
      <c r="V538" s="546"/>
      <c r="W538" s="546"/>
      <c r="X538" s="547"/>
      <c r="Y538" s="545"/>
      <c r="Z538" s="546"/>
      <c r="AA538" s="546"/>
      <c r="AB538" s="547"/>
      <c r="AC538" s="545"/>
      <c r="AD538" s="546"/>
      <c r="AE538" s="546"/>
      <c r="AF538" s="547"/>
      <c r="AG538" s="545"/>
      <c r="AH538" s="546"/>
      <c r="AI538" s="546"/>
      <c r="AJ538" s="547"/>
      <c r="AK538" s="545"/>
      <c r="AL538" s="546"/>
      <c r="AM538" s="546"/>
      <c r="AN538" s="547"/>
      <c r="AO538" s="545"/>
      <c r="AP538" s="546"/>
      <c r="AQ538" s="546"/>
      <c r="AR538" s="547"/>
      <c r="AS538" s="545"/>
      <c r="AT538" s="546"/>
      <c r="AU538" s="546"/>
      <c r="AV538" s="547"/>
      <c r="AW538" s="545"/>
      <c r="AX538" s="546"/>
      <c r="AY538" s="546"/>
      <c r="AZ538" s="547"/>
      <c r="BJ538" s="217"/>
      <c r="BK538" s="164"/>
      <c r="BL538" s="165"/>
      <c r="BM538" s="165"/>
      <c r="BN538" s="165"/>
      <c r="BO538" s="165"/>
      <c r="BP538" s="165"/>
      <c r="BQ538" s="165"/>
      <c r="BR538" s="165"/>
      <c r="BS538" s="165"/>
      <c r="BT538" s="165"/>
      <c r="BU538" s="165"/>
      <c r="BV538" s="165"/>
      <c r="BW538" s="165"/>
      <c r="BX538" s="165"/>
      <c r="BY538" s="165"/>
      <c r="BZ538" s="165"/>
      <c r="CA538" s="165"/>
      <c r="CB538" s="217"/>
    </row>
    <row r="539" spans="1:83">
      <c r="A539" s="107"/>
      <c r="B539" s="107"/>
      <c r="C539" s="107"/>
      <c r="D539" s="107"/>
      <c r="E539" s="548"/>
      <c r="F539" s="549"/>
      <c r="G539" s="549"/>
      <c r="H539" s="550"/>
      <c r="I539" s="540"/>
      <c r="J539" s="541"/>
      <c r="K539" s="541"/>
      <c r="L539" s="542"/>
      <c r="M539" s="540"/>
      <c r="N539" s="541"/>
      <c r="O539" s="541"/>
      <c r="P539" s="542"/>
      <c r="Q539" s="540"/>
      <c r="R539" s="541"/>
      <c r="S539" s="541"/>
      <c r="T539" s="542"/>
      <c r="U539" s="540"/>
      <c r="V539" s="541"/>
      <c r="W539" s="541"/>
      <c r="X539" s="542"/>
      <c r="Y539" s="540"/>
      <c r="Z539" s="541"/>
      <c r="AA539" s="541"/>
      <c r="AB539" s="542"/>
      <c r="AC539" s="540"/>
      <c r="AD539" s="541"/>
      <c r="AE539" s="541"/>
      <c r="AF539" s="542"/>
      <c r="AG539" s="540"/>
      <c r="AH539" s="541"/>
      <c r="AI539" s="541"/>
      <c r="AJ539" s="542"/>
      <c r="AK539" s="540"/>
      <c r="AL539" s="541"/>
      <c r="AM539" s="541"/>
      <c r="AN539" s="542"/>
      <c r="AO539" s="540"/>
      <c r="AP539" s="541"/>
      <c r="AQ539" s="541"/>
      <c r="AR539" s="542"/>
      <c r="AS539" s="540"/>
      <c r="AT539" s="541"/>
      <c r="AU539" s="541"/>
      <c r="AV539" s="542"/>
      <c r="AW539" s="540"/>
      <c r="AX539" s="541"/>
      <c r="AY539" s="541"/>
      <c r="AZ539" s="542"/>
      <c r="BJ539" s="217"/>
      <c r="BK539" s="164"/>
      <c r="BL539" s="165"/>
      <c r="BM539" s="165"/>
      <c r="BN539" s="165"/>
      <c r="BO539" s="165"/>
      <c r="BP539" s="165"/>
      <c r="BQ539" s="165"/>
      <c r="BR539" s="165"/>
      <c r="BS539" s="165"/>
      <c r="BT539" s="165"/>
      <c r="BU539" s="165"/>
      <c r="BV539" s="165"/>
      <c r="BW539" s="165"/>
      <c r="BX539" s="165"/>
      <c r="BY539" s="165"/>
      <c r="BZ539" s="165"/>
      <c r="CA539" s="165"/>
      <c r="CB539" s="217"/>
    </row>
    <row r="540" spans="1:83">
      <c r="A540" s="107"/>
      <c r="B540" s="107"/>
      <c r="C540" s="107"/>
      <c r="D540" s="107"/>
      <c r="E540" s="551"/>
      <c r="F540" s="552"/>
      <c r="G540" s="552"/>
      <c r="H540" s="553"/>
      <c r="I540" s="545"/>
      <c r="J540" s="546"/>
      <c r="K540" s="546"/>
      <c r="L540" s="547"/>
      <c r="M540" s="545"/>
      <c r="N540" s="546"/>
      <c r="O540" s="546"/>
      <c r="P540" s="547"/>
      <c r="Q540" s="545"/>
      <c r="R540" s="546"/>
      <c r="S540" s="546"/>
      <c r="T540" s="547"/>
      <c r="U540" s="545"/>
      <c r="V540" s="546"/>
      <c r="W540" s="546"/>
      <c r="X540" s="547"/>
      <c r="Y540" s="545"/>
      <c r="Z540" s="546"/>
      <c r="AA540" s="546"/>
      <c r="AB540" s="547"/>
      <c r="AC540" s="545"/>
      <c r="AD540" s="546"/>
      <c r="AE540" s="546"/>
      <c r="AF540" s="547"/>
      <c r="AG540" s="545"/>
      <c r="AH540" s="546"/>
      <c r="AI540" s="546"/>
      <c r="AJ540" s="547"/>
      <c r="AK540" s="545"/>
      <c r="AL540" s="546"/>
      <c r="AM540" s="546"/>
      <c r="AN540" s="547"/>
      <c r="AO540" s="545"/>
      <c r="AP540" s="546"/>
      <c r="AQ540" s="546"/>
      <c r="AR540" s="547"/>
      <c r="AS540" s="545"/>
      <c r="AT540" s="546"/>
      <c r="AU540" s="546"/>
      <c r="AV540" s="547"/>
      <c r="AW540" s="545"/>
      <c r="AX540" s="546"/>
      <c r="AY540" s="546"/>
      <c r="AZ540" s="547"/>
      <c r="BJ540" s="217"/>
      <c r="BK540" s="164"/>
      <c r="BL540" s="165"/>
      <c r="BM540" s="165"/>
      <c r="BN540" s="165"/>
      <c r="BO540" s="165"/>
      <c r="BP540" s="165"/>
      <c r="BQ540" s="165"/>
      <c r="BR540" s="165"/>
      <c r="BS540" s="165"/>
      <c r="BT540" s="165"/>
      <c r="BU540" s="165"/>
      <c r="BV540" s="165"/>
      <c r="BW540" s="165"/>
      <c r="BX540" s="165"/>
      <c r="BY540" s="165"/>
      <c r="BZ540" s="165"/>
      <c r="CA540" s="165"/>
      <c r="CB540" s="217"/>
    </row>
    <row r="541" spans="1:83">
      <c r="A541" s="107"/>
      <c r="B541" s="107"/>
      <c r="C541" s="107"/>
      <c r="D541" s="107"/>
      <c r="E541" s="548"/>
      <c r="F541" s="549"/>
      <c r="G541" s="549"/>
      <c r="H541" s="550"/>
      <c r="I541" s="540"/>
      <c r="J541" s="541"/>
      <c r="K541" s="541"/>
      <c r="L541" s="542"/>
      <c r="M541" s="540"/>
      <c r="N541" s="541"/>
      <c r="O541" s="541"/>
      <c r="P541" s="542"/>
      <c r="Q541" s="540"/>
      <c r="R541" s="541"/>
      <c r="S541" s="541"/>
      <c r="T541" s="542"/>
      <c r="U541" s="540"/>
      <c r="V541" s="541"/>
      <c r="W541" s="541"/>
      <c r="X541" s="542"/>
      <c r="Y541" s="540"/>
      <c r="Z541" s="541"/>
      <c r="AA541" s="541"/>
      <c r="AB541" s="542"/>
      <c r="AC541" s="540"/>
      <c r="AD541" s="541"/>
      <c r="AE541" s="541"/>
      <c r="AF541" s="542"/>
      <c r="AG541" s="540"/>
      <c r="AH541" s="541"/>
      <c r="AI541" s="541"/>
      <c r="AJ541" s="542"/>
      <c r="AK541" s="540"/>
      <c r="AL541" s="541"/>
      <c r="AM541" s="541"/>
      <c r="AN541" s="542"/>
      <c r="AO541" s="540"/>
      <c r="AP541" s="541"/>
      <c r="AQ541" s="541"/>
      <c r="AR541" s="542"/>
      <c r="AS541" s="540"/>
      <c r="AT541" s="541"/>
      <c r="AU541" s="541"/>
      <c r="AV541" s="542"/>
      <c r="AW541" s="540"/>
      <c r="AX541" s="541"/>
      <c r="AY541" s="541"/>
      <c r="AZ541" s="542"/>
      <c r="BJ541" s="217"/>
      <c r="BK541" s="164"/>
      <c r="BL541" s="165"/>
      <c r="BM541" s="165"/>
      <c r="BN541" s="165"/>
      <c r="BO541" s="165"/>
      <c r="BP541" s="165"/>
      <c r="BQ541" s="165"/>
      <c r="BR541" s="165"/>
      <c r="BS541" s="165"/>
      <c r="BT541" s="165"/>
      <c r="BU541" s="165"/>
      <c r="BV541" s="165"/>
      <c r="BW541" s="165"/>
      <c r="BX541" s="165"/>
      <c r="BY541" s="165"/>
      <c r="BZ541" s="165"/>
      <c r="CA541" s="165"/>
      <c r="CB541" s="217"/>
    </row>
    <row r="542" spans="1:83">
      <c r="A542" s="107"/>
      <c r="B542" s="107"/>
      <c r="C542" s="107"/>
      <c r="D542" s="107"/>
      <c r="E542" s="551"/>
      <c r="F542" s="552"/>
      <c r="G542" s="552"/>
      <c r="H542" s="553"/>
      <c r="I542" s="545"/>
      <c r="J542" s="546"/>
      <c r="K542" s="546"/>
      <c r="L542" s="547"/>
      <c r="M542" s="545"/>
      <c r="N542" s="546"/>
      <c r="O542" s="546"/>
      <c r="P542" s="547"/>
      <c r="Q542" s="545"/>
      <c r="R542" s="546"/>
      <c r="S542" s="546"/>
      <c r="T542" s="547"/>
      <c r="U542" s="545"/>
      <c r="V542" s="546"/>
      <c r="W542" s="546"/>
      <c r="X542" s="547"/>
      <c r="Y542" s="545"/>
      <c r="Z542" s="546"/>
      <c r="AA542" s="546"/>
      <c r="AB542" s="547"/>
      <c r="AC542" s="545"/>
      <c r="AD542" s="546"/>
      <c r="AE542" s="546"/>
      <c r="AF542" s="547"/>
      <c r="AG542" s="545"/>
      <c r="AH542" s="546"/>
      <c r="AI542" s="546"/>
      <c r="AJ542" s="547"/>
      <c r="AK542" s="545"/>
      <c r="AL542" s="546"/>
      <c r="AM542" s="546"/>
      <c r="AN542" s="547"/>
      <c r="AO542" s="545"/>
      <c r="AP542" s="546"/>
      <c r="AQ542" s="546"/>
      <c r="AR542" s="547"/>
      <c r="AS542" s="545"/>
      <c r="AT542" s="546"/>
      <c r="AU542" s="546"/>
      <c r="AV542" s="547"/>
      <c r="AW542" s="545"/>
      <c r="AX542" s="546"/>
      <c r="AY542" s="546"/>
      <c r="AZ542" s="547"/>
      <c r="BJ542" s="217"/>
      <c r="BK542" s="164"/>
      <c r="BL542" s="165"/>
      <c r="BM542" s="165"/>
      <c r="BN542" s="165"/>
      <c r="BO542" s="165"/>
      <c r="BP542" s="165"/>
      <c r="BQ542" s="165"/>
      <c r="BR542" s="165"/>
      <c r="BS542" s="165"/>
      <c r="BT542" s="165"/>
      <c r="BU542" s="165"/>
      <c r="BV542" s="165"/>
      <c r="BW542" s="165"/>
      <c r="BX542" s="165"/>
      <c r="BY542" s="165"/>
      <c r="BZ542" s="165"/>
      <c r="CA542" s="165"/>
      <c r="CB542" s="217"/>
    </row>
    <row r="543" spans="1:83">
      <c r="A543" s="107"/>
      <c r="B543" s="107"/>
      <c r="C543" s="107"/>
      <c r="D543" s="107"/>
      <c r="E543" s="548"/>
      <c r="F543" s="549"/>
      <c r="G543" s="549"/>
      <c r="H543" s="550"/>
      <c r="I543" s="540"/>
      <c r="J543" s="541"/>
      <c r="K543" s="541"/>
      <c r="L543" s="542"/>
      <c r="M543" s="540"/>
      <c r="N543" s="541"/>
      <c r="O543" s="541"/>
      <c r="P543" s="542"/>
      <c r="Q543" s="540"/>
      <c r="R543" s="541"/>
      <c r="S543" s="541"/>
      <c r="T543" s="542"/>
      <c r="U543" s="540"/>
      <c r="V543" s="541"/>
      <c r="W543" s="541"/>
      <c r="X543" s="542"/>
      <c r="Y543" s="540"/>
      <c r="Z543" s="541"/>
      <c r="AA543" s="541"/>
      <c r="AB543" s="542"/>
      <c r="AC543" s="540"/>
      <c r="AD543" s="541"/>
      <c r="AE543" s="541"/>
      <c r="AF543" s="542"/>
      <c r="AG543" s="540"/>
      <c r="AH543" s="541"/>
      <c r="AI543" s="541"/>
      <c r="AJ543" s="542"/>
      <c r="AK543" s="540"/>
      <c r="AL543" s="541"/>
      <c r="AM543" s="541"/>
      <c r="AN543" s="542"/>
      <c r="AO543" s="540"/>
      <c r="AP543" s="541"/>
      <c r="AQ543" s="541"/>
      <c r="AR543" s="542"/>
      <c r="AS543" s="540"/>
      <c r="AT543" s="541"/>
      <c r="AU543" s="541"/>
      <c r="AV543" s="542"/>
      <c r="AW543" s="540"/>
      <c r="AX543" s="541"/>
      <c r="AY543" s="541"/>
      <c r="AZ543" s="542"/>
      <c r="BJ543" s="217"/>
      <c r="BK543" s="164"/>
      <c r="BL543" s="165"/>
      <c r="BM543" s="165"/>
      <c r="BN543" s="165"/>
      <c r="BO543" s="165"/>
      <c r="BP543" s="165"/>
      <c r="BQ543" s="165"/>
      <c r="BR543" s="165"/>
      <c r="BS543" s="165"/>
      <c r="BT543" s="165"/>
      <c r="BU543" s="165"/>
      <c r="BV543" s="165"/>
      <c r="BW543" s="165"/>
      <c r="BX543" s="165"/>
      <c r="BY543" s="165"/>
      <c r="BZ543" s="165"/>
      <c r="CA543" s="165"/>
      <c r="CB543" s="217"/>
    </row>
    <row r="544" spans="1:83">
      <c r="A544" s="107"/>
      <c r="B544" s="107"/>
      <c r="C544" s="107"/>
      <c r="D544" s="107"/>
      <c r="E544" s="551"/>
      <c r="F544" s="552"/>
      <c r="G544" s="552"/>
      <c r="H544" s="553"/>
      <c r="I544" s="545"/>
      <c r="J544" s="546"/>
      <c r="K544" s="546"/>
      <c r="L544" s="547"/>
      <c r="M544" s="545"/>
      <c r="N544" s="546"/>
      <c r="O544" s="546"/>
      <c r="P544" s="547"/>
      <c r="Q544" s="545"/>
      <c r="R544" s="546"/>
      <c r="S544" s="546"/>
      <c r="T544" s="547"/>
      <c r="U544" s="545"/>
      <c r="V544" s="546"/>
      <c r="W544" s="546"/>
      <c r="X544" s="547"/>
      <c r="Y544" s="545"/>
      <c r="Z544" s="546"/>
      <c r="AA544" s="546"/>
      <c r="AB544" s="547"/>
      <c r="AC544" s="545"/>
      <c r="AD544" s="546"/>
      <c r="AE544" s="546"/>
      <c r="AF544" s="547"/>
      <c r="AG544" s="545"/>
      <c r="AH544" s="546"/>
      <c r="AI544" s="546"/>
      <c r="AJ544" s="547"/>
      <c r="AK544" s="545"/>
      <c r="AL544" s="546"/>
      <c r="AM544" s="546"/>
      <c r="AN544" s="547"/>
      <c r="AO544" s="545"/>
      <c r="AP544" s="546"/>
      <c r="AQ544" s="546"/>
      <c r="AR544" s="547"/>
      <c r="AS544" s="545"/>
      <c r="AT544" s="546"/>
      <c r="AU544" s="546"/>
      <c r="AV544" s="547"/>
      <c r="AW544" s="545"/>
      <c r="AX544" s="546"/>
      <c r="AY544" s="546"/>
      <c r="AZ544" s="547"/>
      <c r="BJ544" s="217"/>
      <c r="BK544" s="164"/>
      <c r="BL544" s="165"/>
      <c r="BM544" s="165"/>
      <c r="BN544" s="165"/>
      <c r="BO544" s="165"/>
      <c r="BP544" s="165"/>
      <c r="BQ544" s="165"/>
      <c r="BR544" s="165"/>
      <c r="BS544" s="165"/>
      <c r="BT544" s="165"/>
      <c r="BU544" s="165"/>
      <c r="BV544" s="165"/>
      <c r="BW544" s="165"/>
      <c r="BX544" s="165"/>
      <c r="BY544" s="165"/>
      <c r="BZ544" s="165"/>
      <c r="CA544" s="165"/>
      <c r="CB544" s="217"/>
    </row>
    <row r="545" spans="1:80">
      <c r="A545" s="107"/>
      <c r="B545" s="107"/>
      <c r="C545" s="107"/>
      <c r="D545" s="107"/>
      <c r="E545" s="548"/>
      <c r="F545" s="549"/>
      <c r="G545" s="549"/>
      <c r="H545" s="550"/>
      <c r="I545" s="540"/>
      <c r="J545" s="541"/>
      <c r="K545" s="541"/>
      <c r="L545" s="542"/>
      <c r="M545" s="540"/>
      <c r="N545" s="541"/>
      <c r="O545" s="541"/>
      <c r="P545" s="542"/>
      <c r="Q545" s="540"/>
      <c r="R545" s="541"/>
      <c r="S545" s="541"/>
      <c r="T545" s="542"/>
      <c r="U545" s="540"/>
      <c r="V545" s="541"/>
      <c r="W545" s="541"/>
      <c r="X545" s="542"/>
      <c r="Y545" s="540"/>
      <c r="Z545" s="541"/>
      <c r="AA545" s="541"/>
      <c r="AB545" s="542"/>
      <c r="AC545" s="540"/>
      <c r="AD545" s="541"/>
      <c r="AE545" s="541"/>
      <c r="AF545" s="542"/>
      <c r="AG545" s="540"/>
      <c r="AH545" s="541"/>
      <c r="AI545" s="541"/>
      <c r="AJ545" s="542"/>
      <c r="AK545" s="540"/>
      <c r="AL545" s="541"/>
      <c r="AM545" s="541"/>
      <c r="AN545" s="542"/>
      <c r="AO545" s="540"/>
      <c r="AP545" s="541"/>
      <c r="AQ545" s="541"/>
      <c r="AR545" s="542"/>
      <c r="AS545" s="540"/>
      <c r="AT545" s="541"/>
      <c r="AU545" s="541"/>
      <c r="AV545" s="542"/>
      <c r="AW545" s="540"/>
      <c r="AX545" s="541"/>
      <c r="AY545" s="541"/>
      <c r="AZ545" s="542"/>
      <c r="BJ545" s="217"/>
      <c r="BK545" s="164"/>
      <c r="BL545" s="165"/>
      <c r="BM545" s="165"/>
      <c r="BN545" s="165"/>
      <c r="BO545" s="165"/>
      <c r="BP545" s="165"/>
      <c r="BQ545" s="165"/>
      <c r="BR545" s="165"/>
      <c r="BS545" s="165"/>
      <c r="BT545" s="165"/>
      <c r="BU545" s="165"/>
      <c r="BV545" s="165"/>
      <c r="BW545" s="165"/>
      <c r="BX545" s="165"/>
      <c r="BY545" s="165"/>
      <c r="BZ545" s="165"/>
      <c r="CA545" s="165"/>
      <c r="CB545" s="217"/>
    </row>
    <row r="546" spans="1:80">
      <c r="A546" s="107"/>
      <c r="B546" s="107"/>
      <c r="C546" s="107"/>
      <c r="D546" s="107"/>
      <c r="E546" s="551"/>
      <c r="F546" s="552"/>
      <c r="G546" s="552"/>
      <c r="H546" s="553"/>
      <c r="I546" s="545"/>
      <c r="J546" s="546"/>
      <c r="K546" s="546"/>
      <c r="L546" s="547"/>
      <c r="M546" s="545"/>
      <c r="N546" s="546"/>
      <c r="O546" s="546"/>
      <c r="P546" s="547"/>
      <c r="Q546" s="545"/>
      <c r="R546" s="546"/>
      <c r="S546" s="546"/>
      <c r="T546" s="547"/>
      <c r="U546" s="545"/>
      <c r="V546" s="546"/>
      <c r="W546" s="546"/>
      <c r="X546" s="547"/>
      <c r="Y546" s="545"/>
      <c r="Z546" s="546"/>
      <c r="AA546" s="546"/>
      <c r="AB546" s="547"/>
      <c r="AC546" s="545"/>
      <c r="AD546" s="546"/>
      <c r="AE546" s="546"/>
      <c r="AF546" s="547"/>
      <c r="AG546" s="545"/>
      <c r="AH546" s="546"/>
      <c r="AI546" s="546"/>
      <c r="AJ546" s="547"/>
      <c r="AK546" s="545"/>
      <c r="AL546" s="546"/>
      <c r="AM546" s="546"/>
      <c r="AN546" s="547"/>
      <c r="AO546" s="545"/>
      <c r="AP546" s="546"/>
      <c r="AQ546" s="546"/>
      <c r="AR546" s="547"/>
      <c r="AS546" s="545"/>
      <c r="AT546" s="546"/>
      <c r="AU546" s="546"/>
      <c r="AV546" s="547"/>
      <c r="AW546" s="545"/>
      <c r="AX546" s="546"/>
      <c r="AY546" s="546"/>
      <c r="AZ546" s="547"/>
      <c r="BJ546" s="217"/>
      <c r="BK546" s="164"/>
      <c r="BL546" s="165"/>
      <c r="BM546" s="165"/>
      <c r="BN546" s="165"/>
      <c r="BO546" s="165"/>
      <c r="BP546" s="165"/>
      <c r="BQ546" s="165"/>
      <c r="BR546" s="165"/>
      <c r="BS546" s="165"/>
      <c r="BT546" s="165"/>
      <c r="BU546" s="165"/>
      <c r="BV546" s="165"/>
      <c r="BW546" s="165"/>
      <c r="BX546" s="165"/>
      <c r="BY546" s="165"/>
      <c r="BZ546" s="165"/>
      <c r="CA546" s="165"/>
      <c r="CB546" s="217"/>
    </row>
    <row r="547" spans="1:80">
      <c r="A547" s="107"/>
      <c r="B547" s="107"/>
      <c r="C547" s="107"/>
      <c r="D547" s="107"/>
      <c r="E547" s="548"/>
      <c r="F547" s="549"/>
      <c r="G547" s="549"/>
      <c r="H547" s="550"/>
      <c r="I547" s="540"/>
      <c r="J547" s="541"/>
      <c r="K547" s="541"/>
      <c r="L547" s="542"/>
      <c r="M547" s="540"/>
      <c r="N547" s="541"/>
      <c r="O547" s="541"/>
      <c r="P547" s="542"/>
      <c r="Q547" s="540"/>
      <c r="R547" s="541"/>
      <c r="S547" s="541"/>
      <c r="T547" s="542"/>
      <c r="U547" s="540"/>
      <c r="V547" s="541"/>
      <c r="W547" s="541"/>
      <c r="X547" s="542"/>
      <c r="Y547" s="540"/>
      <c r="Z547" s="541"/>
      <c r="AA547" s="541"/>
      <c r="AB547" s="542"/>
      <c r="AC547" s="540"/>
      <c r="AD547" s="541"/>
      <c r="AE547" s="541"/>
      <c r="AF547" s="542"/>
      <c r="AG547" s="540"/>
      <c r="AH547" s="541"/>
      <c r="AI547" s="541"/>
      <c r="AJ547" s="542"/>
      <c r="AK547" s="540"/>
      <c r="AL547" s="541"/>
      <c r="AM547" s="541"/>
      <c r="AN547" s="542"/>
      <c r="AO547" s="540"/>
      <c r="AP547" s="541"/>
      <c r="AQ547" s="541"/>
      <c r="AR547" s="542"/>
      <c r="AS547" s="540"/>
      <c r="AT547" s="541"/>
      <c r="AU547" s="541"/>
      <c r="AV547" s="542"/>
      <c r="AW547" s="540"/>
      <c r="AX547" s="541"/>
      <c r="AY547" s="541"/>
      <c r="AZ547" s="542"/>
      <c r="BJ547" s="217"/>
      <c r="BK547" s="164"/>
      <c r="BL547" s="165"/>
      <c r="BM547" s="165"/>
      <c r="BN547" s="165"/>
      <c r="BO547" s="165"/>
      <c r="BP547" s="165"/>
      <c r="BQ547" s="165"/>
      <c r="BR547" s="165"/>
      <c r="BS547" s="165"/>
      <c r="BT547" s="165"/>
      <c r="BU547" s="165"/>
      <c r="BV547" s="165"/>
      <c r="BW547" s="165"/>
      <c r="BX547" s="165"/>
      <c r="BY547" s="165"/>
      <c r="BZ547" s="165"/>
      <c r="CA547" s="165"/>
      <c r="CB547" s="217"/>
    </row>
    <row r="548" spans="1:80">
      <c r="A548" s="107"/>
      <c r="B548" s="107"/>
      <c r="C548" s="107"/>
      <c r="D548" s="107"/>
      <c r="E548" s="551"/>
      <c r="F548" s="552"/>
      <c r="G548" s="552"/>
      <c r="H548" s="553"/>
      <c r="I548" s="545"/>
      <c r="J548" s="546"/>
      <c r="K548" s="546"/>
      <c r="L548" s="547"/>
      <c r="M548" s="545"/>
      <c r="N548" s="546"/>
      <c r="O548" s="546"/>
      <c r="P548" s="547"/>
      <c r="Q548" s="545"/>
      <c r="R548" s="546"/>
      <c r="S548" s="546"/>
      <c r="T548" s="547"/>
      <c r="U548" s="545"/>
      <c r="V548" s="546"/>
      <c r="W548" s="546"/>
      <c r="X548" s="547"/>
      <c r="Y548" s="545"/>
      <c r="Z548" s="546"/>
      <c r="AA548" s="546"/>
      <c r="AB548" s="547"/>
      <c r="AC548" s="545"/>
      <c r="AD548" s="546"/>
      <c r="AE548" s="546"/>
      <c r="AF548" s="547"/>
      <c r="AG548" s="545"/>
      <c r="AH548" s="546"/>
      <c r="AI548" s="546"/>
      <c r="AJ548" s="547"/>
      <c r="AK548" s="545"/>
      <c r="AL548" s="546"/>
      <c r="AM548" s="546"/>
      <c r="AN548" s="547"/>
      <c r="AO548" s="545"/>
      <c r="AP548" s="546"/>
      <c r="AQ548" s="546"/>
      <c r="AR548" s="547"/>
      <c r="AS548" s="545"/>
      <c r="AT548" s="546"/>
      <c r="AU548" s="546"/>
      <c r="AV548" s="547"/>
      <c r="AW548" s="545"/>
      <c r="AX548" s="546"/>
      <c r="AY548" s="546"/>
      <c r="AZ548" s="547"/>
      <c r="BJ548" s="217"/>
      <c r="BK548" s="164"/>
      <c r="BL548" s="165"/>
      <c r="BM548" s="165"/>
      <c r="BN548" s="165"/>
      <c r="BO548" s="165"/>
      <c r="BP548" s="165"/>
      <c r="BQ548" s="165"/>
      <c r="BR548" s="165"/>
      <c r="BS548" s="165"/>
      <c r="BT548" s="165"/>
      <c r="BU548" s="165"/>
      <c r="BV548" s="165"/>
      <c r="BW548" s="165"/>
      <c r="BX548" s="165"/>
      <c r="BY548" s="165"/>
      <c r="BZ548" s="165"/>
      <c r="CA548" s="165"/>
      <c r="CB548" s="217"/>
    </row>
    <row r="549" spans="1:80">
      <c r="A549" s="107"/>
      <c r="B549" s="107"/>
      <c r="C549" s="107"/>
      <c r="D549" s="107"/>
      <c r="E549" s="548"/>
      <c r="F549" s="549"/>
      <c r="G549" s="549"/>
      <c r="H549" s="550"/>
      <c r="I549" s="540"/>
      <c r="J549" s="541"/>
      <c r="K549" s="541"/>
      <c r="L549" s="542"/>
      <c r="M549" s="540"/>
      <c r="N549" s="541"/>
      <c r="O549" s="541"/>
      <c r="P549" s="542"/>
      <c r="Q549" s="540"/>
      <c r="R549" s="541"/>
      <c r="S549" s="541"/>
      <c r="T549" s="542"/>
      <c r="U549" s="540"/>
      <c r="V549" s="541"/>
      <c r="W549" s="541"/>
      <c r="X549" s="542"/>
      <c r="Y549" s="540"/>
      <c r="Z549" s="541"/>
      <c r="AA549" s="541"/>
      <c r="AB549" s="542"/>
      <c r="AC549" s="540"/>
      <c r="AD549" s="541"/>
      <c r="AE549" s="541"/>
      <c r="AF549" s="542"/>
      <c r="AG549" s="540"/>
      <c r="AH549" s="541"/>
      <c r="AI549" s="541"/>
      <c r="AJ549" s="542"/>
      <c r="AK549" s="540"/>
      <c r="AL549" s="541"/>
      <c r="AM549" s="541"/>
      <c r="AN549" s="542"/>
      <c r="AO549" s="540"/>
      <c r="AP549" s="541"/>
      <c r="AQ549" s="541"/>
      <c r="AR549" s="542"/>
      <c r="AS549" s="540"/>
      <c r="AT549" s="541"/>
      <c r="AU549" s="541"/>
      <c r="AV549" s="542"/>
      <c r="AW549" s="540"/>
      <c r="AX549" s="541"/>
      <c r="AY549" s="541"/>
      <c r="AZ549" s="542"/>
      <c r="BJ549" s="217"/>
      <c r="BK549" s="164"/>
      <c r="BL549" s="165"/>
      <c r="BM549" s="165"/>
      <c r="BN549" s="165"/>
      <c r="BO549" s="165"/>
      <c r="BP549" s="165"/>
      <c r="BQ549" s="165"/>
      <c r="BR549" s="165"/>
      <c r="BS549" s="165"/>
      <c r="BT549" s="165"/>
      <c r="BU549" s="165"/>
      <c r="BV549" s="165"/>
      <c r="BW549" s="165"/>
      <c r="BX549" s="165"/>
      <c r="BY549" s="165"/>
      <c r="BZ549" s="165"/>
      <c r="CA549" s="165"/>
      <c r="CB549" s="217"/>
    </row>
    <row r="550" spans="1:80">
      <c r="A550" s="107"/>
      <c r="B550" s="107"/>
      <c r="C550" s="107"/>
      <c r="D550" s="107"/>
      <c r="E550" s="551"/>
      <c r="F550" s="552"/>
      <c r="G550" s="552"/>
      <c r="H550" s="553"/>
      <c r="I550" s="545"/>
      <c r="J550" s="546"/>
      <c r="K550" s="546"/>
      <c r="L550" s="547"/>
      <c r="M550" s="545"/>
      <c r="N550" s="546"/>
      <c r="O550" s="546"/>
      <c r="P550" s="547"/>
      <c r="Q550" s="545"/>
      <c r="R550" s="546"/>
      <c r="S550" s="546"/>
      <c r="T550" s="547"/>
      <c r="U550" s="545"/>
      <c r="V550" s="546"/>
      <c r="W550" s="546"/>
      <c r="X550" s="547"/>
      <c r="Y550" s="545"/>
      <c r="Z550" s="546"/>
      <c r="AA550" s="546"/>
      <c r="AB550" s="547"/>
      <c r="AC550" s="545"/>
      <c r="AD550" s="546"/>
      <c r="AE550" s="546"/>
      <c r="AF550" s="547"/>
      <c r="AG550" s="545"/>
      <c r="AH550" s="546"/>
      <c r="AI550" s="546"/>
      <c r="AJ550" s="547"/>
      <c r="AK550" s="545"/>
      <c r="AL550" s="546"/>
      <c r="AM550" s="546"/>
      <c r="AN550" s="547"/>
      <c r="AO550" s="545"/>
      <c r="AP550" s="546"/>
      <c r="AQ550" s="546"/>
      <c r="AR550" s="547"/>
      <c r="AS550" s="545"/>
      <c r="AT550" s="546"/>
      <c r="AU550" s="546"/>
      <c r="AV550" s="547"/>
      <c r="AW550" s="545"/>
      <c r="AX550" s="546"/>
      <c r="AY550" s="546"/>
      <c r="AZ550" s="547"/>
      <c r="BJ550" s="217"/>
      <c r="BK550" s="164"/>
      <c r="BL550" s="165"/>
      <c r="BM550" s="165"/>
      <c r="BN550" s="165"/>
      <c r="BO550" s="165"/>
      <c r="BP550" s="165"/>
      <c r="BQ550" s="165"/>
      <c r="BR550" s="165"/>
      <c r="BS550" s="165"/>
      <c r="BT550" s="165"/>
      <c r="BU550" s="165"/>
      <c r="BV550" s="165"/>
      <c r="BW550" s="165"/>
      <c r="BX550" s="165"/>
      <c r="BY550" s="165"/>
      <c r="BZ550" s="165"/>
      <c r="CA550" s="165"/>
      <c r="CB550" s="217"/>
    </row>
    <row r="551" spans="1:80">
      <c r="A551" s="107"/>
      <c r="B551" s="107"/>
      <c r="C551" s="107"/>
      <c r="D551" s="107"/>
      <c r="E551" s="548"/>
      <c r="F551" s="549"/>
      <c r="G551" s="549"/>
      <c r="H551" s="550"/>
      <c r="I551" s="540"/>
      <c r="J551" s="541"/>
      <c r="K551" s="541"/>
      <c r="L551" s="542"/>
      <c r="M551" s="540"/>
      <c r="N551" s="541"/>
      <c r="O551" s="541"/>
      <c r="P551" s="542"/>
      <c r="Q551" s="540"/>
      <c r="R551" s="541"/>
      <c r="S551" s="541"/>
      <c r="T551" s="542"/>
      <c r="U551" s="540"/>
      <c r="V551" s="541"/>
      <c r="W551" s="541"/>
      <c r="X551" s="542"/>
      <c r="Y551" s="540"/>
      <c r="Z551" s="541"/>
      <c r="AA551" s="541"/>
      <c r="AB551" s="542"/>
      <c r="AC551" s="540"/>
      <c r="AD551" s="541"/>
      <c r="AE551" s="541"/>
      <c r="AF551" s="542"/>
      <c r="AG551" s="540"/>
      <c r="AH551" s="541"/>
      <c r="AI551" s="541"/>
      <c r="AJ551" s="542"/>
      <c r="AK551" s="540"/>
      <c r="AL551" s="541"/>
      <c r="AM551" s="541"/>
      <c r="AN551" s="542"/>
      <c r="AO551" s="540"/>
      <c r="AP551" s="541"/>
      <c r="AQ551" s="541"/>
      <c r="AR551" s="542"/>
      <c r="AS551" s="540"/>
      <c r="AT551" s="541"/>
      <c r="AU551" s="541"/>
      <c r="AV551" s="542"/>
      <c r="AW551" s="540"/>
      <c r="AX551" s="541"/>
      <c r="AY551" s="541"/>
      <c r="AZ551" s="542"/>
      <c r="BJ551" s="217"/>
      <c r="BK551" s="164"/>
      <c r="BL551" s="165"/>
      <c r="BM551" s="165"/>
      <c r="BN551" s="165"/>
      <c r="BO551" s="165"/>
      <c r="BP551" s="165"/>
      <c r="BQ551" s="165"/>
      <c r="BR551" s="165"/>
      <c r="BS551" s="165"/>
      <c r="BT551" s="165"/>
      <c r="BU551" s="165"/>
      <c r="BV551" s="165"/>
      <c r="BW551" s="165"/>
      <c r="BX551" s="165"/>
      <c r="BY551" s="165"/>
      <c r="BZ551" s="165"/>
      <c r="CA551" s="165"/>
      <c r="CB551" s="217"/>
    </row>
    <row r="552" spans="1:80">
      <c r="A552" s="107"/>
      <c r="B552" s="107"/>
      <c r="C552" s="107"/>
      <c r="D552" s="107"/>
      <c r="E552" s="551"/>
      <c r="F552" s="552"/>
      <c r="G552" s="552"/>
      <c r="H552" s="553"/>
      <c r="I552" s="545"/>
      <c r="J552" s="546"/>
      <c r="K552" s="546"/>
      <c r="L552" s="547"/>
      <c r="M552" s="545"/>
      <c r="N552" s="546"/>
      <c r="O552" s="546"/>
      <c r="P552" s="547"/>
      <c r="Q552" s="545"/>
      <c r="R552" s="546"/>
      <c r="S552" s="546"/>
      <c r="T552" s="547"/>
      <c r="U552" s="545"/>
      <c r="V552" s="546"/>
      <c r="W552" s="546"/>
      <c r="X552" s="547"/>
      <c r="Y552" s="545"/>
      <c r="Z552" s="546"/>
      <c r="AA552" s="546"/>
      <c r="AB552" s="547"/>
      <c r="AC552" s="545"/>
      <c r="AD552" s="546"/>
      <c r="AE552" s="546"/>
      <c r="AF552" s="547"/>
      <c r="AG552" s="545"/>
      <c r="AH552" s="546"/>
      <c r="AI552" s="546"/>
      <c r="AJ552" s="547"/>
      <c r="AK552" s="545"/>
      <c r="AL552" s="546"/>
      <c r="AM552" s="546"/>
      <c r="AN552" s="547"/>
      <c r="AO552" s="545"/>
      <c r="AP552" s="546"/>
      <c r="AQ552" s="546"/>
      <c r="AR552" s="547"/>
      <c r="AS552" s="545"/>
      <c r="AT552" s="546"/>
      <c r="AU552" s="546"/>
      <c r="AV552" s="547"/>
      <c r="AW552" s="545"/>
      <c r="AX552" s="546"/>
      <c r="AY552" s="546"/>
      <c r="AZ552" s="547"/>
      <c r="BJ552" s="217"/>
      <c r="BK552" s="164"/>
      <c r="BL552" s="165"/>
      <c r="BM552" s="165"/>
      <c r="BN552" s="165"/>
      <c r="BO552" s="165"/>
      <c r="BP552" s="165"/>
      <c r="BQ552" s="165"/>
      <c r="BR552" s="165"/>
      <c r="BS552" s="165"/>
      <c r="BT552" s="165"/>
      <c r="BU552" s="165"/>
      <c r="BV552" s="165"/>
      <c r="BW552" s="165"/>
      <c r="BX552" s="165"/>
      <c r="BY552" s="165"/>
      <c r="BZ552" s="165"/>
      <c r="CA552" s="165"/>
      <c r="CB552" s="217"/>
    </row>
    <row r="553" spans="1:80">
      <c r="A553" s="107"/>
      <c r="B553" s="107"/>
      <c r="C553" s="107"/>
      <c r="D553" s="107"/>
      <c r="E553" s="548"/>
      <c r="F553" s="549"/>
      <c r="G553" s="549"/>
      <c r="H553" s="550"/>
      <c r="I553" s="540"/>
      <c r="J553" s="541"/>
      <c r="K553" s="541"/>
      <c r="L553" s="542"/>
      <c r="M553" s="540"/>
      <c r="N553" s="541"/>
      <c r="O553" s="541"/>
      <c r="P553" s="542"/>
      <c r="Q553" s="540"/>
      <c r="R553" s="541"/>
      <c r="S553" s="541"/>
      <c r="T553" s="542"/>
      <c r="U553" s="540"/>
      <c r="V553" s="541"/>
      <c r="W553" s="541"/>
      <c r="X553" s="542"/>
      <c r="Y553" s="540"/>
      <c r="Z553" s="541"/>
      <c r="AA553" s="541"/>
      <c r="AB553" s="542"/>
      <c r="AC553" s="540"/>
      <c r="AD553" s="541"/>
      <c r="AE553" s="541"/>
      <c r="AF553" s="542"/>
      <c r="AG553" s="540"/>
      <c r="AH553" s="541"/>
      <c r="AI553" s="541"/>
      <c r="AJ553" s="542"/>
      <c r="AK553" s="540"/>
      <c r="AL553" s="541"/>
      <c r="AM553" s="541"/>
      <c r="AN553" s="542"/>
      <c r="AO553" s="540"/>
      <c r="AP553" s="541"/>
      <c r="AQ553" s="541"/>
      <c r="AR553" s="542"/>
      <c r="AS553" s="540"/>
      <c r="AT553" s="541"/>
      <c r="AU553" s="541"/>
      <c r="AV553" s="542"/>
      <c r="AW553" s="540"/>
      <c r="AX553" s="541"/>
      <c r="AY553" s="541"/>
      <c r="AZ553" s="542"/>
      <c r="BJ553" s="217"/>
      <c r="BK553" s="164"/>
      <c r="BL553" s="165"/>
      <c r="BM553" s="165"/>
      <c r="BN553" s="165"/>
      <c r="BO553" s="165"/>
      <c r="BP553" s="165"/>
      <c r="BQ553" s="165"/>
      <c r="BR553" s="165"/>
      <c r="BS553" s="165"/>
      <c r="BT553" s="165"/>
      <c r="BU553" s="165"/>
      <c r="BV553" s="165"/>
      <c r="BW553" s="165"/>
      <c r="BX553" s="165"/>
      <c r="BY553" s="165"/>
      <c r="BZ553" s="165"/>
      <c r="CA553" s="165"/>
      <c r="CB553" s="217"/>
    </row>
    <row r="554" spans="1:80">
      <c r="A554" s="107"/>
      <c r="B554" s="107"/>
      <c r="C554" s="107"/>
      <c r="D554" s="107"/>
      <c r="E554" s="551"/>
      <c r="F554" s="552"/>
      <c r="G554" s="552"/>
      <c r="H554" s="553"/>
      <c r="I554" s="545"/>
      <c r="J554" s="546"/>
      <c r="K554" s="546"/>
      <c r="L554" s="547"/>
      <c r="M554" s="545"/>
      <c r="N554" s="546"/>
      <c r="O554" s="546"/>
      <c r="P554" s="547"/>
      <c r="Q554" s="545"/>
      <c r="R554" s="546"/>
      <c r="S554" s="546"/>
      <c r="T554" s="547"/>
      <c r="U554" s="545"/>
      <c r="V554" s="546"/>
      <c r="W554" s="546"/>
      <c r="X554" s="547"/>
      <c r="Y554" s="545"/>
      <c r="Z554" s="546"/>
      <c r="AA554" s="546"/>
      <c r="AB554" s="547"/>
      <c r="AC554" s="545"/>
      <c r="AD554" s="546"/>
      <c r="AE554" s="546"/>
      <c r="AF554" s="547"/>
      <c r="AG554" s="545"/>
      <c r="AH554" s="546"/>
      <c r="AI554" s="546"/>
      <c r="AJ554" s="547"/>
      <c r="AK554" s="545"/>
      <c r="AL554" s="546"/>
      <c r="AM554" s="546"/>
      <c r="AN554" s="547"/>
      <c r="AO554" s="545"/>
      <c r="AP554" s="546"/>
      <c r="AQ554" s="546"/>
      <c r="AR554" s="547"/>
      <c r="AS554" s="545"/>
      <c r="AT554" s="546"/>
      <c r="AU554" s="546"/>
      <c r="AV554" s="547"/>
      <c r="AW554" s="545"/>
      <c r="AX554" s="546"/>
      <c r="AY554" s="546"/>
      <c r="AZ554" s="547"/>
      <c r="BJ554" s="217"/>
      <c r="BK554" s="164"/>
      <c r="BL554" s="165"/>
      <c r="BM554" s="165"/>
      <c r="BN554" s="165"/>
      <c r="BO554" s="165"/>
      <c r="BP554" s="165"/>
      <c r="BQ554" s="165"/>
      <c r="BR554" s="165"/>
      <c r="BS554" s="165"/>
      <c r="BT554" s="165"/>
      <c r="BU554" s="165"/>
      <c r="BV554" s="165"/>
      <c r="BW554" s="165"/>
      <c r="BX554" s="165"/>
      <c r="BY554" s="165"/>
      <c r="BZ554" s="165"/>
      <c r="CA554" s="165"/>
      <c r="CB554" s="217"/>
    </row>
    <row r="555" spans="1:80">
      <c r="A555" s="107"/>
      <c r="B555" s="107"/>
      <c r="C555" s="107"/>
      <c r="D555" s="107"/>
      <c r="E555" s="548"/>
      <c r="F555" s="549"/>
      <c r="G555" s="549"/>
      <c r="H555" s="550"/>
      <c r="I555" s="540"/>
      <c r="J555" s="541"/>
      <c r="K555" s="541"/>
      <c r="L555" s="542"/>
      <c r="M555" s="540"/>
      <c r="N555" s="541"/>
      <c r="O555" s="541"/>
      <c r="P555" s="542"/>
      <c r="Q555" s="540"/>
      <c r="R555" s="541"/>
      <c r="S555" s="541"/>
      <c r="T555" s="542"/>
      <c r="U555" s="540"/>
      <c r="V555" s="541"/>
      <c r="W555" s="541"/>
      <c r="X555" s="542"/>
      <c r="Y555" s="540"/>
      <c r="Z555" s="541"/>
      <c r="AA555" s="541"/>
      <c r="AB555" s="542"/>
      <c r="AC555" s="540"/>
      <c r="AD555" s="541"/>
      <c r="AE555" s="541"/>
      <c r="AF555" s="542"/>
      <c r="AG555" s="540"/>
      <c r="AH555" s="541"/>
      <c r="AI555" s="541"/>
      <c r="AJ555" s="542"/>
      <c r="AK555" s="540"/>
      <c r="AL555" s="541"/>
      <c r="AM555" s="541"/>
      <c r="AN555" s="542"/>
      <c r="AO555" s="540"/>
      <c r="AP555" s="541"/>
      <c r="AQ555" s="541"/>
      <c r="AR555" s="542"/>
      <c r="AS555" s="540"/>
      <c r="AT555" s="541"/>
      <c r="AU555" s="541"/>
      <c r="AV555" s="542"/>
      <c r="AW555" s="540"/>
      <c r="AX555" s="541"/>
      <c r="AY555" s="541"/>
      <c r="AZ555" s="542"/>
      <c r="BJ555" s="217"/>
      <c r="BK555" s="164"/>
      <c r="BL555" s="165"/>
      <c r="BM555" s="165"/>
      <c r="BN555" s="165"/>
      <c r="BO555" s="165"/>
      <c r="BP555" s="165"/>
      <c r="BQ555" s="165"/>
      <c r="BR555" s="165"/>
      <c r="BS555" s="165"/>
      <c r="BT555" s="165"/>
      <c r="BU555" s="165"/>
      <c r="BV555" s="165"/>
      <c r="BW555" s="165"/>
      <c r="BX555" s="165"/>
      <c r="BY555" s="165"/>
      <c r="BZ555" s="165"/>
      <c r="CA555" s="165"/>
      <c r="CB555" s="217"/>
    </row>
    <row r="556" spans="1:80">
      <c r="A556" s="107"/>
      <c r="B556" s="107"/>
      <c r="C556" s="107"/>
      <c r="D556" s="107"/>
      <c r="E556" s="551"/>
      <c r="F556" s="552"/>
      <c r="G556" s="552"/>
      <c r="H556" s="553"/>
      <c r="I556" s="545"/>
      <c r="J556" s="546"/>
      <c r="K556" s="546"/>
      <c r="L556" s="547"/>
      <c r="M556" s="545"/>
      <c r="N556" s="546"/>
      <c r="O556" s="546"/>
      <c r="P556" s="547"/>
      <c r="Q556" s="545"/>
      <c r="R556" s="546"/>
      <c r="S556" s="546"/>
      <c r="T556" s="547"/>
      <c r="U556" s="545"/>
      <c r="V556" s="546"/>
      <c r="W556" s="546"/>
      <c r="X556" s="547"/>
      <c r="Y556" s="545"/>
      <c r="Z556" s="546"/>
      <c r="AA556" s="546"/>
      <c r="AB556" s="547"/>
      <c r="AC556" s="545"/>
      <c r="AD556" s="546"/>
      <c r="AE556" s="546"/>
      <c r="AF556" s="547"/>
      <c r="AG556" s="545"/>
      <c r="AH556" s="546"/>
      <c r="AI556" s="546"/>
      <c r="AJ556" s="547"/>
      <c r="AK556" s="545"/>
      <c r="AL556" s="546"/>
      <c r="AM556" s="546"/>
      <c r="AN556" s="547"/>
      <c r="AO556" s="545"/>
      <c r="AP556" s="546"/>
      <c r="AQ556" s="546"/>
      <c r="AR556" s="547"/>
      <c r="AS556" s="545"/>
      <c r="AT556" s="546"/>
      <c r="AU556" s="546"/>
      <c r="AV556" s="547"/>
      <c r="AW556" s="545"/>
      <c r="AX556" s="546"/>
      <c r="AY556" s="546"/>
      <c r="AZ556" s="547"/>
      <c r="BJ556" s="217"/>
      <c r="BK556" s="164"/>
      <c r="BL556" s="165"/>
      <c r="BM556" s="165"/>
      <c r="BN556" s="165"/>
      <c r="BO556" s="165"/>
      <c r="BP556" s="165"/>
      <c r="BQ556" s="165"/>
      <c r="BR556" s="165"/>
      <c r="BS556" s="165"/>
      <c r="BT556" s="165"/>
      <c r="BU556" s="165"/>
      <c r="BV556" s="165"/>
      <c r="BW556" s="165"/>
      <c r="BX556" s="165"/>
      <c r="BY556" s="165"/>
      <c r="BZ556" s="165"/>
      <c r="CA556" s="165"/>
      <c r="CB556" s="217"/>
    </row>
    <row r="557" spans="1:80">
      <c r="A557" s="107"/>
      <c r="B557" s="107"/>
      <c r="C557" s="107"/>
      <c r="D557" s="107"/>
      <c r="E557" s="548"/>
      <c r="F557" s="549"/>
      <c r="G557" s="549"/>
      <c r="H557" s="550"/>
      <c r="I557" s="540"/>
      <c r="J557" s="541"/>
      <c r="K557" s="541"/>
      <c r="L557" s="542"/>
      <c r="M557" s="540"/>
      <c r="N557" s="541"/>
      <c r="O557" s="541"/>
      <c r="P557" s="542"/>
      <c r="Q557" s="540"/>
      <c r="R557" s="541"/>
      <c r="S557" s="541"/>
      <c r="T557" s="542"/>
      <c r="U557" s="540"/>
      <c r="V557" s="541"/>
      <c r="W557" s="541"/>
      <c r="X557" s="542"/>
      <c r="Y557" s="540"/>
      <c r="Z557" s="541"/>
      <c r="AA557" s="541"/>
      <c r="AB557" s="542"/>
      <c r="AC557" s="540"/>
      <c r="AD557" s="541"/>
      <c r="AE557" s="541"/>
      <c r="AF557" s="542"/>
      <c r="AG557" s="540"/>
      <c r="AH557" s="541"/>
      <c r="AI557" s="541"/>
      <c r="AJ557" s="542"/>
      <c r="AK557" s="540"/>
      <c r="AL557" s="541"/>
      <c r="AM557" s="541"/>
      <c r="AN557" s="542"/>
      <c r="AO557" s="540"/>
      <c r="AP557" s="541"/>
      <c r="AQ557" s="541"/>
      <c r="AR557" s="542"/>
      <c r="AS557" s="540"/>
      <c r="AT557" s="541"/>
      <c r="AU557" s="541"/>
      <c r="AV557" s="542"/>
      <c r="AW557" s="540"/>
      <c r="AX557" s="541"/>
      <c r="AY557" s="541"/>
      <c r="AZ557" s="542"/>
      <c r="BJ557" s="217"/>
      <c r="BK557" s="164"/>
      <c r="BL557" s="165"/>
      <c r="BM557" s="165"/>
      <c r="BN557" s="165"/>
      <c r="BO557" s="165"/>
      <c r="BP557" s="165"/>
      <c r="BQ557" s="165"/>
      <c r="BR557" s="165"/>
      <c r="BS557" s="165"/>
      <c r="BT557" s="165"/>
      <c r="BU557" s="165"/>
      <c r="BV557" s="165"/>
      <c r="BW557" s="165"/>
      <c r="BX557" s="165"/>
      <c r="BY557" s="165"/>
      <c r="BZ557" s="165"/>
      <c r="CA557" s="165"/>
      <c r="CB557" s="217"/>
    </row>
    <row r="558" spans="1:80">
      <c r="A558" s="107"/>
      <c r="B558" s="107"/>
      <c r="C558" s="107"/>
      <c r="D558" s="107"/>
      <c r="E558" s="551"/>
      <c r="F558" s="552"/>
      <c r="G558" s="552"/>
      <c r="H558" s="553"/>
      <c r="I558" s="545"/>
      <c r="J558" s="546"/>
      <c r="K558" s="546"/>
      <c r="L558" s="547"/>
      <c r="M558" s="545"/>
      <c r="N558" s="546"/>
      <c r="O558" s="546"/>
      <c r="P558" s="547"/>
      <c r="Q558" s="545"/>
      <c r="R558" s="546"/>
      <c r="S558" s="546"/>
      <c r="T558" s="547"/>
      <c r="U558" s="545"/>
      <c r="V558" s="546"/>
      <c r="W558" s="546"/>
      <c r="X558" s="547"/>
      <c r="Y558" s="545"/>
      <c r="Z558" s="546"/>
      <c r="AA558" s="546"/>
      <c r="AB558" s="547"/>
      <c r="AC558" s="545"/>
      <c r="AD558" s="546"/>
      <c r="AE558" s="546"/>
      <c r="AF558" s="547"/>
      <c r="AG558" s="545"/>
      <c r="AH558" s="546"/>
      <c r="AI558" s="546"/>
      <c r="AJ558" s="547"/>
      <c r="AK558" s="545"/>
      <c r="AL558" s="546"/>
      <c r="AM558" s="546"/>
      <c r="AN558" s="547"/>
      <c r="AO558" s="545"/>
      <c r="AP558" s="546"/>
      <c r="AQ558" s="546"/>
      <c r="AR558" s="547"/>
      <c r="AS558" s="545"/>
      <c r="AT558" s="546"/>
      <c r="AU558" s="546"/>
      <c r="AV558" s="547"/>
      <c r="AW558" s="545"/>
      <c r="AX558" s="546"/>
      <c r="AY558" s="546"/>
      <c r="AZ558" s="547"/>
      <c r="BJ558" s="217"/>
      <c r="BK558" s="164"/>
      <c r="BL558" s="165"/>
      <c r="BM558" s="165"/>
      <c r="BN558" s="165"/>
      <c r="BO558" s="165"/>
      <c r="BP558" s="165"/>
      <c r="BQ558" s="165"/>
      <c r="BR558" s="165"/>
      <c r="BS558" s="165"/>
      <c r="BT558" s="165"/>
      <c r="BU558" s="165"/>
      <c r="BV558" s="165"/>
      <c r="BW558" s="165"/>
      <c r="BX558" s="165"/>
      <c r="BY558" s="165"/>
      <c r="BZ558" s="165"/>
      <c r="CA558" s="165"/>
      <c r="CB558" s="217"/>
    </row>
    <row r="559" spans="1:80">
      <c r="A559" s="107"/>
      <c r="B559" s="107"/>
      <c r="C559" s="107"/>
      <c r="D559" s="107"/>
      <c r="E559" s="548"/>
      <c r="F559" s="549"/>
      <c r="G559" s="549"/>
      <c r="H559" s="550"/>
      <c r="I559" s="540"/>
      <c r="J559" s="541"/>
      <c r="K559" s="541"/>
      <c r="L559" s="542"/>
      <c r="M559" s="540"/>
      <c r="N559" s="541"/>
      <c r="O559" s="541"/>
      <c r="P559" s="542"/>
      <c r="Q559" s="540"/>
      <c r="R559" s="541"/>
      <c r="S559" s="541"/>
      <c r="T559" s="542"/>
      <c r="U559" s="540"/>
      <c r="V559" s="541"/>
      <c r="W559" s="541"/>
      <c r="X559" s="542"/>
      <c r="Y559" s="540"/>
      <c r="Z559" s="541"/>
      <c r="AA559" s="541"/>
      <c r="AB559" s="542"/>
      <c r="AC559" s="540"/>
      <c r="AD559" s="541"/>
      <c r="AE559" s="541"/>
      <c r="AF559" s="542"/>
      <c r="AG559" s="540"/>
      <c r="AH559" s="541"/>
      <c r="AI559" s="541"/>
      <c r="AJ559" s="542"/>
      <c r="AK559" s="540"/>
      <c r="AL559" s="541"/>
      <c r="AM559" s="541"/>
      <c r="AN559" s="542"/>
      <c r="AO559" s="540"/>
      <c r="AP559" s="541"/>
      <c r="AQ559" s="541"/>
      <c r="AR559" s="542"/>
      <c r="AS559" s="540"/>
      <c r="AT559" s="541"/>
      <c r="AU559" s="541"/>
      <c r="AV559" s="542"/>
      <c r="AW559" s="540"/>
      <c r="AX559" s="541"/>
      <c r="AY559" s="541"/>
      <c r="AZ559" s="542"/>
      <c r="BJ559" s="217"/>
      <c r="BK559" s="164"/>
      <c r="BL559" s="165"/>
      <c r="BM559" s="165"/>
      <c r="BN559" s="165"/>
      <c r="BO559" s="165"/>
      <c r="BP559" s="165"/>
      <c r="BQ559" s="165"/>
      <c r="BR559" s="165"/>
      <c r="BS559" s="165"/>
      <c r="BT559" s="165"/>
      <c r="BU559" s="165"/>
      <c r="BV559" s="165"/>
      <c r="BW559" s="165"/>
      <c r="BX559" s="165"/>
      <c r="BY559" s="165"/>
      <c r="BZ559" s="165"/>
      <c r="CA559" s="165"/>
      <c r="CB559" s="217"/>
    </row>
    <row r="560" spans="1:80">
      <c r="A560" s="107"/>
      <c r="B560" s="107"/>
      <c r="C560" s="107"/>
      <c r="D560" s="107"/>
      <c r="E560" s="551"/>
      <c r="F560" s="552"/>
      <c r="G560" s="552"/>
      <c r="H560" s="553"/>
      <c r="I560" s="545"/>
      <c r="J560" s="546"/>
      <c r="K560" s="546"/>
      <c r="L560" s="547"/>
      <c r="M560" s="545"/>
      <c r="N560" s="546"/>
      <c r="O560" s="546"/>
      <c r="P560" s="547"/>
      <c r="Q560" s="545"/>
      <c r="R560" s="546"/>
      <c r="S560" s="546"/>
      <c r="T560" s="547"/>
      <c r="U560" s="545"/>
      <c r="V560" s="546"/>
      <c r="W560" s="546"/>
      <c r="X560" s="547"/>
      <c r="Y560" s="545"/>
      <c r="Z560" s="546"/>
      <c r="AA560" s="546"/>
      <c r="AB560" s="547"/>
      <c r="AC560" s="545"/>
      <c r="AD560" s="546"/>
      <c r="AE560" s="546"/>
      <c r="AF560" s="547"/>
      <c r="AG560" s="545"/>
      <c r="AH560" s="546"/>
      <c r="AI560" s="546"/>
      <c r="AJ560" s="547"/>
      <c r="AK560" s="545"/>
      <c r="AL560" s="546"/>
      <c r="AM560" s="546"/>
      <c r="AN560" s="547"/>
      <c r="AO560" s="545"/>
      <c r="AP560" s="546"/>
      <c r="AQ560" s="546"/>
      <c r="AR560" s="547"/>
      <c r="AS560" s="545"/>
      <c r="AT560" s="546"/>
      <c r="AU560" s="546"/>
      <c r="AV560" s="547"/>
      <c r="AW560" s="545"/>
      <c r="AX560" s="546"/>
      <c r="AY560" s="546"/>
      <c r="AZ560" s="547"/>
      <c r="BJ560" s="217"/>
      <c r="BK560" s="164"/>
      <c r="BL560" s="165"/>
      <c r="BM560" s="165"/>
      <c r="BN560" s="165"/>
      <c r="BO560" s="165"/>
      <c r="BP560" s="165"/>
      <c r="BQ560" s="165"/>
      <c r="BR560" s="165"/>
      <c r="BS560" s="165"/>
      <c r="BT560" s="165"/>
      <c r="BU560" s="165"/>
      <c r="BV560" s="165"/>
      <c r="BW560" s="165"/>
      <c r="BX560" s="165"/>
      <c r="BY560" s="165"/>
      <c r="BZ560" s="165"/>
      <c r="CA560" s="165"/>
      <c r="CB560" s="217"/>
    </row>
    <row r="561" spans="1:80">
      <c r="A561" s="107"/>
      <c r="B561" s="107"/>
      <c r="C561" s="107"/>
      <c r="D561" s="107"/>
      <c r="E561" s="548"/>
      <c r="F561" s="549"/>
      <c r="G561" s="549"/>
      <c r="H561" s="550"/>
      <c r="I561" s="540"/>
      <c r="J561" s="541"/>
      <c r="K561" s="541"/>
      <c r="L561" s="542"/>
      <c r="M561" s="540"/>
      <c r="N561" s="541"/>
      <c r="O561" s="541"/>
      <c r="P561" s="542"/>
      <c r="Q561" s="540"/>
      <c r="R561" s="541"/>
      <c r="S561" s="541"/>
      <c r="T561" s="542"/>
      <c r="U561" s="540"/>
      <c r="V561" s="541"/>
      <c r="W561" s="541"/>
      <c r="X561" s="542"/>
      <c r="Y561" s="540"/>
      <c r="Z561" s="541"/>
      <c r="AA561" s="541"/>
      <c r="AB561" s="542"/>
      <c r="AC561" s="540"/>
      <c r="AD561" s="541"/>
      <c r="AE561" s="541"/>
      <c r="AF561" s="542"/>
      <c r="AG561" s="540"/>
      <c r="AH561" s="541"/>
      <c r="AI561" s="541"/>
      <c r="AJ561" s="542"/>
      <c r="AK561" s="540"/>
      <c r="AL561" s="541"/>
      <c r="AM561" s="541"/>
      <c r="AN561" s="542"/>
      <c r="AO561" s="540"/>
      <c r="AP561" s="541"/>
      <c r="AQ561" s="541"/>
      <c r="AR561" s="542"/>
      <c r="AS561" s="540"/>
      <c r="AT561" s="541"/>
      <c r="AU561" s="541"/>
      <c r="AV561" s="542"/>
      <c r="AW561" s="540"/>
      <c r="AX561" s="541"/>
      <c r="AY561" s="541"/>
      <c r="AZ561" s="542"/>
      <c r="BJ561" s="217"/>
      <c r="BK561" s="164"/>
      <c r="BL561" s="165"/>
      <c r="BM561" s="165"/>
      <c r="BN561" s="165"/>
      <c r="BO561" s="165"/>
      <c r="BP561" s="165"/>
      <c r="BQ561" s="165"/>
      <c r="BR561" s="165"/>
      <c r="BS561" s="165"/>
      <c r="BT561" s="165"/>
      <c r="BU561" s="165"/>
      <c r="BV561" s="165"/>
      <c r="BW561" s="165"/>
      <c r="BX561" s="165"/>
      <c r="BY561" s="165"/>
      <c r="BZ561" s="165"/>
      <c r="CA561" s="165"/>
      <c r="CB561" s="217"/>
    </row>
    <row r="562" spans="1:80">
      <c r="A562" s="107"/>
      <c r="B562" s="107"/>
      <c r="C562" s="107"/>
      <c r="D562" s="107"/>
      <c r="E562" s="551"/>
      <c r="F562" s="552"/>
      <c r="G562" s="552"/>
      <c r="H562" s="553"/>
      <c r="I562" s="545"/>
      <c r="J562" s="546"/>
      <c r="K562" s="546"/>
      <c r="L562" s="547"/>
      <c r="M562" s="545"/>
      <c r="N562" s="546"/>
      <c r="O562" s="546"/>
      <c r="P562" s="547"/>
      <c r="Q562" s="545"/>
      <c r="R562" s="546"/>
      <c r="S562" s="546"/>
      <c r="T562" s="547"/>
      <c r="U562" s="545"/>
      <c r="V562" s="546"/>
      <c r="W562" s="546"/>
      <c r="X562" s="547"/>
      <c r="Y562" s="545"/>
      <c r="Z562" s="546"/>
      <c r="AA562" s="546"/>
      <c r="AB562" s="547"/>
      <c r="AC562" s="545"/>
      <c r="AD562" s="546"/>
      <c r="AE562" s="546"/>
      <c r="AF562" s="547"/>
      <c r="AG562" s="545"/>
      <c r="AH562" s="546"/>
      <c r="AI562" s="546"/>
      <c r="AJ562" s="547"/>
      <c r="AK562" s="545"/>
      <c r="AL562" s="546"/>
      <c r="AM562" s="546"/>
      <c r="AN562" s="547"/>
      <c r="AO562" s="545"/>
      <c r="AP562" s="546"/>
      <c r="AQ562" s="546"/>
      <c r="AR562" s="547"/>
      <c r="AS562" s="545"/>
      <c r="AT562" s="546"/>
      <c r="AU562" s="546"/>
      <c r="AV562" s="547"/>
      <c r="AW562" s="545"/>
      <c r="AX562" s="546"/>
      <c r="AY562" s="546"/>
      <c r="AZ562" s="547"/>
      <c r="BJ562" s="217"/>
      <c r="BK562" s="164"/>
      <c r="BL562" s="165"/>
      <c r="BM562" s="165"/>
      <c r="BN562" s="165"/>
      <c r="BO562" s="165"/>
      <c r="BP562" s="165"/>
      <c r="BQ562" s="165"/>
      <c r="BR562" s="165"/>
      <c r="BS562" s="165"/>
      <c r="BT562" s="165"/>
      <c r="BU562" s="165"/>
      <c r="BV562" s="165"/>
      <c r="BW562" s="165"/>
      <c r="BX562" s="165"/>
      <c r="BY562" s="165"/>
      <c r="BZ562" s="165"/>
      <c r="CA562" s="165"/>
      <c r="CB562" s="217"/>
    </row>
    <row r="563" spans="1:80">
      <c r="A563" s="107"/>
      <c r="B563" s="107"/>
      <c r="C563" s="107"/>
      <c r="D563" s="107"/>
      <c r="E563" s="548"/>
      <c r="F563" s="549"/>
      <c r="G563" s="549"/>
      <c r="H563" s="550"/>
      <c r="I563" s="540"/>
      <c r="J563" s="541"/>
      <c r="K563" s="541"/>
      <c r="L563" s="542"/>
      <c r="M563" s="540"/>
      <c r="N563" s="541"/>
      <c r="O563" s="541"/>
      <c r="P563" s="542"/>
      <c r="Q563" s="540"/>
      <c r="R563" s="541"/>
      <c r="S563" s="541"/>
      <c r="T563" s="542"/>
      <c r="U563" s="540"/>
      <c r="V563" s="541"/>
      <c r="W563" s="541"/>
      <c r="X563" s="542"/>
      <c r="Y563" s="540"/>
      <c r="Z563" s="541"/>
      <c r="AA563" s="541"/>
      <c r="AB563" s="542"/>
      <c r="AC563" s="540"/>
      <c r="AD563" s="541"/>
      <c r="AE563" s="541"/>
      <c r="AF563" s="542"/>
      <c r="AG563" s="540"/>
      <c r="AH563" s="541"/>
      <c r="AI563" s="541"/>
      <c r="AJ563" s="542"/>
      <c r="AK563" s="540"/>
      <c r="AL563" s="541"/>
      <c r="AM563" s="541"/>
      <c r="AN563" s="542"/>
      <c r="AO563" s="540"/>
      <c r="AP563" s="541"/>
      <c r="AQ563" s="541"/>
      <c r="AR563" s="542"/>
      <c r="AS563" s="540"/>
      <c r="AT563" s="541"/>
      <c r="AU563" s="541"/>
      <c r="AV563" s="542"/>
      <c r="AW563" s="540"/>
      <c r="AX563" s="541"/>
      <c r="AY563" s="541"/>
      <c r="AZ563" s="542"/>
      <c r="BJ563" s="217"/>
      <c r="BK563" s="164"/>
      <c r="BL563" s="165"/>
      <c r="BM563" s="165"/>
      <c r="BN563" s="165"/>
      <c r="BO563" s="165"/>
      <c r="BP563" s="165"/>
      <c r="BQ563" s="165"/>
      <c r="BR563" s="165"/>
      <c r="BS563" s="165"/>
      <c r="BT563" s="165"/>
      <c r="BU563" s="165"/>
      <c r="BV563" s="165"/>
      <c r="BW563" s="165"/>
      <c r="BX563" s="165"/>
      <c r="BY563" s="165"/>
      <c r="BZ563" s="165"/>
      <c r="CA563" s="165"/>
      <c r="CB563" s="217"/>
    </row>
    <row r="564" spans="1:80">
      <c r="A564" s="107"/>
      <c r="B564" s="107"/>
      <c r="C564" s="107"/>
      <c r="D564" s="107"/>
      <c r="E564" s="551"/>
      <c r="F564" s="552"/>
      <c r="G564" s="552"/>
      <c r="H564" s="553"/>
      <c r="I564" s="545"/>
      <c r="J564" s="546"/>
      <c r="K564" s="546"/>
      <c r="L564" s="547"/>
      <c r="M564" s="545"/>
      <c r="N564" s="546"/>
      <c r="O564" s="546"/>
      <c r="P564" s="547"/>
      <c r="Q564" s="545"/>
      <c r="R564" s="546"/>
      <c r="S564" s="546"/>
      <c r="T564" s="547"/>
      <c r="U564" s="545"/>
      <c r="V564" s="546"/>
      <c r="W564" s="546"/>
      <c r="X564" s="547"/>
      <c r="Y564" s="545"/>
      <c r="Z564" s="546"/>
      <c r="AA564" s="546"/>
      <c r="AB564" s="547"/>
      <c r="AC564" s="545"/>
      <c r="AD564" s="546"/>
      <c r="AE564" s="546"/>
      <c r="AF564" s="547"/>
      <c r="AG564" s="545"/>
      <c r="AH564" s="546"/>
      <c r="AI564" s="546"/>
      <c r="AJ564" s="547"/>
      <c r="AK564" s="545"/>
      <c r="AL564" s="546"/>
      <c r="AM564" s="546"/>
      <c r="AN564" s="547"/>
      <c r="AO564" s="545"/>
      <c r="AP564" s="546"/>
      <c r="AQ564" s="546"/>
      <c r="AR564" s="547"/>
      <c r="AS564" s="545"/>
      <c r="AT564" s="546"/>
      <c r="AU564" s="546"/>
      <c r="AV564" s="547"/>
      <c r="AW564" s="545"/>
      <c r="AX564" s="546"/>
      <c r="AY564" s="546"/>
      <c r="AZ564" s="547"/>
      <c r="BJ564" s="217"/>
      <c r="BK564" s="164"/>
      <c r="BL564" s="165"/>
      <c r="BM564" s="165"/>
      <c r="BN564" s="165"/>
      <c r="BO564" s="165"/>
      <c r="BP564" s="165"/>
      <c r="BQ564" s="165"/>
      <c r="BR564" s="165"/>
      <c r="BS564" s="165"/>
      <c r="BT564" s="165"/>
      <c r="BU564" s="165"/>
      <c r="BV564" s="165"/>
      <c r="BW564" s="165"/>
      <c r="BX564" s="165"/>
      <c r="BY564" s="165"/>
      <c r="BZ564" s="165"/>
      <c r="CA564" s="165"/>
      <c r="CB564" s="217"/>
    </row>
    <row r="565" spans="1:80">
      <c r="A565" s="107"/>
      <c r="B565" s="107"/>
      <c r="C565" s="107"/>
      <c r="D565" s="107"/>
      <c r="E565" s="548"/>
      <c r="F565" s="549"/>
      <c r="G565" s="549"/>
      <c r="H565" s="550"/>
      <c r="I565" s="540"/>
      <c r="J565" s="541"/>
      <c r="K565" s="541"/>
      <c r="L565" s="542"/>
      <c r="M565" s="540"/>
      <c r="N565" s="541"/>
      <c r="O565" s="541"/>
      <c r="P565" s="542"/>
      <c r="Q565" s="540"/>
      <c r="R565" s="541"/>
      <c r="S565" s="541"/>
      <c r="T565" s="542"/>
      <c r="U565" s="540"/>
      <c r="V565" s="541"/>
      <c r="W565" s="541"/>
      <c r="X565" s="542"/>
      <c r="Y565" s="540"/>
      <c r="Z565" s="541"/>
      <c r="AA565" s="541"/>
      <c r="AB565" s="542"/>
      <c r="AC565" s="540"/>
      <c r="AD565" s="541"/>
      <c r="AE565" s="541"/>
      <c r="AF565" s="542"/>
      <c r="AG565" s="540"/>
      <c r="AH565" s="541"/>
      <c r="AI565" s="541"/>
      <c r="AJ565" s="542"/>
      <c r="AK565" s="540"/>
      <c r="AL565" s="541"/>
      <c r="AM565" s="541"/>
      <c r="AN565" s="542"/>
      <c r="AO565" s="540"/>
      <c r="AP565" s="541"/>
      <c r="AQ565" s="541"/>
      <c r="AR565" s="542"/>
      <c r="AS565" s="540"/>
      <c r="AT565" s="541"/>
      <c r="AU565" s="541"/>
      <c r="AV565" s="542"/>
      <c r="AW565" s="540"/>
      <c r="AX565" s="541"/>
      <c r="AY565" s="541"/>
      <c r="AZ565" s="542"/>
      <c r="BJ565" s="217"/>
      <c r="BK565" s="164"/>
      <c r="BL565" s="165"/>
      <c r="BM565" s="165"/>
      <c r="BN565" s="165"/>
      <c r="BO565" s="165"/>
      <c r="BP565" s="165"/>
      <c r="BQ565" s="165"/>
      <c r="BR565" s="165"/>
      <c r="BS565" s="165"/>
      <c r="BT565" s="165"/>
      <c r="BU565" s="165"/>
      <c r="BV565" s="165"/>
      <c r="BW565" s="165"/>
      <c r="BX565" s="165"/>
      <c r="BY565" s="165"/>
      <c r="BZ565" s="165"/>
      <c r="CA565" s="165"/>
      <c r="CB565" s="217"/>
    </row>
    <row r="566" spans="1:80">
      <c r="A566" s="107"/>
      <c r="B566" s="107"/>
      <c r="C566" s="107"/>
      <c r="D566" s="107"/>
      <c r="E566" s="551"/>
      <c r="F566" s="552"/>
      <c r="G566" s="552"/>
      <c r="H566" s="553"/>
      <c r="I566" s="545"/>
      <c r="J566" s="546"/>
      <c r="K566" s="546"/>
      <c r="L566" s="547"/>
      <c r="M566" s="545"/>
      <c r="N566" s="546"/>
      <c r="O566" s="546"/>
      <c r="P566" s="547"/>
      <c r="Q566" s="545"/>
      <c r="R566" s="546"/>
      <c r="S566" s="546"/>
      <c r="T566" s="547"/>
      <c r="U566" s="545"/>
      <c r="V566" s="546"/>
      <c r="W566" s="546"/>
      <c r="X566" s="547"/>
      <c r="Y566" s="545"/>
      <c r="Z566" s="546"/>
      <c r="AA566" s="546"/>
      <c r="AB566" s="547"/>
      <c r="AC566" s="545"/>
      <c r="AD566" s="546"/>
      <c r="AE566" s="546"/>
      <c r="AF566" s="547"/>
      <c r="AG566" s="545"/>
      <c r="AH566" s="546"/>
      <c r="AI566" s="546"/>
      <c r="AJ566" s="547"/>
      <c r="AK566" s="545"/>
      <c r="AL566" s="546"/>
      <c r="AM566" s="546"/>
      <c r="AN566" s="547"/>
      <c r="AO566" s="545"/>
      <c r="AP566" s="546"/>
      <c r="AQ566" s="546"/>
      <c r="AR566" s="547"/>
      <c r="AS566" s="545"/>
      <c r="AT566" s="546"/>
      <c r="AU566" s="546"/>
      <c r="AV566" s="547"/>
      <c r="AW566" s="545"/>
      <c r="AX566" s="546"/>
      <c r="AY566" s="546"/>
      <c r="AZ566" s="547"/>
      <c r="BJ566" s="217"/>
      <c r="BK566" s="164"/>
      <c r="BL566" s="165"/>
      <c r="BM566" s="165"/>
      <c r="BN566" s="165"/>
      <c r="BO566" s="165"/>
      <c r="BP566" s="165"/>
      <c r="BQ566" s="165"/>
      <c r="BR566" s="165"/>
      <c r="BS566" s="165"/>
      <c r="BT566" s="165"/>
      <c r="BU566" s="165"/>
      <c r="BV566" s="165"/>
      <c r="BW566" s="165"/>
      <c r="BX566" s="165"/>
      <c r="BY566" s="165"/>
      <c r="BZ566" s="165"/>
      <c r="CA566" s="165"/>
      <c r="CB566" s="217"/>
    </row>
    <row r="567" spans="1:80">
      <c r="A567" s="107"/>
      <c r="B567" s="107"/>
      <c r="C567" s="107"/>
      <c r="D567" s="107"/>
      <c r="E567" s="548"/>
      <c r="F567" s="549"/>
      <c r="G567" s="549"/>
      <c r="H567" s="550"/>
      <c r="I567" s="540"/>
      <c r="J567" s="541"/>
      <c r="K567" s="541"/>
      <c r="L567" s="542"/>
      <c r="M567" s="540"/>
      <c r="N567" s="541"/>
      <c r="O567" s="541"/>
      <c r="P567" s="542"/>
      <c r="Q567" s="540"/>
      <c r="R567" s="541"/>
      <c r="S567" s="541"/>
      <c r="T567" s="542"/>
      <c r="U567" s="540"/>
      <c r="V567" s="541"/>
      <c r="W567" s="541"/>
      <c r="X567" s="542"/>
      <c r="Y567" s="540"/>
      <c r="Z567" s="541"/>
      <c r="AA567" s="541"/>
      <c r="AB567" s="542"/>
      <c r="AC567" s="540"/>
      <c r="AD567" s="541"/>
      <c r="AE567" s="541"/>
      <c r="AF567" s="542"/>
      <c r="AG567" s="540"/>
      <c r="AH567" s="541"/>
      <c r="AI567" s="541"/>
      <c r="AJ567" s="542"/>
      <c r="AK567" s="540"/>
      <c r="AL567" s="541"/>
      <c r="AM567" s="541"/>
      <c r="AN567" s="542"/>
      <c r="AO567" s="540"/>
      <c r="AP567" s="541"/>
      <c r="AQ567" s="541"/>
      <c r="AR567" s="542"/>
      <c r="AS567" s="540"/>
      <c r="AT567" s="541"/>
      <c r="AU567" s="541"/>
      <c r="AV567" s="542"/>
      <c r="AW567" s="540"/>
      <c r="AX567" s="541"/>
      <c r="AY567" s="541"/>
      <c r="AZ567" s="542"/>
      <c r="BJ567" s="217"/>
      <c r="BK567" s="164"/>
      <c r="BL567" s="165"/>
      <c r="BM567" s="165"/>
      <c r="BN567" s="165"/>
      <c r="BO567" s="165"/>
      <c r="BP567" s="165"/>
      <c r="BQ567" s="165"/>
      <c r="BR567" s="165"/>
      <c r="BS567" s="165"/>
      <c r="BT567" s="165"/>
      <c r="BU567" s="165"/>
      <c r="BV567" s="165"/>
      <c r="BW567" s="165"/>
      <c r="BX567" s="165"/>
      <c r="BY567" s="165"/>
      <c r="BZ567" s="165"/>
      <c r="CA567" s="165"/>
      <c r="CB567" s="217"/>
    </row>
    <row r="568" spans="1:80">
      <c r="A568" s="107"/>
      <c r="B568" s="107"/>
      <c r="C568" s="107"/>
      <c r="D568" s="107"/>
      <c r="E568" s="551"/>
      <c r="F568" s="552"/>
      <c r="G568" s="552"/>
      <c r="H568" s="553"/>
      <c r="I568" s="545"/>
      <c r="J568" s="546"/>
      <c r="K568" s="546"/>
      <c r="L568" s="547"/>
      <c r="M568" s="545"/>
      <c r="N568" s="546"/>
      <c r="O568" s="546"/>
      <c r="P568" s="547"/>
      <c r="Q568" s="545"/>
      <c r="R568" s="546"/>
      <c r="S568" s="546"/>
      <c r="T568" s="547"/>
      <c r="U568" s="545"/>
      <c r="V568" s="546"/>
      <c r="W568" s="546"/>
      <c r="X568" s="547"/>
      <c r="Y568" s="545"/>
      <c r="Z568" s="546"/>
      <c r="AA568" s="546"/>
      <c r="AB568" s="547"/>
      <c r="AC568" s="545"/>
      <c r="AD568" s="546"/>
      <c r="AE568" s="546"/>
      <c r="AF568" s="547"/>
      <c r="AG568" s="545"/>
      <c r="AH568" s="546"/>
      <c r="AI568" s="546"/>
      <c r="AJ568" s="547"/>
      <c r="AK568" s="545"/>
      <c r="AL568" s="546"/>
      <c r="AM568" s="546"/>
      <c r="AN568" s="547"/>
      <c r="AO568" s="545"/>
      <c r="AP568" s="546"/>
      <c r="AQ568" s="546"/>
      <c r="AR568" s="547"/>
      <c r="AS568" s="545"/>
      <c r="AT568" s="546"/>
      <c r="AU568" s="546"/>
      <c r="AV568" s="547"/>
      <c r="AW568" s="545"/>
      <c r="AX568" s="546"/>
      <c r="AY568" s="546"/>
      <c r="AZ568" s="547"/>
      <c r="BJ568" s="217"/>
      <c r="BK568" s="164"/>
      <c r="BL568" s="165"/>
      <c r="BM568" s="165"/>
      <c r="BN568" s="165"/>
      <c r="BO568" s="165"/>
      <c r="BP568" s="165"/>
      <c r="BQ568" s="165"/>
      <c r="BR568" s="165"/>
      <c r="BS568" s="165"/>
      <c r="BT568" s="165"/>
      <c r="BU568" s="165"/>
      <c r="BV568" s="165"/>
      <c r="BW568" s="165"/>
      <c r="BX568" s="165"/>
      <c r="BY568" s="165"/>
      <c r="BZ568" s="165"/>
      <c r="CA568" s="165"/>
      <c r="CB568" s="217"/>
    </row>
    <row r="569" spans="1:80">
      <c r="A569" s="107"/>
      <c r="B569" s="107"/>
      <c r="C569" s="107"/>
      <c r="D569" s="107"/>
      <c r="E569" s="548"/>
      <c r="F569" s="549"/>
      <c r="G569" s="549"/>
      <c r="H569" s="550"/>
      <c r="I569" s="540"/>
      <c r="J569" s="541"/>
      <c r="K569" s="541"/>
      <c r="L569" s="542"/>
      <c r="M569" s="540"/>
      <c r="N569" s="541"/>
      <c r="O569" s="541"/>
      <c r="P569" s="542"/>
      <c r="Q569" s="540"/>
      <c r="R569" s="541"/>
      <c r="S569" s="541"/>
      <c r="T569" s="542"/>
      <c r="U569" s="540"/>
      <c r="V569" s="541"/>
      <c r="W569" s="541"/>
      <c r="X569" s="542"/>
      <c r="Y569" s="540"/>
      <c r="Z569" s="541"/>
      <c r="AA569" s="541"/>
      <c r="AB569" s="542"/>
      <c r="AC569" s="540"/>
      <c r="AD569" s="541"/>
      <c r="AE569" s="541"/>
      <c r="AF569" s="542"/>
      <c r="AG569" s="540"/>
      <c r="AH569" s="541"/>
      <c r="AI569" s="541"/>
      <c r="AJ569" s="542"/>
      <c r="AK569" s="540"/>
      <c r="AL569" s="541"/>
      <c r="AM569" s="541"/>
      <c r="AN569" s="542"/>
      <c r="AO569" s="540"/>
      <c r="AP569" s="541"/>
      <c r="AQ569" s="541"/>
      <c r="AR569" s="542"/>
      <c r="AS569" s="540"/>
      <c r="AT569" s="541"/>
      <c r="AU569" s="541"/>
      <c r="AV569" s="542"/>
      <c r="AW569" s="540"/>
      <c r="AX569" s="541"/>
      <c r="AY569" s="541"/>
      <c r="AZ569" s="542"/>
      <c r="BJ569" s="217"/>
      <c r="BK569" s="164"/>
      <c r="BL569" s="165"/>
      <c r="BM569" s="165"/>
      <c r="BN569" s="165"/>
      <c r="BO569" s="165"/>
      <c r="BP569" s="165"/>
      <c r="BQ569" s="165"/>
      <c r="BR569" s="165"/>
      <c r="BS569" s="165"/>
      <c r="BT569" s="165"/>
      <c r="BU569" s="165"/>
      <c r="BV569" s="165"/>
      <c r="BW569" s="165"/>
      <c r="BX569" s="165"/>
      <c r="BY569" s="165"/>
      <c r="BZ569" s="165"/>
      <c r="CA569" s="165"/>
      <c r="CB569" s="217"/>
    </row>
    <row r="570" spans="1:80">
      <c r="A570" s="107"/>
      <c r="B570" s="107"/>
      <c r="C570" s="107"/>
      <c r="D570" s="107"/>
      <c r="E570" s="551"/>
      <c r="F570" s="552"/>
      <c r="G570" s="552"/>
      <c r="H570" s="553"/>
      <c r="I570" s="545"/>
      <c r="J570" s="546"/>
      <c r="K570" s="546"/>
      <c r="L570" s="547"/>
      <c r="M570" s="545"/>
      <c r="N570" s="546"/>
      <c r="O570" s="546"/>
      <c r="P570" s="547"/>
      <c r="Q570" s="545"/>
      <c r="R570" s="546"/>
      <c r="S570" s="546"/>
      <c r="T570" s="547"/>
      <c r="U570" s="545"/>
      <c r="V570" s="546"/>
      <c r="W570" s="546"/>
      <c r="X570" s="547"/>
      <c r="Y570" s="545"/>
      <c r="Z570" s="546"/>
      <c r="AA570" s="546"/>
      <c r="AB570" s="547"/>
      <c r="AC570" s="545"/>
      <c r="AD570" s="546"/>
      <c r="AE570" s="546"/>
      <c r="AF570" s="547"/>
      <c r="AG570" s="545"/>
      <c r="AH570" s="546"/>
      <c r="AI570" s="546"/>
      <c r="AJ570" s="547"/>
      <c r="AK570" s="545"/>
      <c r="AL570" s="546"/>
      <c r="AM570" s="546"/>
      <c r="AN570" s="547"/>
      <c r="AO570" s="545"/>
      <c r="AP570" s="546"/>
      <c r="AQ570" s="546"/>
      <c r="AR570" s="547"/>
      <c r="AS570" s="545"/>
      <c r="AT570" s="546"/>
      <c r="AU570" s="546"/>
      <c r="AV570" s="547"/>
      <c r="AW570" s="545"/>
      <c r="AX570" s="546"/>
      <c r="AY570" s="546"/>
      <c r="AZ570" s="547"/>
      <c r="BJ570" s="217"/>
      <c r="BK570" s="164"/>
      <c r="BL570" s="165"/>
      <c r="BM570" s="165"/>
      <c r="BN570" s="165"/>
      <c r="BO570" s="165"/>
      <c r="BP570" s="165"/>
      <c r="BQ570" s="165"/>
      <c r="BR570" s="165"/>
      <c r="BS570" s="165"/>
      <c r="BT570" s="165"/>
      <c r="BU570" s="165"/>
      <c r="BV570" s="165"/>
      <c r="BW570" s="165"/>
      <c r="BX570" s="165"/>
      <c r="BY570" s="165"/>
      <c r="BZ570" s="165"/>
      <c r="CA570" s="165"/>
      <c r="CB570" s="217"/>
    </row>
    <row r="571" spans="1:80">
      <c r="A571" s="107"/>
      <c r="B571" s="107"/>
      <c r="C571" s="107"/>
      <c r="D571" s="107"/>
      <c r="E571" s="548"/>
      <c r="F571" s="549"/>
      <c r="G571" s="549"/>
      <c r="H571" s="550"/>
      <c r="I571" s="540"/>
      <c r="J571" s="541"/>
      <c r="K571" s="541"/>
      <c r="L571" s="542"/>
      <c r="M571" s="540"/>
      <c r="N571" s="541"/>
      <c r="O571" s="541"/>
      <c r="P571" s="542"/>
      <c r="Q571" s="540"/>
      <c r="R571" s="541"/>
      <c r="S571" s="541"/>
      <c r="T571" s="542"/>
      <c r="U571" s="540"/>
      <c r="V571" s="541"/>
      <c r="W571" s="541"/>
      <c r="X571" s="542"/>
      <c r="Y571" s="540"/>
      <c r="Z571" s="541"/>
      <c r="AA571" s="541"/>
      <c r="AB571" s="542"/>
      <c r="AC571" s="540"/>
      <c r="AD571" s="541"/>
      <c r="AE571" s="541"/>
      <c r="AF571" s="542"/>
      <c r="AG571" s="540"/>
      <c r="AH571" s="541"/>
      <c r="AI571" s="541"/>
      <c r="AJ571" s="542"/>
      <c r="AK571" s="540"/>
      <c r="AL571" s="541"/>
      <c r="AM571" s="541"/>
      <c r="AN571" s="542"/>
      <c r="AO571" s="540"/>
      <c r="AP571" s="541"/>
      <c r="AQ571" s="541"/>
      <c r="AR571" s="542"/>
      <c r="AS571" s="540"/>
      <c r="AT571" s="541"/>
      <c r="AU571" s="541"/>
      <c r="AV571" s="542"/>
      <c r="AW571" s="540"/>
      <c r="AX571" s="541"/>
      <c r="AY571" s="541"/>
      <c r="AZ571" s="542"/>
      <c r="BJ571" s="217"/>
      <c r="BK571" s="164"/>
      <c r="BL571" s="165"/>
      <c r="BM571" s="165"/>
      <c r="BN571" s="165"/>
      <c r="BO571" s="165"/>
      <c r="BP571" s="165"/>
      <c r="BQ571" s="165"/>
      <c r="BR571" s="165"/>
      <c r="BS571" s="165"/>
      <c r="BT571" s="165"/>
      <c r="BU571" s="165"/>
      <c r="BV571" s="165"/>
      <c r="BW571" s="165"/>
      <c r="BX571" s="165"/>
      <c r="BY571" s="165"/>
      <c r="BZ571" s="165"/>
      <c r="CA571" s="165"/>
      <c r="CB571" s="217"/>
    </row>
    <row r="572" spans="1:80">
      <c r="A572" s="107"/>
      <c r="B572" s="107"/>
      <c r="C572" s="107"/>
      <c r="D572" s="107"/>
      <c r="E572" s="551"/>
      <c r="F572" s="552"/>
      <c r="G572" s="552"/>
      <c r="H572" s="553"/>
      <c r="I572" s="545"/>
      <c r="J572" s="546"/>
      <c r="K572" s="546"/>
      <c r="L572" s="547"/>
      <c r="M572" s="545"/>
      <c r="N572" s="546"/>
      <c r="O572" s="546"/>
      <c r="P572" s="547"/>
      <c r="Q572" s="545"/>
      <c r="R572" s="546"/>
      <c r="S572" s="546"/>
      <c r="T572" s="547"/>
      <c r="U572" s="545"/>
      <c r="V572" s="546"/>
      <c r="W572" s="546"/>
      <c r="X572" s="547"/>
      <c r="Y572" s="545"/>
      <c r="Z572" s="546"/>
      <c r="AA572" s="546"/>
      <c r="AB572" s="547"/>
      <c r="AC572" s="545"/>
      <c r="AD572" s="546"/>
      <c r="AE572" s="546"/>
      <c r="AF572" s="547"/>
      <c r="AG572" s="545"/>
      <c r="AH572" s="546"/>
      <c r="AI572" s="546"/>
      <c r="AJ572" s="547"/>
      <c r="AK572" s="545"/>
      <c r="AL572" s="546"/>
      <c r="AM572" s="546"/>
      <c r="AN572" s="547"/>
      <c r="AO572" s="545"/>
      <c r="AP572" s="546"/>
      <c r="AQ572" s="546"/>
      <c r="AR572" s="547"/>
      <c r="AS572" s="545"/>
      <c r="AT572" s="546"/>
      <c r="AU572" s="546"/>
      <c r="AV572" s="547"/>
      <c r="AW572" s="545"/>
      <c r="AX572" s="546"/>
      <c r="AY572" s="546"/>
      <c r="AZ572" s="547"/>
      <c r="BJ572" s="217"/>
      <c r="BK572" s="164"/>
      <c r="BL572" s="165"/>
      <c r="BM572" s="165"/>
      <c r="BN572" s="165"/>
      <c r="BO572" s="165"/>
      <c r="BP572" s="165"/>
      <c r="BQ572" s="165"/>
      <c r="BR572" s="165"/>
      <c r="BS572" s="165"/>
      <c r="BT572" s="165"/>
      <c r="BU572" s="165"/>
      <c r="BV572" s="165"/>
      <c r="BW572" s="165"/>
      <c r="BX572" s="165"/>
      <c r="BY572" s="165"/>
      <c r="BZ572" s="165"/>
      <c r="CA572" s="165"/>
      <c r="CB572" s="217"/>
    </row>
    <row r="573" spans="1:80">
      <c r="A573" s="107"/>
      <c r="B573" s="107"/>
      <c r="C573" s="107"/>
      <c r="D573" s="107"/>
      <c r="E573" s="548"/>
      <c r="F573" s="549"/>
      <c r="G573" s="549"/>
      <c r="H573" s="550"/>
      <c r="I573" s="540"/>
      <c r="J573" s="541"/>
      <c r="K573" s="541"/>
      <c r="L573" s="542"/>
      <c r="M573" s="540"/>
      <c r="N573" s="541"/>
      <c r="O573" s="541"/>
      <c r="P573" s="542"/>
      <c r="Q573" s="540"/>
      <c r="R573" s="541"/>
      <c r="S573" s="541"/>
      <c r="T573" s="542"/>
      <c r="U573" s="540"/>
      <c r="V573" s="541"/>
      <c r="W573" s="541"/>
      <c r="X573" s="542"/>
      <c r="Y573" s="540"/>
      <c r="Z573" s="541"/>
      <c r="AA573" s="541"/>
      <c r="AB573" s="542"/>
      <c r="AC573" s="540"/>
      <c r="AD573" s="541"/>
      <c r="AE573" s="541"/>
      <c r="AF573" s="542"/>
      <c r="AG573" s="540"/>
      <c r="AH573" s="541"/>
      <c r="AI573" s="541"/>
      <c r="AJ573" s="542"/>
      <c r="AK573" s="540"/>
      <c r="AL573" s="541"/>
      <c r="AM573" s="541"/>
      <c r="AN573" s="542"/>
      <c r="AO573" s="540"/>
      <c r="AP573" s="541"/>
      <c r="AQ573" s="541"/>
      <c r="AR573" s="542"/>
      <c r="AS573" s="540"/>
      <c r="AT573" s="541"/>
      <c r="AU573" s="541"/>
      <c r="AV573" s="542"/>
      <c r="AW573" s="540"/>
      <c r="AX573" s="541"/>
      <c r="AY573" s="541"/>
      <c r="AZ573" s="542"/>
      <c r="BJ573" s="217"/>
      <c r="BK573" s="164"/>
      <c r="BL573" s="165"/>
      <c r="BM573" s="165"/>
      <c r="BN573" s="165"/>
      <c r="BO573" s="165"/>
      <c r="BP573" s="165"/>
      <c r="BQ573" s="165"/>
      <c r="BR573" s="165"/>
      <c r="BS573" s="165"/>
      <c r="BT573" s="165"/>
      <c r="BU573" s="165"/>
      <c r="BV573" s="165"/>
      <c r="BW573" s="165"/>
      <c r="BX573" s="165"/>
      <c r="BY573" s="165"/>
      <c r="BZ573" s="165"/>
      <c r="CA573" s="165"/>
      <c r="CB573" s="217"/>
    </row>
    <row r="574" spans="1:80">
      <c r="A574" s="107"/>
      <c r="B574" s="107"/>
      <c r="C574" s="107"/>
      <c r="D574" s="107"/>
      <c r="E574" s="551"/>
      <c r="F574" s="552"/>
      <c r="G574" s="552"/>
      <c r="H574" s="553"/>
      <c r="I574" s="545"/>
      <c r="J574" s="546"/>
      <c r="K574" s="546"/>
      <c r="L574" s="547"/>
      <c r="M574" s="545"/>
      <c r="N574" s="546"/>
      <c r="O574" s="546"/>
      <c r="P574" s="547"/>
      <c r="Q574" s="545"/>
      <c r="R574" s="546"/>
      <c r="S574" s="546"/>
      <c r="T574" s="547"/>
      <c r="U574" s="545"/>
      <c r="V574" s="546"/>
      <c r="W574" s="546"/>
      <c r="X574" s="547"/>
      <c r="Y574" s="545"/>
      <c r="Z574" s="546"/>
      <c r="AA574" s="546"/>
      <c r="AB574" s="547"/>
      <c r="AC574" s="545"/>
      <c r="AD574" s="546"/>
      <c r="AE574" s="546"/>
      <c r="AF574" s="547"/>
      <c r="AG574" s="545"/>
      <c r="AH574" s="546"/>
      <c r="AI574" s="546"/>
      <c r="AJ574" s="547"/>
      <c r="AK574" s="545"/>
      <c r="AL574" s="546"/>
      <c r="AM574" s="546"/>
      <c r="AN574" s="547"/>
      <c r="AO574" s="545"/>
      <c r="AP574" s="546"/>
      <c r="AQ574" s="546"/>
      <c r="AR574" s="547"/>
      <c r="AS574" s="545"/>
      <c r="AT574" s="546"/>
      <c r="AU574" s="546"/>
      <c r="AV574" s="547"/>
      <c r="AW574" s="545"/>
      <c r="AX574" s="546"/>
      <c r="AY574" s="546"/>
      <c r="AZ574" s="547"/>
      <c r="BJ574" s="217"/>
      <c r="BK574" s="164"/>
      <c r="BL574" s="165"/>
      <c r="BM574" s="165"/>
      <c r="BN574" s="165"/>
      <c r="BO574" s="165"/>
      <c r="BP574" s="165"/>
      <c r="BQ574" s="165"/>
      <c r="BR574" s="165"/>
      <c r="BS574" s="165"/>
      <c r="BT574" s="165"/>
      <c r="BU574" s="165"/>
      <c r="BV574" s="165"/>
      <c r="BW574" s="165"/>
      <c r="BX574" s="165"/>
      <c r="BY574" s="165"/>
      <c r="BZ574" s="165"/>
      <c r="CA574" s="165"/>
      <c r="CB574" s="217"/>
    </row>
    <row r="575" spans="1:80">
      <c r="A575" s="107"/>
      <c r="B575" s="107"/>
      <c r="C575" s="107"/>
      <c r="D575" s="107"/>
      <c r="E575" s="548"/>
      <c r="F575" s="549"/>
      <c r="G575" s="549"/>
      <c r="H575" s="550"/>
      <c r="I575" s="540"/>
      <c r="J575" s="541"/>
      <c r="K575" s="541"/>
      <c r="L575" s="542"/>
      <c r="M575" s="540"/>
      <c r="N575" s="541"/>
      <c r="O575" s="541"/>
      <c r="P575" s="542"/>
      <c r="Q575" s="540"/>
      <c r="R575" s="541"/>
      <c r="S575" s="541"/>
      <c r="T575" s="542"/>
      <c r="U575" s="540"/>
      <c r="V575" s="541"/>
      <c r="W575" s="541"/>
      <c r="X575" s="542"/>
      <c r="Y575" s="540"/>
      <c r="Z575" s="541"/>
      <c r="AA575" s="541"/>
      <c r="AB575" s="542"/>
      <c r="AC575" s="540"/>
      <c r="AD575" s="541"/>
      <c r="AE575" s="541"/>
      <c r="AF575" s="542"/>
      <c r="AG575" s="540"/>
      <c r="AH575" s="541"/>
      <c r="AI575" s="541"/>
      <c r="AJ575" s="542"/>
      <c r="AK575" s="540"/>
      <c r="AL575" s="541"/>
      <c r="AM575" s="541"/>
      <c r="AN575" s="542"/>
      <c r="AO575" s="540"/>
      <c r="AP575" s="541"/>
      <c r="AQ575" s="541"/>
      <c r="AR575" s="542"/>
      <c r="AS575" s="540"/>
      <c r="AT575" s="541"/>
      <c r="AU575" s="541"/>
      <c r="AV575" s="542"/>
      <c r="AW575" s="540"/>
      <c r="AX575" s="541"/>
      <c r="AY575" s="541"/>
      <c r="AZ575" s="542"/>
      <c r="BJ575" s="217"/>
      <c r="BK575" s="164"/>
      <c r="BL575" s="165"/>
      <c r="BM575" s="165"/>
      <c r="BN575" s="165"/>
      <c r="BO575" s="165"/>
      <c r="BP575" s="165"/>
      <c r="BQ575" s="165"/>
      <c r="BR575" s="165"/>
      <c r="BS575" s="165"/>
      <c r="BT575" s="165"/>
      <c r="BU575" s="165"/>
      <c r="BV575" s="165"/>
      <c r="BW575" s="165"/>
      <c r="BX575" s="165"/>
      <c r="BY575" s="165"/>
      <c r="BZ575" s="165"/>
      <c r="CA575" s="165"/>
      <c r="CB575" s="217"/>
    </row>
    <row r="576" spans="1:80">
      <c r="A576" s="107"/>
      <c r="B576" s="107"/>
      <c r="C576" s="107"/>
      <c r="D576" s="107"/>
      <c r="E576" s="551"/>
      <c r="F576" s="552"/>
      <c r="G576" s="552"/>
      <c r="H576" s="553"/>
      <c r="I576" s="545"/>
      <c r="J576" s="546"/>
      <c r="K576" s="546"/>
      <c r="L576" s="547"/>
      <c r="M576" s="545"/>
      <c r="N576" s="546"/>
      <c r="O576" s="546"/>
      <c r="P576" s="547"/>
      <c r="Q576" s="545"/>
      <c r="R576" s="546"/>
      <c r="S576" s="546"/>
      <c r="T576" s="547"/>
      <c r="U576" s="545"/>
      <c r="V576" s="546"/>
      <c r="W576" s="546"/>
      <c r="X576" s="547"/>
      <c r="Y576" s="545"/>
      <c r="Z576" s="546"/>
      <c r="AA576" s="546"/>
      <c r="AB576" s="547"/>
      <c r="AC576" s="545"/>
      <c r="AD576" s="546"/>
      <c r="AE576" s="546"/>
      <c r="AF576" s="547"/>
      <c r="AG576" s="545"/>
      <c r="AH576" s="546"/>
      <c r="AI576" s="546"/>
      <c r="AJ576" s="547"/>
      <c r="AK576" s="545"/>
      <c r="AL576" s="546"/>
      <c r="AM576" s="546"/>
      <c r="AN576" s="547"/>
      <c r="AO576" s="545"/>
      <c r="AP576" s="546"/>
      <c r="AQ576" s="546"/>
      <c r="AR576" s="547"/>
      <c r="AS576" s="545"/>
      <c r="AT576" s="546"/>
      <c r="AU576" s="546"/>
      <c r="AV576" s="547"/>
      <c r="AW576" s="545"/>
      <c r="AX576" s="546"/>
      <c r="AY576" s="546"/>
      <c r="AZ576" s="547"/>
      <c r="BJ576" s="217"/>
      <c r="BK576" s="164"/>
      <c r="BL576" s="165"/>
      <c r="BM576" s="165"/>
      <c r="BN576" s="165"/>
      <c r="BO576" s="165"/>
      <c r="BP576" s="165"/>
      <c r="BQ576" s="165"/>
      <c r="BR576" s="165"/>
      <c r="BS576" s="165"/>
      <c r="BT576" s="165"/>
      <c r="BU576" s="165"/>
      <c r="BV576" s="165"/>
      <c r="BW576" s="165"/>
      <c r="BX576" s="165"/>
      <c r="BY576" s="165"/>
      <c r="BZ576" s="165"/>
      <c r="CA576" s="165"/>
      <c r="CB576" s="217"/>
    </row>
    <row r="577" spans="1:80">
      <c r="A577" s="107"/>
      <c r="B577" s="107"/>
      <c r="C577" s="107"/>
      <c r="D577" s="107"/>
      <c r="E577" s="548"/>
      <c r="F577" s="549"/>
      <c r="G577" s="549"/>
      <c r="H577" s="550"/>
      <c r="I577" s="540"/>
      <c r="J577" s="541"/>
      <c r="K577" s="541"/>
      <c r="L577" s="542"/>
      <c r="M577" s="540"/>
      <c r="N577" s="541"/>
      <c r="O577" s="541"/>
      <c r="P577" s="542"/>
      <c r="Q577" s="540"/>
      <c r="R577" s="541"/>
      <c r="S577" s="541"/>
      <c r="T577" s="542"/>
      <c r="U577" s="540"/>
      <c r="V577" s="541"/>
      <c r="W577" s="541"/>
      <c r="X577" s="542"/>
      <c r="Y577" s="540"/>
      <c r="Z577" s="541"/>
      <c r="AA577" s="541"/>
      <c r="AB577" s="542"/>
      <c r="AC577" s="540"/>
      <c r="AD577" s="541"/>
      <c r="AE577" s="541"/>
      <c r="AF577" s="542"/>
      <c r="AG577" s="540"/>
      <c r="AH577" s="541"/>
      <c r="AI577" s="541"/>
      <c r="AJ577" s="542"/>
      <c r="AK577" s="540"/>
      <c r="AL577" s="541"/>
      <c r="AM577" s="541"/>
      <c r="AN577" s="542"/>
      <c r="AO577" s="540"/>
      <c r="AP577" s="541"/>
      <c r="AQ577" s="541"/>
      <c r="AR577" s="542"/>
      <c r="AS577" s="540"/>
      <c r="AT577" s="541"/>
      <c r="AU577" s="541"/>
      <c r="AV577" s="542"/>
      <c r="AW577" s="540"/>
      <c r="AX577" s="541"/>
      <c r="AY577" s="541"/>
      <c r="AZ577" s="542"/>
      <c r="BJ577" s="217"/>
      <c r="BK577" s="164"/>
      <c r="BL577" s="165"/>
      <c r="BM577" s="165"/>
      <c r="BN577" s="165"/>
      <c r="BO577" s="165"/>
      <c r="BP577" s="165"/>
      <c r="BQ577" s="165"/>
      <c r="BR577" s="165"/>
      <c r="BS577" s="165"/>
      <c r="BT577" s="165"/>
      <c r="BU577" s="165"/>
      <c r="BV577" s="165"/>
      <c r="BW577" s="165"/>
      <c r="BX577" s="165"/>
      <c r="BY577" s="165"/>
      <c r="BZ577" s="165"/>
      <c r="CA577" s="165"/>
      <c r="CB577" s="217"/>
    </row>
    <row r="578" spans="1:80">
      <c r="A578" s="107"/>
      <c r="B578" s="107"/>
      <c r="C578" s="107"/>
      <c r="D578" s="107"/>
      <c r="E578" s="551"/>
      <c r="F578" s="552"/>
      <c r="G578" s="552"/>
      <c r="H578" s="553"/>
      <c r="I578" s="545"/>
      <c r="J578" s="546"/>
      <c r="K578" s="546"/>
      <c r="L578" s="547"/>
      <c r="M578" s="545"/>
      <c r="N578" s="546"/>
      <c r="O578" s="546"/>
      <c r="P578" s="547"/>
      <c r="Q578" s="545"/>
      <c r="R578" s="546"/>
      <c r="S578" s="546"/>
      <c r="T578" s="547"/>
      <c r="U578" s="545"/>
      <c r="V578" s="546"/>
      <c r="W578" s="546"/>
      <c r="X578" s="547"/>
      <c r="Y578" s="545"/>
      <c r="Z578" s="546"/>
      <c r="AA578" s="546"/>
      <c r="AB578" s="547"/>
      <c r="AC578" s="545"/>
      <c r="AD578" s="546"/>
      <c r="AE578" s="546"/>
      <c r="AF578" s="547"/>
      <c r="AG578" s="545"/>
      <c r="AH578" s="546"/>
      <c r="AI578" s="546"/>
      <c r="AJ578" s="547"/>
      <c r="AK578" s="545"/>
      <c r="AL578" s="546"/>
      <c r="AM578" s="546"/>
      <c r="AN578" s="547"/>
      <c r="AO578" s="545"/>
      <c r="AP578" s="546"/>
      <c r="AQ578" s="546"/>
      <c r="AR578" s="547"/>
      <c r="AS578" s="545"/>
      <c r="AT578" s="546"/>
      <c r="AU578" s="546"/>
      <c r="AV578" s="547"/>
      <c r="AW578" s="545"/>
      <c r="AX578" s="546"/>
      <c r="AY578" s="546"/>
      <c r="AZ578" s="547"/>
      <c r="BJ578" s="217"/>
      <c r="BK578" s="164"/>
      <c r="BL578" s="165"/>
      <c r="BM578" s="165"/>
      <c r="BN578" s="165"/>
      <c r="BO578" s="165"/>
      <c r="BP578" s="165"/>
      <c r="BQ578" s="165"/>
      <c r="BR578" s="165"/>
      <c r="BS578" s="165"/>
      <c r="BT578" s="165"/>
      <c r="BU578" s="165"/>
      <c r="BV578" s="165"/>
      <c r="BW578" s="165"/>
      <c r="BX578" s="165"/>
      <c r="BY578" s="165"/>
      <c r="BZ578" s="165"/>
      <c r="CA578" s="165"/>
      <c r="CB578" s="217"/>
    </row>
    <row r="579" spans="1:80">
      <c r="A579" s="107"/>
      <c r="B579" s="107"/>
      <c r="C579" s="107"/>
      <c r="D579" s="107"/>
      <c r="E579" s="548"/>
      <c r="F579" s="549"/>
      <c r="G579" s="549"/>
      <c r="H579" s="550"/>
      <c r="I579" s="540"/>
      <c r="J579" s="541"/>
      <c r="K579" s="541"/>
      <c r="L579" s="542"/>
      <c r="M579" s="540"/>
      <c r="N579" s="541"/>
      <c r="O579" s="541"/>
      <c r="P579" s="542"/>
      <c r="Q579" s="540"/>
      <c r="R579" s="541"/>
      <c r="S579" s="541"/>
      <c r="T579" s="542"/>
      <c r="U579" s="540"/>
      <c r="V579" s="541"/>
      <c r="W579" s="541"/>
      <c r="X579" s="542"/>
      <c r="Y579" s="540"/>
      <c r="Z579" s="541"/>
      <c r="AA579" s="541"/>
      <c r="AB579" s="542"/>
      <c r="AC579" s="540"/>
      <c r="AD579" s="541"/>
      <c r="AE579" s="541"/>
      <c r="AF579" s="542"/>
      <c r="AG579" s="540"/>
      <c r="AH579" s="541"/>
      <c r="AI579" s="541"/>
      <c r="AJ579" s="542"/>
      <c r="AK579" s="540"/>
      <c r="AL579" s="541"/>
      <c r="AM579" s="541"/>
      <c r="AN579" s="542"/>
      <c r="AO579" s="540"/>
      <c r="AP579" s="541"/>
      <c r="AQ579" s="541"/>
      <c r="AR579" s="542"/>
      <c r="AS579" s="540"/>
      <c r="AT579" s="541"/>
      <c r="AU579" s="541"/>
      <c r="AV579" s="542"/>
      <c r="AW579" s="540"/>
      <c r="AX579" s="541"/>
      <c r="AY579" s="541"/>
      <c r="AZ579" s="542"/>
      <c r="BJ579" s="217"/>
      <c r="BK579" s="164"/>
      <c r="BL579" s="165"/>
      <c r="BM579" s="165"/>
      <c r="BN579" s="165"/>
      <c r="BO579" s="165"/>
      <c r="BP579" s="165"/>
      <c r="BQ579" s="165"/>
      <c r="BR579" s="165"/>
      <c r="BS579" s="165"/>
      <c r="BT579" s="165"/>
      <c r="BU579" s="165"/>
      <c r="BV579" s="165"/>
      <c r="BW579" s="165"/>
      <c r="BX579" s="165"/>
      <c r="BY579" s="165"/>
      <c r="BZ579" s="165"/>
      <c r="CA579" s="165"/>
      <c r="CB579" s="217"/>
    </row>
    <row r="580" spans="1:80">
      <c r="A580" s="107"/>
      <c r="B580" s="107"/>
      <c r="C580" s="107"/>
      <c r="D580" s="107"/>
      <c r="E580" s="551"/>
      <c r="F580" s="552"/>
      <c r="G580" s="552"/>
      <c r="H580" s="553"/>
      <c r="I580" s="545"/>
      <c r="J580" s="546"/>
      <c r="K580" s="546"/>
      <c r="L580" s="547"/>
      <c r="M580" s="545"/>
      <c r="N580" s="546"/>
      <c r="O580" s="546"/>
      <c r="P580" s="547"/>
      <c r="Q580" s="545"/>
      <c r="R580" s="546"/>
      <c r="S580" s="546"/>
      <c r="T580" s="547"/>
      <c r="U580" s="545"/>
      <c r="V580" s="546"/>
      <c r="W580" s="546"/>
      <c r="X580" s="547"/>
      <c r="Y580" s="545"/>
      <c r="Z580" s="546"/>
      <c r="AA580" s="546"/>
      <c r="AB580" s="547"/>
      <c r="AC580" s="545"/>
      <c r="AD580" s="546"/>
      <c r="AE580" s="546"/>
      <c r="AF580" s="547"/>
      <c r="AG580" s="545"/>
      <c r="AH580" s="546"/>
      <c r="AI580" s="546"/>
      <c r="AJ580" s="547"/>
      <c r="AK580" s="545"/>
      <c r="AL580" s="546"/>
      <c r="AM580" s="546"/>
      <c r="AN580" s="547"/>
      <c r="AO580" s="545"/>
      <c r="AP580" s="546"/>
      <c r="AQ580" s="546"/>
      <c r="AR580" s="547"/>
      <c r="AS580" s="545"/>
      <c r="AT580" s="546"/>
      <c r="AU580" s="546"/>
      <c r="AV580" s="547"/>
      <c r="AW580" s="545"/>
      <c r="AX580" s="546"/>
      <c r="AY580" s="546"/>
      <c r="AZ580" s="547"/>
      <c r="BJ580" s="217"/>
      <c r="BK580" s="164"/>
      <c r="BL580" s="165"/>
      <c r="BM580" s="165"/>
      <c r="BN580" s="165"/>
      <c r="BO580" s="165"/>
      <c r="BP580" s="165"/>
      <c r="BQ580" s="165"/>
      <c r="BR580" s="165"/>
      <c r="BS580" s="165"/>
      <c r="BT580" s="165"/>
      <c r="BU580" s="165"/>
      <c r="BV580" s="165"/>
      <c r="BW580" s="165"/>
      <c r="BX580" s="165"/>
      <c r="BY580" s="165"/>
      <c r="BZ580" s="165"/>
      <c r="CA580" s="165"/>
      <c r="CB580" s="217"/>
    </row>
    <row r="581" spans="1:80">
      <c r="A581" s="107"/>
      <c r="B581" s="107"/>
      <c r="C581" s="107"/>
      <c r="D581" s="107"/>
      <c r="E581" s="548"/>
      <c r="F581" s="549"/>
      <c r="G581" s="549"/>
      <c r="H581" s="550"/>
      <c r="I581" s="540"/>
      <c r="J581" s="541"/>
      <c r="K581" s="541"/>
      <c r="L581" s="542"/>
      <c r="M581" s="540"/>
      <c r="N581" s="541"/>
      <c r="O581" s="541"/>
      <c r="P581" s="542"/>
      <c r="Q581" s="540"/>
      <c r="R581" s="541"/>
      <c r="S581" s="541"/>
      <c r="T581" s="542"/>
      <c r="U581" s="540"/>
      <c r="V581" s="541"/>
      <c r="W581" s="541"/>
      <c r="X581" s="542"/>
      <c r="Y581" s="540"/>
      <c r="Z581" s="541"/>
      <c r="AA581" s="541"/>
      <c r="AB581" s="542"/>
      <c r="AC581" s="540"/>
      <c r="AD581" s="541"/>
      <c r="AE581" s="541"/>
      <c r="AF581" s="542"/>
      <c r="AG581" s="540"/>
      <c r="AH581" s="541"/>
      <c r="AI581" s="541"/>
      <c r="AJ581" s="542"/>
      <c r="AK581" s="540"/>
      <c r="AL581" s="541"/>
      <c r="AM581" s="541"/>
      <c r="AN581" s="542"/>
      <c r="AO581" s="540"/>
      <c r="AP581" s="541"/>
      <c r="AQ581" s="541"/>
      <c r="AR581" s="542"/>
      <c r="AS581" s="540"/>
      <c r="AT581" s="541"/>
      <c r="AU581" s="541"/>
      <c r="AV581" s="542"/>
      <c r="AW581" s="540"/>
      <c r="AX581" s="541"/>
      <c r="AY581" s="541"/>
      <c r="AZ581" s="542"/>
      <c r="BJ581" s="217"/>
      <c r="BK581" s="164"/>
      <c r="BL581" s="165"/>
      <c r="BM581" s="165"/>
      <c r="BN581" s="165"/>
      <c r="BO581" s="165"/>
      <c r="BP581" s="165"/>
      <c r="BQ581" s="165"/>
      <c r="BR581" s="165"/>
      <c r="BS581" s="165"/>
      <c r="BT581" s="165"/>
      <c r="BU581" s="165"/>
      <c r="BV581" s="165"/>
      <c r="BW581" s="165"/>
      <c r="BX581" s="165"/>
      <c r="BY581" s="165"/>
      <c r="BZ581" s="165"/>
      <c r="CA581" s="165"/>
      <c r="CB581" s="217"/>
    </row>
    <row r="582" spans="1:80">
      <c r="A582" s="107"/>
      <c r="B582" s="107"/>
      <c r="C582" s="107"/>
      <c r="D582" s="107"/>
      <c r="E582" s="551"/>
      <c r="F582" s="552"/>
      <c r="G582" s="552"/>
      <c r="H582" s="553"/>
      <c r="I582" s="545"/>
      <c r="J582" s="546"/>
      <c r="K582" s="546"/>
      <c r="L582" s="547"/>
      <c r="M582" s="545"/>
      <c r="N582" s="546"/>
      <c r="O582" s="546"/>
      <c r="P582" s="547"/>
      <c r="Q582" s="545"/>
      <c r="R582" s="546"/>
      <c r="S582" s="546"/>
      <c r="T582" s="547"/>
      <c r="U582" s="545"/>
      <c r="V582" s="546"/>
      <c r="W582" s="546"/>
      <c r="X582" s="547"/>
      <c r="Y582" s="545"/>
      <c r="Z582" s="546"/>
      <c r="AA582" s="546"/>
      <c r="AB582" s="547"/>
      <c r="AC582" s="545"/>
      <c r="AD582" s="546"/>
      <c r="AE582" s="546"/>
      <c r="AF582" s="547"/>
      <c r="AG582" s="545"/>
      <c r="AH582" s="546"/>
      <c r="AI582" s="546"/>
      <c r="AJ582" s="547"/>
      <c r="AK582" s="545"/>
      <c r="AL582" s="546"/>
      <c r="AM582" s="546"/>
      <c r="AN582" s="547"/>
      <c r="AO582" s="545"/>
      <c r="AP582" s="546"/>
      <c r="AQ582" s="546"/>
      <c r="AR582" s="547"/>
      <c r="AS582" s="545"/>
      <c r="AT582" s="546"/>
      <c r="AU582" s="546"/>
      <c r="AV582" s="547"/>
      <c r="AW582" s="545"/>
      <c r="AX582" s="546"/>
      <c r="AY582" s="546"/>
      <c r="AZ582" s="547"/>
      <c r="BJ582" s="217"/>
      <c r="BK582" s="164"/>
      <c r="BL582" s="165"/>
      <c r="BM582" s="165"/>
      <c r="BN582" s="165"/>
      <c r="BO582" s="165"/>
      <c r="BP582" s="165"/>
      <c r="BQ582" s="165"/>
      <c r="BR582" s="165"/>
      <c r="BS582" s="165"/>
      <c r="BT582" s="165"/>
      <c r="BU582" s="165"/>
      <c r="BV582" s="165"/>
      <c r="BW582" s="165"/>
      <c r="BX582" s="165"/>
      <c r="BY582" s="165"/>
      <c r="BZ582" s="165"/>
      <c r="CA582" s="165"/>
      <c r="CB582" s="217"/>
    </row>
    <row r="583" spans="1:80">
      <c r="A583" s="107"/>
      <c r="B583" s="107"/>
      <c r="C583" s="107"/>
      <c r="D583" s="107"/>
      <c r="E583" s="548"/>
      <c r="F583" s="549"/>
      <c r="G583" s="549"/>
      <c r="H583" s="550"/>
      <c r="I583" s="540"/>
      <c r="J583" s="541"/>
      <c r="K583" s="541"/>
      <c r="L583" s="542"/>
      <c r="M583" s="540"/>
      <c r="N583" s="541"/>
      <c r="O583" s="541"/>
      <c r="P583" s="542"/>
      <c r="Q583" s="540"/>
      <c r="R583" s="541"/>
      <c r="S583" s="541"/>
      <c r="T583" s="542"/>
      <c r="U583" s="540"/>
      <c r="V583" s="541"/>
      <c r="W583" s="541"/>
      <c r="X583" s="542"/>
      <c r="Y583" s="540"/>
      <c r="Z583" s="541"/>
      <c r="AA583" s="541"/>
      <c r="AB583" s="542"/>
      <c r="AC583" s="540"/>
      <c r="AD583" s="541"/>
      <c r="AE583" s="541"/>
      <c r="AF583" s="542"/>
      <c r="AG583" s="540"/>
      <c r="AH583" s="541"/>
      <c r="AI583" s="541"/>
      <c r="AJ583" s="542"/>
      <c r="AK583" s="540"/>
      <c r="AL583" s="541"/>
      <c r="AM583" s="541"/>
      <c r="AN583" s="542"/>
      <c r="AO583" s="540"/>
      <c r="AP583" s="541"/>
      <c r="AQ583" s="541"/>
      <c r="AR583" s="542"/>
      <c r="AS583" s="540"/>
      <c r="AT583" s="541"/>
      <c r="AU583" s="541"/>
      <c r="AV583" s="542"/>
      <c r="AW583" s="540"/>
      <c r="AX583" s="541"/>
      <c r="AY583" s="541"/>
      <c r="AZ583" s="542"/>
      <c r="BJ583" s="217"/>
      <c r="BK583" s="164"/>
      <c r="BL583" s="165"/>
      <c r="BM583" s="165"/>
      <c r="BN583" s="165"/>
      <c r="BO583" s="165"/>
      <c r="BP583" s="165"/>
      <c r="BQ583" s="165"/>
      <c r="BR583" s="165"/>
      <c r="BS583" s="165"/>
      <c r="BT583" s="165"/>
      <c r="BU583" s="165"/>
      <c r="BV583" s="165"/>
      <c r="BW583" s="165"/>
      <c r="BX583" s="165"/>
      <c r="BY583" s="165"/>
      <c r="BZ583" s="165"/>
      <c r="CA583" s="165"/>
      <c r="CB583" s="217"/>
    </row>
    <row r="584" spans="1:80">
      <c r="A584" s="107"/>
      <c r="B584" s="107"/>
      <c r="C584" s="107"/>
      <c r="D584" s="107"/>
      <c r="E584" s="551"/>
      <c r="F584" s="552"/>
      <c r="G584" s="552"/>
      <c r="H584" s="553"/>
      <c r="I584" s="545"/>
      <c r="J584" s="546"/>
      <c r="K584" s="546"/>
      <c r="L584" s="547"/>
      <c r="M584" s="545"/>
      <c r="N584" s="546"/>
      <c r="O584" s="546"/>
      <c r="P584" s="547"/>
      <c r="Q584" s="545"/>
      <c r="R584" s="546"/>
      <c r="S584" s="546"/>
      <c r="T584" s="547"/>
      <c r="U584" s="545"/>
      <c r="V584" s="546"/>
      <c r="W584" s="546"/>
      <c r="X584" s="547"/>
      <c r="Y584" s="545"/>
      <c r="Z584" s="546"/>
      <c r="AA584" s="546"/>
      <c r="AB584" s="547"/>
      <c r="AC584" s="545"/>
      <c r="AD584" s="546"/>
      <c r="AE584" s="546"/>
      <c r="AF584" s="547"/>
      <c r="AG584" s="545"/>
      <c r="AH584" s="546"/>
      <c r="AI584" s="546"/>
      <c r="AJ584" s="547"/>
      <c r="AK584" s="545"/>
      <c r="AL584" s="546"/>
      <c r="AM584" s="546"/>
      <c r="AN584" s="547"/>
      <c r="AO584" s="545"/>
      <c r="AP584" s="546"/>
      <c r="AQ584" s="546"/>
      <c r="AR584" s="547"/>
      <c r="AS584" s="545"/>
      <c r="AT584" s="546"/>
      <c r="AU584" s="546"/>
      <c r="AV584" s="547"/>
      <c r="AW584" s="545"/>
      <c r="AX584" s="546"/>
      <c r="AY584" s="546"/>
      <c r="AZ584" s="547"/>
      <c r="BJ584" s="217"/>
      <c r="BK584" s="164"/>
      <c r="BL584" s="165"/>
      <c r="BM584" s="165"/>
      <c r="BN584" s="165"/>
      <c r="BO584" s="165"/>
      <c r="BP584" s="165"/>
      <c r="BQ584" s="165"/>
      <c r="BR584" s="165"/>
      <c r="BS584" s="165"/>
      <c r="BT584" s="165"/>
      <c r="BU584" s="165"/>
      <c r="BV584" s="165"/>
      <c r="BW584" s="165"/>
      <c r="BX584" s="165"/>
      <c r="BY584" s="165"/>
      <c r="BZ584" s="165"/>
      <c r="CA584" s="165"/>
      <c r="CB584" s="217"/>
    </row>
    <row r="585" spans="1:80">
      <c r="A585" s="107"/>
      <c r="B585" s="107"/>
      <c r="C585" s="107"/>
      <c r="D585" s="107"/>
      <c r="E585" s="548"/>
      <c r="F585" s="549"/>
      <c r="G585" s="549"/>
      <c r="H585" s="550"/>
      <c r="I585" s="540"/>
      <c r="J585" s="541"/>
      <c r="K585" s="541"/>
      <c r="L585" s="542"/>
      <c r="M585" s="540"/>
      <c r="N585" s="541"/>
      <c r="O585" s="541"/>
      <c r="P585" s="542"/>
      <c r="Q585" s="540"/>
      <c r="R585" s="541"/>
      <c r="S585" s="541"/>
      <c r="T585" s="542"/>
      <c r="U585" s="540"/>
      <c r="V585" s="541"/>
      <c r="W585" s="541"/>
      <c r="X585" s="542"/>
      <c r="Y585" s="540"/>
      <c r="Z585" s="541"/>
      <c r="AA585" s="541"/>
      <c r="AB585" s="542"/>
      <c r="AC585" s="540"/>
      <c r="AD585" s="541"/>
      <c r="AE585" s="541"/>
      <c r="AF585" s="542"/>
      <c r="AG585" s="540"/>
      <c r="AH585" s="541"/>
      <c r="AI585" s="541"/>
      <c r="AJ585" s="542"/>
      <c r="AK585" s="540"/>
      <c r="AL585" s="541"/>
      <c r="AM585" s="541"/>
      <c r="AN585" s="542"/>
      <c r="AO585" s="540"/>
      <c r="AP585" s="541"/>
      <c r="AQ585" s="541"/>
      <c r="AR585" s="542"/>
      <c r="AS585" s="540"/>
      <c r="AT585" s="541"/>
      <c r="AU585" s="541"/>
      <c r="AV585" s="542"/>
      <c r="AW585" s="540"/>
      <c r="AX585" s="541"/>
      <c r="AY585" s="541"/>
      <c r="AZ585" s="542"/>
      <c r="BJ585" s="217"/>
      <c r="BK585" s="164"/>
      <c r="BL585" s="165"/>
      <c r="BM585" s="165"/>
      <c r="BN585" s="165"/>
      <c r="BO585" s="165"/>
      <c r="BP585" s="165"/>
      <c r="BQ585" s="165"/>
      <c r="BR585" s="165"/>
      <c r="BS585" s="165"/>
      <c r="BT585" s="165"/>
      <c r="BU585" s="165"/>
      <c r="BV585" s="165"/>
      <c r="BW585" s="165"/>
      <c r="BX585" s="165"/>
      <c r="BY585" s="165"/>
      <c r="BZ585" s="165"/>
      <c r="CA585" s="165"/>
      <c r="CB585" s="217"/>
    </row>
    <row r="586" spans="1:80">
      <c r="A586" s="107"/>
      <c r="B586" s="107"/>
      <c r="C586" s="107"/>
      <c r="D586" s="107"/>
      <c r="E586" s="551"/>
      <c r="F586" s="552"/>
      <c r="G586" s="552"/>
      <c r="H586" s="553"/>
      <c r="I586" s="545"/>
      <c r="J586" s="546"/>
      <c r="K586" s="546"/>
      <c r="L586" s="547"/>
      <c r="M586" s="545"/>
      <c r="N586" s="546"/>
      <c r="O586" s="546"/>
      <c r="P586" s="547"/>
      <c r="Q586" s="545"/>
      <c r="R586" s="546"/>
      <c r="S586" s="546"/>
      <c r="T586" s="547"/>
      <c r="U586" s="545"/>
      <c r="V586" s="546"/>
      <c r="W586" s="546"/>
      <c r="X586" s="547"/>
      <c r="Y586" s="545"/>
      <c r="Z586" s="546"/>
      <c r="AA586" s="546"/>
      <c r="AB586" s="547"/>
      <c r="AC586" s="545"/>
      <c r="AD586" s="546"/>
      <c r="AE586" s="546"/>
      <c r="AF586" s="547"/>
      <c r="AG586" s="545"/>
      <c r="AH586" s="546"/>
      <c r="AI586" s="546"/>
      <c r="AJ586" s="547"/>
      <c r="AK586" s="545"/>
      <c r="AL586" s="546"/>
      <c r="AM586" s="546"/>
      <c r="AN586" s="547"/>
      <c r="AO586" s="545"/>
      <c r="AP586" s="546"/>
      <c r="AQ586" s="546"/>
      <c r="AR586" s="547"/>
      <c r="AS586" s="545"/>
      <c r="AT586" s="546"/>
      <c r="AU586" s="546"/>
      <c r="AV586" s="547"/>
      <c r="AW586" s="545"/>
      <c r="AX586" s="546"/>
      <c r="AY586" s="546"/>
      <c r="AZ586" s="547"/>
      <c r="BJ586" s="217"/>
      <c r="BK586" s="164"/>
      <c r="BL586" s="165"/>
      <c r="BM586" s="165"/>
      <c r="BN586" s="165"/>
      <c r="BO586" s="165"/>
      <c r="BP586" s="165"/>
      <c r="BQ586" s="165"/>
      <c r="BR586" s="165"/>
      <c r="BS586" s="165"/>
      <c r="BT586" s="165"/>
      <c r="BU586" s="165"/>
      <c r="BV586" s="165"/>
      <c r="BW586" s="165"/>
      <c r="BX586" s="165"/>
      <c r="BY586" s="165"/>
      <c r="BZ586" s="165"/>
      <c r="CA586" s="165"/>
      <c r="CB586" s="217"/>
    </row>
    <row r="587" spans="1:80">
      <c r="A587" s="107"/>
      <c r="B587" s="107"/>
      <c r="C587" s="107"/>
      <c r="D587" s="107"/>
      <c r="E587" s="548"/>
      <c r="F587" s="549"/>
      <c r="G587" s="549"/>
      <c r="H587" s="550"/>
      <c r="I587" s="540"/>
      <c r="J587" s="541"/>
      <c r="K587" s="541"/>
      <c r="L587" s="542"/>
      <c r="M587" s="540"/>
      <c r="N587" s="541"/>
      <c r="O587" s="541"/>
      <c r="P587" s="542"/>
      <c r="Q587" s="540"/>
      <c r="R587" s="541"/>
      <c r="S587" s="541"/>
      <c r="T587" s="542"/>
      <c r="U587" s="540"/>
      <c r="V587" s="541"/>
      <c r="W587" s="541"/>
      <c r="X587" s="542"/>
      <c r="Y587" s="540"/>
      <c r="Z587" s="541"/>
      <c r="AA587" s="541"/>
      <c r="AB587" s="542"/>
      <c r="AC587" s="540"/>
      <c r="AD587" s="541"/>
      <c r="AE587" s="541"/>
      <c r="AF587" s="542"/>
      <c r="AG587" s="540"/>
      <c r="AH587" s="541"/>
      <c r="AI587" s="541"/>
      <c r="AJ587" s="542"/>
      <c r="AK587" s="540"/>
      <c r="AL587" s="541"/>
      <c r="AM587" s="541"/>
      <c r="AN587" s="542"/>
      <c r="AO587" s="540"/>
      <c r="AP587" s="541"/>
      <c r="AQ587" s="541"/>
      <c r="AR587" s="542"/>
      <c r="AS587" s="540"/>
      <c r="AT587" s="541"/>
      <c r="AU587" s="541"/>
      <c r="AV587" s="542"/>
      <c r="AW587" s="540"/>
      <c r="AX587" s="541"/>
      <c r="AY587" s="541"/>
      <c r="AZ587" s="542"/>
      <c r="BJ587" s="217"/>
      <c r="BK587" s="164"/>
      <c r="BL587" s="165"/>
      <c r="BM587" s="165"/>
      <c r="BN587" s="165"/>
      <c r="BO587" s="165"/>
      <c r="BP587" s="165"/>
      <c r="BQ587" s="165"/>
      <c r="BR587" s="165"/>
      <c r="BS587" s="165"/>
      <c r="BT587" s="165"/>
      <c r="BU587" s="165"/>
      <c r="BV587" s="165"/>
      <c r="BW587" s="165"/>
      <c r="BX587" s="165"/>
      <c r="BY587" s="165"/>
      <c r="BZ587" s="165"/>
      <c r="CA587" s="165"/>
      <c r="CB587" s="217"/>
    </row>
    <row r="588" spans="1:80">
      <c r="A588" s="107"/>
      <c r="B588" s="107"/>
      <c r="C588" s="107"/>
      <c r="D588" s="107"/>
      <c r="E588" s="551"/>
      <c r="F588" s="552"/>
      <c r="G588" s="552"/>
      <c r="H588" s="553"/>
      <c r="I588" s="545"/>
      <c r="J588" s="546"/>
      <c r="K588" s="546"/>
      <c r="L588" s="547"/>
      <c r="M588" s="545"/>
      <c r="N588" s="546"/>
      <c r="O588" s="546"/>
      <c r="P588" s="547"/>
      <c r="Q588" s="545"/>
      <c r="R588" s="546"/>
      <c r="S588" s="546"/>
      <c r="T588" s="547"/>
      <c r="U588" s="545"/>
      <c r="V588" s="546"/>
      <c r="W588" s="546"/>
      <c r="X588" s="547"/>
      <c r="Y588" s="545"/>
      <c r="Z588" s="546"/>
      <c r="AA588" s="546"/>
      <c r="AB588" s="547"/>
      <c r="AC588" s="545"/>
      <c r="AD588" s="546"/>
      <c r="AE588" s="546"/>
      <c r="AF588" s="547"/>
      <c r="AG588" s="545"/>
      <c r="AH588" s="546"/>
      <c r="AI588" s="546"/>
      <c r="AJ588" s="547"/>
      <c r="AK588" s="545"/>
      <c r="AL588" s="546"/>
      <c r="AM588" s="546"/>
      <c r="AN588" s="547"/>
      <c r="AO588" s="545"/>
      <c r="AP588" s="546"/>
      <c r="AQ588" s="546"/>
      <c r="AR588" s="547"/>
      <c r="AS588" s="545"/>
      <c r="AT588" s="546"/>
      <c r="AU588" s="546"/>
      <c r="AV588" s="547"/>
      <c r="AW588" s="545"/>
      <c r="AX588" s="546"/>
      <c r="AY588" s="546"/>
      <c r="AZ588" s="547"/>
      <c r="BJ588" s="217"/>
      <c r="BK588" s="164"/>
      <c r="BL588" s="165"/>
      <c r="BM588" s="165"/>
      <c r="BN588" s="165"/>
      <c r="BO588" s="165"/>
      <c r="BP588" s="165"/>
      <c r="BQ588" s="165"/>
      <c r="BR588" s="165"/>
      <c r="BS588" s="165"/>
      <c r="BT588" s="165"/>
      <c r="BU588" s="165"/>
      <c r="BV588" s="165"/>
      <c r="BW588" s="165"/>
      <c r="BX588" s="165"/>
      <c r="BY588" s="165"/>
      <c r="BZ588" s="165"/>
      <c r="CA588" s="165"/>
      <c r="CB588" s="217"/>
    </row>
    <row r="589" spans="1:80">
      <c r="A589" s="107"/>
      <c r="B589" s="107"/>
      <c r="C589" s="107"/>
      <c r="D589" s="107"/>
      <c r="E589" s="548"/>
      <c r="F589" s="549"/>
      <c r="G589" s="549"/>
      <c r="H589" s="550"/>
      <c r="I589" s="540"/>
      <c r="J589" s="541"/>
      <c r="K589" s="541"/>
      <c r="L589" s="542"/>
      <c r="M589" s="540"/>
      <c r="N589" s="541"/>
      <c r="O589" s="541"/>
      <c r="P589" s="542"/>
      <c r="Q589" s="540"/>
      <c r="R589" s="541"/>
      <c r="S589" s="541"/>
      <c r="T589" s="542"/>
      <c r="U589" s="540"/>
      <c r="V589" s="541"/>
      <c r="W589" s="541"/>
      <c r="X589" s="542"/>
      <c r="Y589" s="540"/>
      <c r="Z589" s="541"/>
      <c r="AA589" s="541"/>
      <c r="AB589" s="542"/>
      <c r="AC589" s="540"/>
      <c r="AD589" s="541"/>
      <c r="AE589" s="541"/>
      <c r="AF589" s="542"/>
      <c r="AG589" s="540"/>
      <c r="AH589" s="541"/>
      <c r="AI589" s="541"/>
      <c r="AJ589" s="542"/>
      <c r="AK589" s="540"/>
      <c r="AL589" s="541"/>
      <c r="AM589" s="541"/>
      <c r="AN589" s="542"/>
      <c r="AO589" s="540"/>
      <c r="AP589" s="541"/>
      <c r="AQ589" s="541"/>
      <c r="AR589" s="542"/>
      <c r="AS589" s="540"/>
      <c r="AT589" s="541"/>
      <c r="AU589" s="541"/>
      <c r="AV589" s="542"/>
      <c r="AW589" s="540"/>
      <c r="AX589" s="541"/>
      <c r="AY589" s="541"/>
      <c r="AZ589" s="542"/>
      <c r="BJ589" s="217"/>
      <c r="BK589" s="164"/>
      <c r="BL589" s="165"/>
      <c r="BM589" s="165"/>
      <c r="BN589" s="165"/>
      <c r="BO589" s="165"/>
      <c r="BP589" s="165"/>
      <c r="BQ589" s="165"/>
      <c r="BR589" s="165"/>
      <c r="BS589" s="165"/>
      <c r="BT589" s="165"/>
      <c r="BU589" s="165"/>
      <c r="BV589" s="165"/>
      <c r="BW589" s="165"/>
      <c r="BX589" s="165"/>
      <c r="BY589" s="165"/>
      <c r="BZ589" s="165"/>
      <c r="CA589" s="165"/>
      <c r="CB589" s="217"/>
    </row>
    <row r="590" spans="1:80">
      <c r="A590" s="107"/>
      <c r="B590" s="107"/>
      <c r="C590" s="107"/>
      <c r="D590" s="107"/>
      <c r="E590" s="551"/>
      <c r="F590" s="552"/>
      <c r="G590" s="552"/>
      <c r="H590" s="553"/>
      <c r="I590" s="545"/>
      <c r="J590" s="546"/>
      <c r="K590" s="546"/>
      <c r="L590" s="547"/>
      <c r="M590" s="545"/>
      <c r="N590" s="546"/>
      <c r="O590" s="546"/>
      <c r="P590" s="547"/>
      <c r="Q590" s="545"/>
      <c r="R590" s="546"/>
      <c r="S590" s="546"/>
      <c r="T590" s="547"/>
      <c r="U590" s="545"/>
      <c r="V590" s="546"/>
      <c r="W590" s="546"/>
      <c r="X590" s="547"/>
      <c r="Y590" s="545"/>
      <c r="Z590" s="546"/>
      <c r="AA590" s="546"/>
      <c r="AB590" s="547"/>
      <c r="AC590" s="545"/>
      <c r="AD590" s="546"/>
      <c r="AE590" s="546"/>
      <c r="AF590" s="547"/>
      <c r="AG590" s="545"/>
      <c r="AH590" s="546"/>
      <c r="AI590" s="546"/>
      <c r="AJ590" s="547"/>
      <c r="AK590" s="545"/>
      <c r="AL590" s="546"/>
      <c r="AM590" s="546"/>
      <c r="AN590" s="547"/>
      <c r="AO590" s="545"/>
      <c r="AP590" s="546"/>
      <c r="AQ590" s="546"/>
      <c r="AR590" s="547"/>
      <c r="AS590" s="545"/>
      <c r="AT590" s="546"/>
      <c r="AU590" s="546"/>
      <c r="AV590" s="547"/>
      <c r="AW590" s="545"/>
      <c r="AX590" s="546"/>
      <c r="AY590" s="546"/>
      <c r="AZ590" s="547"/>
      <c r="BJ590" s="217"/>
      <c r="BK590" s="164"/>
      <c r="BL590" s="165"/>
      <c r="BM590" s="165"/>
      <c r="BN590" s="165"/>
      <c r="BO590" s="165"/>
      <c r="BP590" s="165"/>
      <c r="BQ590" s="165"/>
      <c r="BR590" s="165"/>
      <c r="BS590" s="165"/>
      <c r="BT590" s="165"/>
      <c r="BU590" s="165"/>
      <c r="BV590" s="165"/>
      <c r="BW590" s="165"/>
      <c r="BX590" s="165"/>
      <c r="BY590" s="165"/>
      <c r="BZ590" s="165"/>
      <c r="CA590" s="165"/>
      <c r="CB590" s="217"/>
    </row>
    <row r="591" spans="1:80">
      <c r="A591" s="107"/>
      <c r="B591" s="107"/>
      <c r="C591" s="107"/>
      <c r="D591" s="107"/>
      <c r="E591" s="548"/>
      <c r="F591" s="549"/>
      <c r="G591" s="549"/>
      <c r="H591" s="550"/>
      <c r="I591" s="540"/>
      <c r="J591" s="541"/>
      <c r="K591" s="541"/>
      <c r="L591" s="542"/>
      <c r="M591" s="540"/>
      <c r="N591" s="541"/>
      <c r="O591" s="541"/>
      <c r="P591" s="542"/>
      <c r="Q591" s="540"/>
      <c r="R591" s="541"/>
      <c r="S591" s="541"/>
      <c r="T591" s="542"/>
      <c r="U591" s="540"/>
      <c r="V591" s="541"/>
      <c r="W591" s="541"/>
      <c r="X591" s="542"/>
      <c r="Y591" s="540"/>
      <c r="Z591" s="541"/>
      <c r="AA591" s="541"/>
      <c r="AB591" s="542"/>
      <c r="AC591" s="540"/>
      <c r="AD591" s="541"/>
      <c r="AE591" s="541"/>
      <c r="AF591" s="542"/>
      <c r="AG591" s="540"/>
      <c r="AH591" s="541"/>
      <c r="AI591" s="541"/>
      <c r="AJ591" s="542"/>
      <c r="AK591" s="540"/>
      <c r="AL591" s="541"/>
      <c r="AM591" s="541"/>
      <c r="AN591" s="542"/>
      <c r="AO591" s="540"/>
      <c r="AP591" s="541"/>
      <c r="AQ591" s="541"/>
      <c r="AR591" s="542"/>
      <c r="AS591" s="540"/>
      <c r="AT591" s="541"/>
      <c r="AU591" s="541"/>
      <c r="AV591" s="542"/>
      <c r="AW591" s="540"/>
      <c r="AX591" s="541"/>
      <c r="AY591" s="541"/>
      <c r="AZ591" s="542"/>
      <c r="BJ591" s="217"/>
      <c r="BK591" s="164"/>
      <c r="BL591" s="165"/>
      <c r="BM591" s="165"/>
      <c r="BN591" s="165"/>
      <c r="BO591" s="165"/>
      <c r="BP591" s="165"/>
      <c r="BQ591" s="165"/>
      <c r="BR591" s="165"/>
      <c r="BS591" s="165"/>
      <c r="BT591" s="165"/>
      <c r="BU591" s="165"/>
      <c r="BV591" s="165"/>
      <c r="BW591" s="165"/>
      <c r="BX591" s="165"/>
      <c r="BY591" s="165"/>
      <c r="BZ591" s="165"/>
      <c r="CA591" s="165"/>
      <c r="CB591" s="217"/>
    </row>
    <row r="592" spans="1:80">
      <c r="A592" s="107"/>
      <c r="B592" s="107"/>
      <c r="C592" s="107"/>
      <c r="D592" s="107"/>
      <c r="E592" s="551"/>
      <c r="F592" s="552"/>
      <c r="G592" s="552"/>
      <c r="H592" s="553"/>
      <c r="I592" s="545"/>
      <c r="J592" s="546"/>
      <c r="K592" s="546"/>
      <c r="L592" s="547"/>
      <c r="M592" s="545"/>
      <c r="N592" s="546"/>
      <c r="O592" s="546"/>
      <c r="P592" s="547"/>
      <c r="Q592" s="545"/>
      <c r="R592" s="546"/>
      <c r="S592" s="546"/>
      <c r="T592" s="547"/>
      <c r="U592" s="545"/>
      <c r="V592" s="546"/>
      <c r="W592" s="546"/>
      <c r="X592" s="547"/>
      <c r="Y592" s="545"/>
      <c r="Z592" s="546"/>
      <c r="AA592" s="546"/>
      <c r="AB592" s="547"/>
      <c r="AC592" s="545"/>
      <c r="AD592" s="546"/>
      <c r="AE592" s="546"/>
      <c r="AF592" s="547"/>
      <c r="AG592" s="545"/>
      <c r="AH592" s="546"/>
      <c r="AI592" s="546"/>
      <c r="AJ592" s="547"/>
      <c r="AK592" s="545"/>
      <c r="AL592" s="546"/>
      <c r="AM592" s="546"/>
      <c r="AN592" s="547"/>
      <c r="AO592" s="545"/>
      <c r="AP592" s="546"/>
      <c r="AQ592" s="546"/>
      <c r="AR592" s="547"/>
      <c r="AS592" s="545"/>
      <c r="AT592" s="546"/>
      <c r="AU592" s="546"/>
      <c r="AV592" s="547"/>
      <c r="AW592" s="545"/>
      <c r="AX592" s="546"/>
      <c r="AY592" s="546"/>
      <c r="AZ592" s="547"/>
      <c r="BJ592" s="217"/>
      <c r="BK592" s="164"/>
      <c r="BL592" s="165"/>
      <c r="BM592" s="165"/>
      <c r="BN592" s="165"/>
      <c r="BO592" s="165"/>
      <c r="BP592" s="165"/>
      <c r="BQ592" s="165"/>
      <c r="BR592" s="165"/>
      <c r="BS592" s="165"/>
      <c r="BT592" s="165"/>
      <c r="BU592" s="165"/>
      <c r="BV592" s="165"/>
      <c r="BW592" s="165"/>
      <c r="BX592" s="165"/>
      <c r="BY592" s="165"/>
      <c r="BZ592" s="165"/>
      <c r="CA592" s="165"/>
      <c r="CB592" s="217"/>
    </row>
    <row r="593" spans="1:80">
      <c r="A593" s="107"/>
      <c r="B593" s="107"/>
      <c r="C593" s="107"/>
      <c r="D593" s="107"/>
      <c r="E593" s="548"/>
      <c r="F593" s="549"/>
      <c r="G593" s="549"/>
      <c r="H593" s="550"/>
      <c r="I593" s="540"/>
      <c r="J593" s="541"/>
      <c r="K593" s="541"/>
      <c r="L593" s="542"/>
      <c r="M593" s="540"/>
      <c r="N593" s="541"/>
      <c r="O593" s="541"/>
      <c r="P593" s="542"/>
      <c r="Q593" s="540"/>
      <c r="R593" s="541"/>
      <c r="S593" s="541"/>
      <c r="T593" s="542"/>
      <c r="U593" s="540"/>
      <c r="V593" s="541"/>
      <c r="W593" s="541"/>
      <c r="X593" s="542"/>
      <c r="Y593" s="540"/>
      <c r="Z593" s="541"/>
      <c r="AA593" s="541"/>
      <c r="AB593" s="542"/>
      <c r="AC593" s="540"/>
      <c r="AD593" s="541"/>
      <c r="AE593" s="541"/>
      <c r="AF593" s="542"/>
      <c r="AG593" s="540"/>
      <c r="AH593" s="541"/>
      <c r="AI593" s="541"/>
      <c r="AJ593" s="542"/>
      <c r="AK593" s="540"/>
      <c r="AL593" s="541"/>
      <c r="AM593" s="541"/>
      <c r="AN593" s="542"/>
      <c r="AO593" s="540"/>
      <c r="AP593" s="541"/>
      <c r="AQ593" s="541"/>
      <c r="AR593" s="542"/>
      <c r="AS593" s="540"/>
      <c r="AT593" s="541"/>
      <c r="AU593" s="541"/>
      <c r="AV593" s="542"/>
      <c r="AW593" s="540"/>
      <c r="AX593" s="541"/>
      <c r="AY593" s="541"/>
      <c r="AZ593" s="542"/>
      <c r="BJ593" s="217"/>
      <c r="BK593" s="164"/>
      <c r="BL593" s="165"/>
      <c r="BM593" s="165"/>
      <c r="BN593" s="165"/>
      <c r="BO593" s="165"/>
      <c r="BP593" s="165"/>
      <c r="BQ593" s="165"/>
      <c r="BR593" s="165"/>
      <c r="BS593" s="165"/>
      <c r="BT593" s="165"/>
      <c r="BU593" s="165"/>
      <c r="BV593" s="165"/>
      <c r="BW593" s="165"/>
      <c r="BX593" s="165"/>
      <c r="BY593" s="165"/>
      <c r="BZ593" s="165"/>
      <c r="CA593" s="165"/>
      <c r="CB593" s="217"/>
    </row>
    <row r="594" spans="1:80">
      <c r="A594" s="107"/>
      <c r="B594" s="107"/>
      <c r="C594" s="107"/>
      <c r="D594" s="107"/>
      <c r="E594" s="551"/>
      <c r="F594" s="552"/>
      <c r="G594" s="552"/>
      <c r="H594" s="553"/>
      <c r="I594" s="545"/>
      <c r="J594" s="546"/>
      <c r="K594" s="546"/>
      <c r="L594" s="547"/>
      <c r="M594" s="545"/>
      <c r="N594" s="546"/>
      <c r="O594" s="546"/>
      <c r="P594" s="547"/>
      <c r="Q594" s="545"/>
      <c r="R594" s="546"/>
      <c r="S594" s="546"/>
      <c r="T594" s="547"/>
      <c r="U594" s="545"/>
      <c r="V594" s="546"/>
      <c r="W594" s="546"/>
      <c r="X594" s="547"/>
      <c r="Y594" s="545"/>
      <c r="Z594" s="546"/>
      <c r="AA594" s="546"/>
      <c r="AB594" s="547"/>
      <c r="AC594" s="545"/>
      <c r="AD594" s="546"/>
      <c r="AE594" s="546"/>
      <c r="AF594" s="547"/>
      <c r="AG594" s="545"/>
      <c r="AH594" s="546"/>
      <c r="AI594" s="546"/>
      <c r="AJ594" s="547"/>
      <c r="AK594" s="545"/>
      <c r="AL594" s="546"/>
      <c r="AM594" s="546"/>
      <c r="AN594" s="547"/>
      <c r="AO594" s="545"/>
      <c r="AP594" s="546"/>
      <c r="AQ594" s="546"/>
      <c r="AR594" s="547"/>
      <c r="AS594" s="545"/>
      <c r="AT594" s="546"/>
      <c r="AU594" s="546"/>
      <c r="AV594" s="547"/>
      <c r="AW594" s="545"/>
      <c r="AX594" s="546"/>
      <c r="AY594" s="546"/>
      <c r="AZ594" s="547"/>
      <c r="BJ594" s="217"/>
      <c r="BK594" s="164"/>
      <c r="BL594" s="165"/>
      <c r="BM594" s="165"/>
      <c r="BN594" s="165"/>
      <c r="BO594" s="165"/>
      <c r="BP594" s="165"/>
      <c r="BQ594" s="165"/>
      <c r="BR594" s="165"/>
      <c r="BS594" s="165"/>
      <c r="BT594" s="165"/>
      <c r="BU594" s="165"/>
      <c r="BV594" s="165"/>
      <c r="BW594" s="165"/>
      <c r="BX594" s="165"/>
      <c r="BY594" s="165"/>
      <c r="BZ594" s="165"/>
      <c r="CA594" s="165"/>
      <c r="CB594" s="217"/>
    </row>
    <row r="595" spans="1:80">
      <c r="A595" s="107"/>
      <c r="B595" s="107"/>
      <c r="C595" s="107"/>
      <c r="D595" s="107"/>
      <c r="E595" s="548"/>
      <c r="F595" s="549"/>
      <c r="G595" s="549"/>
      <c r="H595" s="550"/>
      <c r="I595" s="540"/>
      <c r="J595" s="541"/>
      <c r="K595" s="541"/>
      <c r="L595" s="542"/>
      <c r="M595" s="540"/>
      <c r="N595" s="541"/>
      <c r="O595" s="541"/>
      <c r="P595" s="542"/>
      <c r="Q595" s="540"/>
      <c r="R595" s="541"/>
      <c r="S595" s="541"/>
      <c r="T595" s="542"/>
      <c r="U595" s="540"/>
      <c r="V595" s="541"/>
      <c r="W595" s="541"/>
      <c r="X595" s="542"/>
      <c r="Y595" s="540"/>
      <c r="Z595" s="541"/>
      <c r="AA595" s="541"/>
      <c r="AB595" s="542"/>
      <c r="AC595" s="540"/>
      <c r="AD595" s="541"/>
      <c r="AE595" s="541"/>
      <c r="AF595" s="542"/>
      <c r="AG595" s="540"/>
      <c r="AH595" s="541"/>
      <c r="AI595" s="541"/>
      <c r="AJ595" s="542"/>
      <c r="AK595" s="540"/>
      <c r="AL595" s="541"/>
      <c r="AM595" s="541"/>
      <c r="AN595" s="542"/>
      <c r="AO595" s="540"/>
      <c r="AP595" s="541"/>
      <c r="AQ595" s="541"/>
      <c r="AR595" s="542"/>
      <c r="AS595" s="540"/>
      <c r="AT595" s="541"/>
      <c r="AU595" s="541"/>
      <c r="AV595" s="542"/>
      <c r="AW595" s="540"/>
      <c r="AX595" s="541"/>
      <c r="AY595" s="541"/>
      <c r="AZ595" s="542"/>
      <c r="BJ595" s="217"/>
      <c r="BK595" s="164"/>
      <c r="BL595" s="165"/>
      <c r="BM595" s="165"/>
      <c r="BN595" s="165"/>
      <c r="BO595" s="165"/>
      <c r="BP595" s="165"/>
      <c r="BQ595" s="165"/>
      <c r="BR595" s="165"/>
      <c r="BS595" s="165"/>
      <c r="BT595" s="165"/>
      <c r="BU595" s="165"/>
      <c r="BV595" s="165"/>
      <c r="BW595" s="165"/>
      <c r="BX595" s="165"/>
      <c r="BY595" s="165"/>
      <c r="BZ595" s="165"/>
      <c r="CA595" s="165"/>
      <c r="CB595" s="217"/>
    </row>
    <row r="596" spans="1:80">
      <c r="A596" s="107"/>
      <c r="B596" s="107"/>
      <c r="C596" s="107"/>
      <c r="D596" s="107"/>
      <c r="E596" s="551"/>
      <c r="F596" s="552"/>
      <c r="G596" s="552"/>
      <c r="H596" s="553"/>
      <c r="I596" s="545"/>
      <c r="J596" s="546"/>
      <c r="K596" s="546"/>
      <c r="L596" s="547"/>
      <c r="M596" s="545"/>
      <c r="N596" s="546"/>
      <c r="O596" s="546"/>
      <c r="P596" s="547"/>
      <c r="Q596" s="545"/>
      <c r="R596" s="546"/>
      <c r="S596" s="546"/>
      <c r="T596" s="547"/>
      <c r="U596" s="545"/>
      <c r="V596" s="546"/>
      <c r="W596" s="546"/>
      <c r="X596" s="547"/>
      <c r="Y596" s="545"/>
      <c r="Z596" s="546"/>
      <c r="AA596" s="546"/>
      <c r="AB596" s="547"/>
      <c r="AC596" s="545"/>
      <c r="AD596" s="546"/>
      <c r="AE596" s="546"/>
      <c r="AF596" s="547"/>
      <c r="AG596" s="545"/>
      <c r="AH596" s="546"/>
      <c r="AI596" s="546"/>
      <c r="AJ596" s="547"/>
      <c r="AK596" s="545"/>
      <c r="AL596" s="546"/>
      <c r="AM596" s="546"/>
      <c r="AN596" s="547"/>
      <c r="AO596" s="545"/>
      <c r="AP596" s="546"/>
      <c r="AQ596" s="546"/>
      <c r="AR596" s="547"/>
      <c r="AS596" s="545"/>
      <c r="AT596" s="546"/>
      <c r="AU596" s="546"/>
      <c r="AV596" s="547"/>
      <c r="AW596" s="545"/>
      <c r="AX596" s="546"/>
      <c r="AY596" s="546"/>
      <c r="AZ596" s="547"/>
      <c r="BJ596" s="217"/>
      <c r="BK596" s="164"/>
      <c r="BL596" s="165"/>
      <c r="BM596" s="165"/>
      <c r="BN596" s="165"/>
      <c r="BO596" s="165"/>
      <c r="BP596" s="165"/>
      <c r="BQ596" s="165"/>
      <c r="BR596" s="165"/>
      <c r="BS596" s="165"/>
      <c r="BT596" s="165"/>
      <c r="BU596" s="165"/>
      <c r="BV596" s="165"/>
      <c r="BW596" s="165"/>
      <c r="BX596" s="165"/>
      <c r="BY596" s="165"/>
      <c r="BZ596" s="165"/>
      <c r="CA596" s="165"/>
      <c r="CB596" s="217"/>
    </row>
    <row r="597" spans="1:80">
      <c r="A597" s="107"/>
      <c r="B597" s="107"/>
      <c r="C597" s="107"/>
      <c r="D597" s="107"/>
      <c r="E597" s="548"/>
      <c r="F597" s="549"/>
      <c r="G597" s="549"/>
      <c r="H597" s="550"/>
      <c r="I597" s="540"/>
      <c r="J597" s="541"/>
      <c r="K597" s="541"/>
      <c r="L597" s="542"/>
      <c r="M597" s="540"/>
      <c r="N597" s="541"/>
      <c r="O597" s="541"/>
      <c r="P597" s="542"/>
      <c r="Q597" s="540"/>
      <c r="R597" s="541"/>
      <c r="S597" s="541"/>
      <c r="T597" s="542"/>
      <c r="U597" s="540"/>
      <c r="V597" s="541"/>
      <c r="W597" s="541"/>
      <c r="X597" s="542"/>
      <c r="Y597" s="540"/>
      <c r="Z597" s="541"/>
      <c r="AA597" s="541"/>
      <c r="AB597" s="542"/>
      <c r="AC597" s="540"/>
      <c r="AD597" s="541"/>
      <c r="AE597" s="541"/>
      <c r="AF597" s="542"/>
      <c r="AG597" s="540"/>
      <c r="AH597" s="541"/>
      <c r="AI597" s="541"/>
      <c r="AJ597" s="542"/>
      <c r="AK597" s="540"/>
      <c r="AL597" s="541"/>
      <c r="AM597" s="541"/>
      <c r="AN597" s="542"/>
      <c r="AO597" s="540"/>
      <c r="AP597" s="541"/>
      <c r="AQ597" s="541"/>
      <c r="AR597" s="542"/>
      <c r="AS597" s="540"/>
      <c r="AT597" s="541"/>
      <c r="AU597" s="541"/>
      <c r="AV597" s="542"/>
      <c r="AW597" s="540"/>
      <c r="AX597" s="541"/>
      <c r="AY597" s="541"/>
      <c r="AZ597" s="542"/>
      <c r="BJ597" s="217"/>
      <c r="BK597" s="164"/>
      <c r="BL597" s="165"/>
      <c r="BM597" s="165"/>
      <c r="BN597" s="165"/>
      <c r="BO597" s="165"/>
      <c r="BP597" s="165"/>
      <c r="BQ597" s="165"/>
      <c r="BR597" s="165"/>
      <c r="BS597" s="165"/>
      <c r="BT597" s="165"/>
      <c r="BU597" s="165"/>
      <c r="BV597" s="165"/>
      <c r="BW597" s="165"/>
      <c r="BX597" s="165"/>
      <c r="BY597" s="165"/>
      <c r="BZ597" s="165"/>
      <c r="CA597" s="165"/>
      <c r="CB597" s="217"/>
    </row>
    <row r="598" spans="1:80">
      <c r="A598" s="107"/>
      <c r="B598" s="107"/>
      <c r="C598" s="107"/>
      <c r="D598" s="107"/>
      <c r="E598" s="551"/>
      <c r="F598" s="552"/>
      <c r="G598" s="552"/>
      <c r="H598" s="553"/>
      <c r="I598" s="545"/>
      <c r="J598" s="546"/>
      <c r="K598" s="546"/>
      <c r="L598" s="547"/>
      <c r="M598" s="545"/>
      <c r="N598" s="546"/>
      <c r="O598" s="546"/>
      <c r="P598" s="547"/>
      <c r="Q598" s="545"/>
      <c r="R598" s="546"/>
      <c r="S598" s="546"/>
      <c r="T598" s="547"/>
      <c r="U598" s="545"/>
      <c r="V598" s="546"/>
      <c r="W598" s="546"/>
      <c r="X598" s="547"/>
      <c r="Y598" s="545"/>
      <c r="Z598" s="546"/>
      <c r="AA598" s="546"/>
      <c r="AB598" s="547"/>
      <c r="AC598" s="545"/>
      <c r="AD598" s="546"/>
      <c r="AE598" s="546"/>
      <c r="AF598" s="547"/>
      <c r="AG598" s="545"/>
      <c r="AH598" s="546"/>
      <c r="AI598" s="546"/>
      <c r="AJ598" s="547"/>
      <c r="AK598" s="545"/>
      <c r="AL598" s="546"/>
      <c r="AM598" s="546"/>
      <c r="AN598" s="547"/>
      <c r="AO598" s="545"/>
      <c r="AP598" s="546"/>
      <c r="AQ598" s="546"/>
      <c r="AR598" s="547"/>
      <c r="AS598" s="545"/>
      <c r="AT598" s="546"/>
      <c r="AU598" s="546"/>
      <c r="AV598" s="547"/>
      <c r="AW598" s="545"/>
      <c r="AX598" s="546"/>
      <c r="AY598" s="546"/>
      <c r="AZ598" s="547"/>
      <c r="BJ598" s="217"/>
      <c r="BK598" s="164"/>
      <c r="BL598" s="165"/>
      <c r="BM598" s="165"/>
      <c r="BN598" s="165"/>
      <c r="BO598" s="165"/>
      <c r="BP598" s="165"/>
      <c r="BQ598" s="165"/>
      <c r="BR598" s="165"/>
      <c r="BS598" s="165"/>
      <c r="BT598" s="165"/>
      <c r="BU598" s="165"/>
      <c r="BV598" s="165"/>
      <c r="BW598" s="165"/>
      <c r="BX598" s="165"/>
      <c r="BY598" s="165"/>
      <c r="BZ598" s="165"/>
      <c r="CA598" s="165"/>
      <c r="CB598" s="217"/>
    </row>
    <row r="599" spans="1:80">
      <c r="A599" s="107"/>
      <c r="B599" s="107"/>
      <c r="C599" s="107"/>
      <c r="D599" s="107"/>
      <c r="E599" s="548"/>
      <c r="F599" s="549"/>
      <c r="G599" s="549"/>
      <c r="H599" s="550"/>
      <c r="I599" s="540"/>
      <c r="J599" s="541"/>
      <c r="K599" s="541"/>
      <c r="L599" s="542"/>
      <c r="M599" s="540"/>
      <c r="N599" s="541"/>
      <c r="O599" s="541"/>
      <c r="P599" s="542"/>
      <c r="Q599" s="540"/>
      <c r="R599" s="541"/>
      <c r="S599" s="541"/>
      <c r="T599" s="542"/>
      <c r="U599" s="540"/>
      <c r="V599" s="541"/>
      <c r="W599" s="541"/>
      <c r="X599" s="542"/>
      <c r="Y599" s="540"/>
      <c r="Z599" s="541"/>
      <c r="AA599" s="541"/>
      <c r="AB599" s="542"/>
      <c r="AC599" s="540"/>
      <c r="AD599" s="541"/>
      <c r="AE599" s="541"/>
      <c r="AF599" s="542"/>
      <c r="AG599" s="540"/>
      <c r="AH599" s="541"/>
      <c r="AI599" s="541"/>
      <c r="AJ599" s="542"/>
      <c r="AK599" s="540"/>
      <c r="AL599" s="541"/>
      <c r="AM599" s="541"/>
      <c r="AN599" s="542"/>
      <c r="AO599" s="540"/>
      <c r="AP599" s="541"/>
      <c r="AQ599" s="541"/>
      <c r="AR599" s="542"/>
      <c r="AS599" s="540"/>
      <c r="AT599" s="541"/>
      <c r="AU599" s="541"/>
      <c r="AV599" s="542"/>
      <c r="AW599" s="540"/>
      <c r="AX599" s="541"/>
      <c r="AY599" s="541"/>
      <c r="AZ599" s="542"/>
      <c r="BJ599" s="217"/>
      <c r="BK599" s="164"/>
      <c r="BL599" s="165"/>
      <c r="BM599" s="165"/>
      <c r="BN599" s="165"/>
      <c r="BO599" s="165"/>
      <c r="BP599" s="165"/>
      <c r="BQ599" s="165"/>
      <c r="BR599" s="165"/>
      <c r="BS599" s="165"/>
      <c r="BT599" s="165"/>
      <c r="BU599" s="165"/>
      <c r="BV599" s="165"/>
      <c r="BW599" s="165"/>
      <c r="BX599" s="165"/>
      <c r="BY599" s="165"/>
      <c r="BZ599" s="165"/>
      <c r="CA599" s="165"/>
      <c r="CB599" s="217"/>
    </row>
    <row r="600" spans="1:80">
      <c r="A600" s="107"/>
      <c r="B600" s="107"/>
      <c r="C600" s="107"/>
      <c r="D600" s="107"/>
      <c r="E600" s="551"/>
      <c r="F600" s="552"/>
      <c r="G600" s="552"/>
      <c r="H600" s="553"/>
      <c r="I600" s="545"/>
      <c r="J600" s="546"/>
      <c r="K600" s="546"/>
      <c r="L600" s="547"/>
      <c r="M600" s="545"/>
      <c r="N600" s="546"/>
      <c r="O600" s="546"/>
      <c r="P600" s="547"/>
      <c r="Q600" s="545"/>
      <c r="R600" s="546"/>
      <c r="S600" s="546"/>
      <c r="T600" s="547"/>
      <c r="U600" s="545"/>
      <c r="V600" s="546"/>
      <c r="W600" s="546"/>
      <c r="X600" s="547"/>
      <c r="Y600" s="545"/>
      <c r="Z600" s="546"/>
      <c r="AA600" s="546"/>
      <c r="AB600" s="547"/>
      <c r="AC600" s="545"/>
      <c r="AD600" s="546"/>
      <c r="AE600" s="546"/>
      <c r="AF600" s="547"/>
      <c r="AG600" s="545"/>
      <c r="AH600" s="546"/>
      <c r="AI600" s="546"/>
      <c r="AJ600" s="547"/>
      <c r="AK600" s="545"/>
      <c r="AL600" s="546"/>
      <c r="AM600" s="546"/>
      <c r="AN600" s="547"/>
      <c r="AO600" s="545"/>
      <c r="AP600" s="546"/>
      <c r="AQ600" s="546"/>
      <c r="AR600" s="547"/>
      <c r="AS600" s="545"/>
      <c r="AT600" s="546"/>
      <c r="AU600" s="546"/>
      <c r="AV600" s="547"/>
      <c r="AW600" s="545"/>
      <c r="AX600" s="546"/>
      <c r="AY600" s="546"/>
      <c r="AZ600" s="547"/>
      <c r="BJ600" s="217"/>
      <c r="BK600" s="164"/>
      <c r="BL600" s="165"/>
      <c r="BM600" s="165"/>
      <c r="BN600" s="165"/>
      <c r="BO600" s="165"/>
      <c r="BP600" s="165"/>
      <c r="BQ600" s="165"/>
      <c r="BR600" s="165"/>
      <c r="BS600" s="165"/>
      <c r="BT600" s="165"/>
      <c r="BU600" s="165"/>
      <c r="BV600" s="165"/>
      <c r="BW600" s="165"/>
      <c r="BX600" s="165"/>
      <c r="BY600" s="165"/>
      <c r="BZ600" s="165"/>
      <c r="CA600" s="165"/>
      <c r="CB600" s="217"/>
    </row>
    <row r="601" spans="1:80">
      <c r="A601" s="107"/>
      <c r="B601" s="107"/>
      <c r="C601" s="107"/>
      <c r="D601" s="107"/>
      <c r="E601" s="548"/>
      <c r="F601" s="549"/>
      <c r="G601" s="549"/>
      <c r="H601" s="550"/>
      <c r="I601" s="540"/>
      <c r="J601" s="541"/>
      <c r="K601" s="541"/>
      <c r="L601" s="542"/>
      <c r="M601" s="540"/>
      <c r="N601" s="541"/>
      <c r="O601" s="541"/>
      <c r="P601" s="542"/>
      <c r="Q601" s="540"/>
      <c r="R601" s="541"/>
      <c r="S601" s="541"/>
      <c r="T601" s="542"/>
      <c r="U601" s="540"/>
      <c r="V601" s="541"/>
      <c r="W601" s="541"/>
      <c r="X601" s="542"/>
      <c r="Y601" s="540"/>
      <c r="Z601" s="541"/>
      <c r="AA601" s="541"/>
      <c r="AB601" s="542"/>
      <c r="AC601" s="540"/>
      <c r="AD601" s="541"/>
      <c r="AE601" s="541"/>
      <c r="AF601" s="542"/>
      <c r="AG601" s="540"/>
      <c r="AH601" s="541"/>
      <c r="AI601" s="541"/>
      <c r="AJ601" s="542"/>
      <c r="AK601" s="540"/>
      <c r="AL601" s="541"/>
      <c r="AM601" s="541"/>
      <c r="AN601" s="542"/>
      <c r="AO601" s="540"/>
      <c r="AP601" s="541"/>
      <c r="AQ601" s="541"/>
      <c r="AR601" s="542"/>
      <c r="AS601" s="540"/>
      <c r="AT601" s="541"/>
      <c r="AU601" s="541"/>
      <c r="AV601" s="542"/>
      <c r="AW601" s="540"/>
      <c r="AX601" s="541"/>
      <c r="AY601" s="541"/>
      <c r="AZ601" s="542"/>
      <c r="BJ601" s="217"/>
      <c r="BK601" s="164"/>
      <c r="BL601" s="165"/>
      <c r="BM601" s="165"/>
      <c r="BN601" s="165"/>
      <c r="BO601" s="165"/>
      <c r="BP601" s="165"/>
      <c r="BQ601" s="165"/>
      <c r="BR601" s="165"/>
      <c r="BS601" s="165"/>
      <c r="BT601" s="165"/>
      <c r="BU601" s="165"/>
      <c r="BV601" s="165"/>
      <c r="BW601" s="165"/>
      <c r="BX601" s="165"/>
      <c r="BY601" s="165"/>
      <c r="BZ601" s="165"/>
      <c r="CA601" s="165"/>
      <c r="CB601" s="217"/>
    </row>
    <row r="602" spans="1:80">
      <c r="A602" s="107"/>
      <c r="B602" s="107"/>
      <c r="C602" s="107"/>
      <c r="D602" s="107"/>
      <c r="E602" s="551"/>
      <c r="F602" s="552"/>
      <c r="G602" s="552"/>
      <c r="H602" s="553"/>
      <c r="I602" s="545"/>
      <c r="J602" s="546"/>
      <c r="K602" s="546"/>
      <c r="L602" s="547"/>
      <c r="M602" s="545"/>
      <c r="N602" s="546"/>
      <c r="O602" s="546"/>
      <c r="P602" s="547"/>
      <c r="Q602" s="545"/>
      <c r="R602" s="546"/>
      <c r="S602" s="546"/>
      <c r="T602" s="547"/>
      <c r="U602" s="545"/>
      <c r="V602" s="546"/>
      <c r="W602" s="546"/>
      <c r="X602" s="547"/>
      <c r="Y602" s="545"/>
      <c r="Z602" s="546"/>
      <c r="AA602" s="546"/>
      <c r="AB602" s="547"/>
      <c r="AC602" s="545"/>
      <c r="AD602" s="546"/>
      <c r="AE602" s="546"/>
      <c r="AF602" s="547"/>
      <c r="AG602" s="545"/>
      <c r="AH602" s="546"/>
      <c r="AI602" s="546"/>
      <c r="AJ602" s="547"/>
      <c r="AK602" s="545"/>
      <c r="AL602" s="546"/>
      <c r="AM602" s="546"/>
      <c r="AN602" s="547"/>
      <c r="AO602" s="545"/>
      <c r="AP602" s="546"/>
      <c r="AQ602" s="546"/>
      <c r="AR602" s="547"/>
      <c r="AS602" s="545"/>
      <c r="AT602" s="546"/>
      <c r="AU602" s="546"/>
      <c r="AV602" s="547"/>
      <c r="AW602" s="545"/>
      <c r="AX602" s="546"/>
      <c r="AY602" s="546"/>
      <c r="AZ602" s="547"/>
      <c r="BJ602" s="217"/>
      <c r="BK602" s="164"/>
      <c r="BL602" s="165"/>
      <c r="BM602" s="165"/>
      <c r="BN602" s="165"/>
      <c r="BO602" s="165"/>
      <c r="BP602" s="165"/>
      <c r="BQ602" s="165"/>
      <c r="BR602" s="165"/>
      <c r="BS602" s="165"/>
      <c r="BT602" s="165"/>
      <c r="BU602" s="165"/>
      <c r="BV602" s="165"/>
      <c r="BW602" s="165"/>
      <c r="BX602" s="165"/>
      <c r="BY602" s="165"/>
      <c r="BZ602" s="165"/>
      <c r="CA602" s="165"/>
      <c r="CB602" s="217"/>
    </row>
    <row r="603" spans="1:80">
      <c r="A603" s="107"/>
      <c r="B603" s="107"/>
      <c r="C603" s="107"/>
      <c r="D603" s="107"/>
      <c r="E603" s="548"/>
      <c r="F603" s="549"/>
      <c r="G603" s="549"/>
      <c r="H603" s="550"/>
      <c r="I603" s="540"/>
      <c r="J603" s="541"/>
      <c r="K603" s="541"/>
      <c r="L603" s="542"/>
      <c r="M603" s="540"/>
      <c r="N603" s="541"/>
      <c r="O603" s="541"/>
      <c r="P603" s="542"/>
      <c r="Q603" s="540"/>
      <c r="R603" s="541"/>
      <c r="S603" s="541"/>
      <c r="T603" s="542"/>
      <c r="U603" s="540"/>
      <c r="V603" s="541"/>
      <c r="W603" s="541"/>
      <c r="X603" s="542"/>
      <c r="Y603" s="540"/>
      <c r="Z603" s="541"/>
      <c r="AA603" s="541"/>
      <c r="AB603" s="542"/>
      <c r="AC603" s="540"/>
      <c r="AD603" s="541"/>
      <c r="AE603" s="541"/>
      <c r="AF603" s="542"/>
      <c r="AG603" s="540"/>
      <c r="AH603" s="541"/>
      <c r="AI603" s="541"/>
      <c r="AJ603" s="542"/>
      <c r="AK603" s="540"/>
      <c r="AL603" s="541"/>
      <c r="AM603" s="541"/>
      <c r="AN603" s="542"/>
      <c r="AO603" s="540"/>
      <c r="AP603" s="541"/>
      <c r="AQ603" s="541"/>
      <c r="AR603" s="542"/>
      <c r="AS603" s="540"/>
      <c r="AT603" s="541"/>
      <c r="AU603" s="541"/>
      <c r="AV603" s="542"/>
      <c r="AW603" s="540"/>
      <c r="AX603" s="541"/>
      <c r="AY603" s="541"/>
      <c r="AZ603" s="542"/>
      <c r="BJ603" s="217"/>
      <c r="BK603" s="164"/>
      <c r="BL603" s="165"/>
      <c r="BM603" s="165"/>
      <c r="BN603" s="165"/>
      <c r="BO603" s="165"/>
      <c r="BP603" s="165"/>
      <c r="BQ603" s="165"/>
      <c r="BR603" s="165"/>
      <c r="BS603" s="165"/>
      <c r="BT603" s="165"/>
      <c r="BU603" s="165"/>
      <c r="BV603" s="165"/>
      <c r="BW603" s="165"/>
      <c r="BX603" s="165"/>
      <c r="BY603" s="165"/>
      <c r="BZ603" s="165"/>
      <c r="CA603" s="165"/>
      <c r="CB603" s="217"/>
    </row>
    <row r="604" spans="1:80">
      <c r="A604" s="107"/>
      <c r="B604" s="107"/>
      <c r="C604" s="107"/>
      <c r="D604" s="107"/>
      <c r="E604" s="551"/>
      <c r="F604" s="552"/>
      <c r="G604" s="552"/>
      <c r="H604" s="553"/>
      <c r="I604" s="545"/>
      <c r="J604" s="546"/>
      <c r="K604" s="546"/>
      <c r="L604" s="547"/>
      <c r="M604" s="545"/>
      <c r="N604" s="546"/>
      <c r="O604" s="546"/>
      <c r="P604" s="547"/>
      <c r="Q604" s="545"/>
      <c r="R604" s="546"/>
      <c r="S604" s="546"/>
      <c r="T604" s="547"/>
      <c r="U604" s="545"/>
      <c r="V604" s="546"/>
      <c r="W604" s="546"/>
      <c r="X604" s="547"/>
      <c r="Y604" s="545"/>
      <c r="Z604" s="546"/>
      <c r="AA604" s="546"/>
      <c r="AB604" s="547"/>
      <c r="AC604" s="545"/>
      <c r="AD604" s="546"/>
      <c r="AE604" s="546"/>
      <c r="AF604" s="547"/>
      <c r="AG604" s="545"/>
      <c r="AH604" s="546"/>
      <c r="AI604" s="546"/>
      <c r="AJ604" s="547"/>
      <c r="AK604" s="545"/>
      <c r="AL604" s="546"/>
      <c r="AM604" s="546"/>
      <c r="AN604" s="547"/>
      <c r="AO604" s="545"/>
      <c r="AP604" s="546"/>
      <c r="AQ604" s="546"/>
      <c r="AR604" s="547"/>
      <c r="AS604" s="545"/>
      <c r="AT604" s="546"/>
      <c r="AU604" s="546"/>
      <c r="AV604" s="547"/>
      <c r="AW604" s="545"/>
      <c r="AX604" s="546"/>
      <c r="AY604" s="546"/>
      <c r="AZ604" s="547"/>
      <c r="BJ604" s="217"/>
      <c r="BK604" s="164"/>
      <c r="BL604" s="165"/>
      <c r="BM604" s="165"/>
      <c r="BN604" s="165"/>
      <c r="BO604" s="165"/>
      <c r="BP604" s="165"/>
      <c r="BQ604" s="165"/>
      <c r="BR604" s="165"/>
      <c r="BS604" s="165"/>
      <c r="BT604" s="165"/>
      <c r="BU604" s="165"/>
      <c r="BV604" s="165"/>
      <c r="BW604" s="165"/>
      <c r="BX604" s="165"/>
      <c r="BY604" s="165"/>
      <c r="BZ604" s="165"/>
      <c r="CA604" s="165"/>
      <c r="CB604" s="217"/>
    </row>
    <row r="605" spans="1:80">
      <c r="A605" s="107"/>
      <c r="B605" s="107"/>
      <c r="C605" s="107"/>
      <c r="D605" s="107"/>
      <c r="E605" s="548"/>
      <c r="F605" s="549"/>
      <c r="G605" s="549"/>
      <c r="H605" s="550"/>
      <c r="I605" s="540"/>
      <c r="J605" s="541"/>
      <c r="K605" s="541"/>
      <c r="L605" s="542"/>
      <c r="M605" s="540"/>
      <c r="N605" s="541"/>
      <c r="O605" s="541"/>
      <c r="P605" s="542"/>
      <c r="Q605" s="540"/>
      <c r="R605" s="541"/>
      <c r="S605" s="541"/>
      <c r="T605" s="542"/>
      <c r="U605" s="540"/>
      <c r="V605" s="541"/>
      <c r="W605" s="541"/>
      <c r="X605" s="542"/>
      <c r="Y605" s="540"/>
      <c r="Z605" s="541"/>
      <c r="AA605" s="541"/>
      <c r="AB605" s="542"/>
      <c r="AC605" s="540"/>
      <c r="AD605" s="541"/>
      <c r="AE605" s="541"/>
      <c r="AF605" s="542"/>
      <c r="AG605" s="540"/>
      <c r="AH605" s="541"/>
      <c r="AI605" s="541"/>
      <c r="AJ605" s="542"/>
      <c r="AK605" s="540"/>
      <c r="AL605" s="541"/>
      <c r="AM605" s="541"/>
      <c r="AN605" s="542"/>
      <c r="AO605" s="540"/>
      <c r="AP605" s="541"/>
      <c r="AQ605" s="541"/>
      <c r="AR605" s="542"/>
      <c r="AS605" s="540"/>
      <c r="AT605" s="541"/>
      <c r="AU605" s="541"/>
      <c r="AV605" s="542"/>
      <c r="AW605" s="540"/>
      <c r="AX605" s="541"/>
      <c r="AY605" s="541"/>
      <c r="AZ605" s="542"/>
      <c r="BJ605" s="217"/>
      <c r="BK605" s="164"/>
      <c r="BL605" s="165"/>
      <c r="BM605" s="165"/>
      <c r="BN605" s="165"/>
      <c r="BO605" s="165"/>
      <c r="BP605" s="165"/>
      <c r="BQ605" s="165"/>
      <c r="BR605" s="165"/>
      <c r="BS605" s="165"/>
      <c r="BT605" s="165"/>
      <c r="BU605" s="165"/>
      <c r="BV605" s="165"/>
      <c r="BW605" s="165"/>
      <c r="BX605" s="165"/>
      <c r="BY605" s="165"/>
      <c r="BZ605" s="165"/>
      <c r="CA605" s="165"/>
      <c r="CB605" s="217"/>
    </row>
    <row r="606" spans="1:80">
      <c r="A606" s="107"/>
      <c r="B606" s="107"/>
      <c r="C606" s="107"/>
      <c r="D606" s="107"/>
      <c r="E606" s="551"/>
      <c r="F606" s="552"/>
      <c r="G606" s="552"/>
      <c r="H606" s="553"/>
      <c r="I606" s="545"/>
      <c r="J606" s="546"/>
      <c r="K606" s="546"/>
      <c r="L606" s="547"/>
      <c r="M606" s="545"/>
      <c r="N606" s="546"/>
      <c r="O606" s="546"/>
      <c r="P606" s="547"/>
      <c r="Q606" s="545"/>
      <c r="R606" s="546"/>
      <c r="S606" s="546"/>
      <c r="T606" s="547"/>
      <c r="U606" s="545"/>
      <c r="V606" s="546"/>
      <c r="W606" s="546"/>
      <c r="X606" s="547"/>
      <c r="Y606" s="545"/>
      <c r="Z606" s="546"/>
      <c r="AA606" s="546"/>
      <c r="AB606" s="547"/>
      <c r="AC606" s="545"/>
      <c r="AD606" s="546"/>
      <c r="AE606" s="546"/>
      <c r="AF606" s="547"/>
      <c r="AG606" s="545"/>
      <c r="AH606" s="546"/>
      <c r="AI606" s="546"/>
      <c r="AJ606" s="547"/>
      <c r="AK606" s="545"/>
      <c r="AL606" s="546"/>
      <c r="AM606" s="546"/>
      <c r="AN606" s="547"/>
      <c r="AO606" s="545"/>
      <c r="AP606" s="546"/>
      <c r="AQ606" s="546"/>
      <c r="AR606" s="547"/>
      <c r="AS606" s="545"/>
      <c r="AT606" s="546"/>
      <c r="AU606" s="546"/>
      <c r="AV606" s="547"/>
      <c r="AW606" s="545"/>
      <c r="AX606" s="546"/>
      <c r="AY606" s="546"/>
      <c r="AZ606" s="547"/>
      <c r="BJ606" s="217"/>
      <c r="BK606" s="164"/>
      <c r="BL606" s="165"/>
      <c r="BM606" s="165"/>
      <c r="BN606" s="165"/>
      <c r="BO606" s="165"/>
      <c r="BP606" s="165"/>
      <c r="BQ606" s="165"/>
      <c r="BR606" s="165"/>
      <c r="BS606" s="165"/>
      <c r="BT606" s="165"/>
      <c r="BU606" s="165"/>
      <c r="BV606" s="165"/>
      <c r="BW606" s="165"/>
      <c r="BX606" s="165"/>
      <c r="BY606" s="165"/>
      <c r="BZ606" s="165"/>
      <c r="CA606" s="165"/>
      <c r="CB606" s="217"/>
    </row>
    <row r="607" spans="1:80">
      <c r="A607" s="107"/>
      <c r="B607" s="107"/>
      <c r="C607" s="107"/>
      <c r="D607" s="107"/>
      <c r="E607" s="548"/>
      <c r="F607" s="549"/>
      <c r="G607" s="549"/>
      <c r="H607" s="550"/>
      <c r="I607" s="540"/>
      <c r="J607" s="541"/>
      <c r="K607" s="541"/>
      <c r="L607" s="542"/>
      <c r="M607" s="540"/>
      <c r="N607" s="541"/>
      <c r="O607" s="541"/>
      <c r="P607" s="542"/>
      <c r="Q607" s="540"/>
      <c r="R607" s="541"/>
      <c r="S607" s="541"/>
      <c r="T607" s="542"/>
      <c r="U607" s="540"/>
      <c r="V607" s="541"/>
      <c r="W607" s="541"/>
      <c r="X607" s="542"/>
      <c r="Y607" s="540"/>
      <c r="Z607" s="541"/>
      <c r="AA607" s="541"/>
      <c r="AB607" s="542"/>
      <c r="AC607" s="540"/>
      <c r="AD607" s="541"/>
      <c r="AE607" s="541"/>
      <c r="AF607" s="542"/>
      <c r="AG607" s="540"/>
      <c r="AH607" s="541"/>
      <c r="AI607" s="541"/>
      <c r="AJ607" s="542"/>
      <c r="AK607" s="540"/>
      <c r="AL607" s="541"/>
      <c r="AM607" s="541"/>
      <c r="AN607" s="542"/>
      <c r="AO607" s="540"/>
      <c r="AP607" s="541"/>
      <c r="AQ607" s="541"/>
      <c r="AR607" s="542"/>
      <c r="AS607" s="540"/>
      <c r="AT607" s="541"/>
      <c r="AU607" s="541"/>
      <c r="AV607" s="542"/>
      <c r="AW607" s="540"/>
      <c r="AX607" s="541"/>
      <c r="AY607" s="541"/>
      <c r="AZ607" s="542"/>
      <c r="BJ607" s="217"/>
      <c r="BK607" s="164"/>
      <c r="BL607" s="165"/>
      <c r="BM607" s="165"/>
      <c r="BN607" s="165"/>
      <c r="BO607" s="165"/>
      <c r="BP607" s="165"/>
      <c r="BQ607" s="165"/>
      <c r="BR607" s="165"/>
      <c r="BS607" s="165"/>
      <c r="BT607" s="165"/>
      <c r="BU607" s="165"/>
      <c r="BV607" s="165"/>
      <c r="BW607" s="165"/>
      <c r="BX607" s="165"/>
      <c r="BY607" s="165"/>
      <c r="BZ607" s="165"/>
      <c r="CA607" s="165"/>
      <c r="CB607" s="217"/>
    </row>
    <row r="608" spans="1:80">
      <c r="A608" s="107"/>
      <c r="B608" s="107"/>
      <c r="C608" s="107"/>
      <c r="D608" s="107"/>
      <c r="E608" s="551"/>
      <c r="F608" s="552"/>
      <c r="G608" s="552"/>
      <c r="H608" s="553"/>
      <c r="I608" s="545"/>
      <c r="J608" s="546"/>
      <c r="K608" s="546"/>
      <c r="L608" s="547"/>
      <c r="M608" s="545"/>
      <c r="N608" s="546"/>
      <c r="O608" s="546"/>
      <c r="P608" s="547"/>
      <c r="Q608" s="545"/>
      <c r="R608" s="546"/>
      <c r="S608" s="546"/>
      <c r="T608" s="547"/>
      <c r="U608" s="545"/>
      <c r="V608" s="546"/>
      <c r="W608" s="546"/>
      <c r="X608" s="547"/>
      <c r="Y608" s="545"/>
      <c r="Z608" s="546"/>
      <c r="AA608" s="546"/>
      <c r="AB608" s="547"/>
      <c r="AC608" s="545"/>
      <c r="AD608" s="546"/>
      <c r="AE608" s="546"/>
      <c r="AF608" s="547"/>
      <c r="AG608" s="545"/>
      <c r="AH608" s="546"/>
      <c r="AI608" s="546"/>
      <c r="AJ608" s="547"/>
      <c r="AK608" s="545"/>
      <c r="AL608" s="546"/>
      <c r="AM608" s="546"/>
      <c r="AN608" s="547"/>
      <c r="AO608" s="545"/>
      <c r="AP608" s="546"/>
      <c r="AQ608" s="546"/>
      <c r="AR608" s="547"/>
      <c r="AS608" s="545"/>
      <c r="AT608" s="546"/>
      <c r="AU608" s="546"/>
      <c r="AV608" s="547"/>
      <c r="AW608" s="545"/>
      <c r="AX608" s="546"/>
      <c r="AY608" s="546"/>
      <c r="AZ608" s="547"/>
      <c r="BJ608" s="217"/>
      <c r="BK608" s="164"/>
      <c r="BL608" s="165"/>
      <c r="BM608" s="165"/>
      <c r="BN608" s="165"/>
      <c r="BO608" s="165"/>
      <c r="BP608" s="165"/>
      <c r="BQ608" s="165"/>
      <c r="BR608" s="165"/>
      <c r="BS608" s="165"/>
      <c r="BT608" s="165"/>
      <c r="BU608" s="165"/>
      <c r="BV608" s="165"/>
      <c r="BW608" s="165"/>
      <c r="BX608" s="165"/>
      <c r="BY608" s="165"/>
      <c r="BZ608" s="165"/>
      <c r="CA608" s="165"/>
      <c r="CB608" s="217"/>
    </row>
    <row r="609" spans="1:107">
      <c r="A609" s="107"/>
      <c r="B609" s="107"/>
      <c r="C609" s="107"/>
      <c r="D609" s="107"/>
      <c r="E609" s="548"/>
      <c r="F609" s="549"/>
      <c r="G609" s="549"/>
      <c r="H609" s="550"/>
      <c r="I609" s="540"/>
      <c r="J609" s="541"/>
      <c r="K609" s="541"/>
      <c r="L609" s="542"/>
      <c r="M609" s="540"/>
      <c r="N609" s="541"/>
      <c r="O609" s="541"/>
      <c r="P609" s="542"/>
      <c r="Q609" s="540"/>
      <c r="R609" s="541"/>
      <c r="S609" s="541"/>
      <c r="T609" s="542"/>
      <c r="U609" s="540"/>
      <c r="V609" s="541"/>
      <c r="W609" s="541"/>
      <c r="X609" s="542"/>
      <c r="Y609" s="540"/>
      <c r="Z609" s="541"/>
      <c r="AA609" s="541"/>
      <c r="AB609" s="542"/>
      <c r="AC609" s="540"/>
      <c r="AD609" s="541"/>
      <c r="AE609" s="541"/>
      <c r="AF609" s="542"/>
      <c r="AG609" s="540"/>
      <c r="AH609" s="541"/>
      <c r="AI609" s="541"/>
      <c r="AJ609" s="542"/>
      <c r="AK609" s="540"/>
      <c r="AL609" s="541"/>
      <c r="AM609" s="541"/>
      <c r="AN609" s="542"/>
      <c r="AO609" s="540"/>
      <c r="AP609" s="541"/>
      <c r="AQ609" s="541"/>
      <c r="AR609" s="542"/>
      <c r="AS609" s="540"/>
      <c r="AT609" s="541"/>
      <c r="AU609" s="541"/>
      <c r="AV609" s="542"/>
      <c r="AW609" s="540"/>
      <c r="AX609" s="541"/>
      <c r="AY609" s="541"/>
      <c r="AZ609" s="542"/>
      <c r="BJ609" s="217"/>
      <c r="BK609" s="164"/>
      <c r="BL609" s="165"/>
      <c r="BM609" s="165"/>
      <c r="BN609" s="165"/>
      <c r="BO609" s="165"/>
      <c r="BP609" s="165"/>
      <c r="BQ609" s="165"/>
      <c r="BR609" s="165"/>
      <c r="BS609" s="165"/>
      <c r="BT609" s="165"/>
      <c r="BU609" s="165"/>
      <c r="BV609" s="165"/>
      <c r="BW609" s="165"/>
      <c r="BX609" s="165"/>
      <c r="BY609" s="165"/>
      <c r="BZ609" s="165"/>
      <c r="CA609" s="165"/>
      <c r="CB609" s="217"/>
    </row>
    <row r="610" spans="1:107">
      <c r="A610" s="107"/>
      <c r="B610" s="107"/>
      <c r="C610" s="107"/>
      <c r="D610" s="107"/>
      <c r="E610" s="551"/>
      <c r="F610" s="552"/>
      <c r="G610" s="552"/>
      <c r="H610" s="553"/>
      <c r="I610" s="545"/>
      <c r="J610" s="546"/>
      <c r="K610" s="546"/>
      <c r="L610" s="547"/>
      <c r="M610" s="545"/>
      <c r="N610" s="546"/>
      <c r="O610" s="546"/>
      <c r="P610" s="547"/>
      <c r="Q610" s="545"/>
      <c r="R610" s="546"/>
      <c r="S610" s="546"/>
      <c r="T610" s="547"/>
      <c r="U610" s="545"/>
      <c r="V610" s="546"/>
      <c r="W610" s="546"/>
      <c r="X610" s="547"/>
      <c r="Y610" s="545"/>
      <c r="Z610" s="546"/>
      <c r="AA610" s="546"/>
      <c r="AB610" s="547"/>
      <c r="AC610" s="545"/>
      <c r="AD610" s="546"/>
      <c r="AE610" s="546"/>
      <c r="AF610" s="547"/>
      <c r="AG610" s="545"/>
      <c r="AH610" s="546"/>
      <c r="AI610" s="546"/>
      <c r="AJ610" s="547"/>
      <c r="AK610" s="545"/>
      <c r="AL610" s="546"/>
      <c r="AM610" s="546"/>
      <c r="AN610" s="547"/>
      <c r="AO610" s="545"/>
      <c r="AP610" s="546"/>
      <c r="AQ610" s="546"/>
      <c r="AR610" s="547"/>
      <c r="AS610" s="545"/>
      <c r="AT610" s="546"/>
      <c r="AU610" s="546"/>
      <c r="AV610" s="547"/>
      <c r="AW610" s="545"/>
      <c r="AX610" s="546"/>
      <c r="AY610" s="546"/>
      <c r="AZ610" s="547"/>
      <c r="BJ610" s="217"/>
      <c r="BK610" s="164"/>
      <c r="BL610" s="165"/>
      <c r="BM610" s="165"/>
      <c r="BN610" s="165"/>
      <c r="BO610" s="165"/>
      <c r="BP610" s="165"/>
      <c r="BQ610" s="165"/>
      <c r="BR610" s="165"/>
      <c r="BS610" s="165"/>
      <c r="BT610" s="165"/>
      <c r="BU610" s="165"/>
      <c r="BV610" s="165"/>
      <c r="BW610" s="165"/>
      <c r="BX610" s="165"/>
      <c r="BY610" s="165"/>
      <c r="BZ610" s="165"/>
      <c r="CA610" s="165"/>
      <c r="CB610" s="217"/>
    </row>
    <row r="611" spans="1:107" s="105" customFormat="1">
      <c r="A611" s="107"/>
      <c r="B611" s="107"/>
      <c r="C611" s="107"/>
      <c r="D611" s="107"/>
      <c r="E611" s="548"/>
      <c r="F611" s="549"/>
      <c r="G611" s="549"/>
      <c r="H611" s="550"/>
      <c r="I611" s="540"/>
      <c r="J611" s="541"/>
      <c r="K611" s="541"/>
      <c r="L611" s="542"/>
      <c r="M611" s="540"/>
      <c r="N611" s="541"/>
      <c r="O611" s="541"/>
      <c r="P611" s="542"/>
      <c r="Q611" s="540"/>
      <c r="R611" s="541"/>
      <c r="S611" s="541"/>
      <c r="T611" s="542"/>
      <c r="U611" s="540"/>
      <c r="V611" s="541"/>
      <c r="W611" s="541"/>
      <c r="X611" s="542"/>
      <c r="Y611" s="540"/>
      <c r="Z611" s="541"/>
      <c r="AA611" s="541"/>
      <c r="AB611" s="542"/>
      <c r="AC611" s="540"/>
      <c r="AD611" s="541"/>
      <c r="AE611" s="541"/>
      <c r="AF611" s="542"/>
      <c r="AG611" s="540"/>
      <c r="AH611" s="541"/>
      <c r="AI611" s="541"/>
      <c r="AJ611" s="542"/>
      <c r="AK611" s="540"/>
      <c r="AL611" s="541"/>
      <c r="AM611" s="541"/>
      <c r="AN611" s="542"/>
      <c r="AO611" s="540"/>
      <c r="AP611" s="541"/>
      <c r="AQ611" s="541"/>
      <c r="AR611" s="542"/>
      <c r="AS611" s="540"/>
      <c r="AT611" s="541"/>
      <c r="AU611" s="541"/>
      <c r="AV611" s="542"/>
      <c r="AW611" s="540"/>
      <c r="AX611" s="541"/>
      <c r="AY611" s="541"/>
      <c r="AZ611" s="542"/>
      <c r="BG611" s="88"/>
      <c r="BH611" s="88"/>
      <c r="BI611" s="88"/>
      <c r="BJ611" s="217"/>
      <c r="BK611" s="164"/>
      <c r="BL611" s="165"/>
      <c r="BM611" s="165"/>
      <c r="BN611" s="165"/>
      <c r="BO611" s="165"/>
      <c r="BP611" s="165"/>
      <c r="BQ611" s="165"/>
      <c r="BR611" s="165"/>
      <c r="BS611" s="165"/>
      <c r="BT611" s="165"/>
      <c r="BU611" s="165"/>
      <c r="BV611" s="165"/>
      <c r="BW611" s="165"/>
      <c r="BX611" s="165"/>
      <c r="BY611" s="165"/>
      <c r="BZ611" s="165"/>
      <c r="CA611" s="165"/>
      <c r="CB611" s="217"/>
      <c r="CC611" s="88"/>
      <c r="CD611" s="88"/>
      <c r="CE611" s="88"/>
      <c r="CF611" s="89"/>
      <c r="CG611" s="90"/>
      <c r="CH611" s="90"/>
      <c r="CI611" s="90"/>
      <c r="CJ611" s="90"/>
      <c r="CK611" s="90"/>
      <c r="CL611" s="90"/>
      <c r="CM611" s="90"/>
      <c r="CN611" s="90"/>
      <c r="CO611" s="90"/>
      <c r="CP611" s="90"/>
      <c r="CQ611" s="90"/>
      <c r="CR611" s="90"/>
      <c r="CS611" s="90"/>
      <c r="CT611" s="90"/>
      <c r="CU611" s="90"/>
      <c r="CV611" s="90"/>
      <c r="CW611" s="90"/>
      <c r="CX611" s="90"/>
      <c r="CY611" s="90"/>
      <c r="CZ611" s="90"/>
      <c r="DA611" s="90"/>
      <c r="DB611" s="91"/>
      <c r="DC611" s="91"/>
    </row>
    <row r="612" spans="1:107">
      <c r="A612" s="107"/>
      <c r="B612" s="107"/>
      <c r="C612" s="107"/>
      <c r="D612" s="107"/>
      <c r="E612" s="551"/>
      <c r="F612" s="552"/>
      <c r="G612" s="552"/>
      <c r="H612" s="553"/>
      <c r="I612" s="545"/>
      <c r="J612" s="546"/>
      <c r="K612" s="546"/>
      <c r="L612" s="547"/>
      <c r="M612" s="545"/>
      <c r="N612" s="546"/>
      <c r="O612" s="546"/>
      <c r="P612" s="547"/>
      <c r="Q612" s="545"/>
      <c r="R612" s="546"/>
      <c r="S612" s="546"/>
      <c r="T612" s="547"/>
      <c r="U612" s="545"/>
      <c r="V612" s="546"/>
      <c r="W612" s="546"/>
      <c r="X612" s="547"/>
      <c r="Y612" s="545"/>
      <c r="Z612" s="546"/>
      <c r="AA612" s="546"/>
      <c r="AB612" s="547"/>
      <c r="AC612" s="545"/>
      <c r="AD612" s="546"/>
      <c r="AE612" s="546"/>
      <c r="AF612" s="547"/>
      <c r="AG612" s="545"/>
      <c r="AH612" s="546"/>
      <c r="AI612" s="546"/>
      <c r="AJ612" s="547"/>
      <c r="AK612" s="545"/>
      <c r="AL612" s="546"/>
      <c r="AM612" s="546"/>
      <c r="AN612" s="547"/>
      <c r="AO612" s="545"/>
      <c r="AP612" s="546"/>
      <c r="AQ612" s="546"/>
      <c r="AR612" s="547"/>
      <c r="AS612" s="545"/>
      <c r="AT612" s="546"/>
      <c r="AU612" s="546"/>
      <c r="AV612" s="547"/>
      <c r="AW612" s="545"/>
      <c r="AX612" s="546"/>
      <c r="AY612" s="546"/>
      <c r="AZ612" s="547"/>
      <c r="BJ612" s="217"/>
      <c r="BK612" s="164"/>
      <c r="BL612" s="165"/>
      <c r="BM612" s="165"/>
      <c r="BN612" s="165"/>
      <c r="BO612" s="165"/>
      <c r="BP612" s="165"/>
      <c r="BQ612" s="165"/>
      <c r="BR612" s="165"/>
      <c r="BS612" s="165"/>
      <c r="BT612" s="165"/>
      <c r="BU612" s="165"/>
      <c r="BV612" s="165"/>
      <c r="BW612" s="165"/>
      <c r="BX612" s="165"/>
      <c r="BY612" s="165"/>
      <c r="BZ612" s="165"/>
      <c r="CA612" s="165"/>
      <c r="CB612" s="217"/>
    </row>
    <row r="613" spans="1:107" s="105" customFormat="1">
      <c r="A613" s="107"/>
      <c r="B613" s="107"/>
      <c r="C613" s="107"/>
      <c r="D613" s="107"/>
      <c r="E613" s="548"/>
      <c r="F613" s="549"/>
      <c r="G613" s="549"/>
      <c r="H613" s="550"/>
      <c r="I613" s="540"/>
      <c r="J613" s="541"/>
      <c r="K613" s="541"/>
      <c r="L613" s="542"/>
      <c r="M613" s="540"/>
      <c r="N613" s="541"/>
      <c r="O613" s="541"/>
      <c r="P613" s="542"/>
      <c r="Q613" s="540"/>
      <c r="R613" s="541"/>
      <c r="S613" s="541"/>
      <c r="T613" s="542"/>
      <c r="U613" s="540"/>
      <c r="V613" s="541"/>
      <c r="W613" s="541"/>
      <c r="X613" s="542"/>
      <c r="Y613" s="540"/>
      <c r="Z613" s="541"/>
      <c r="AA613" s="541"/>
      <c r="AB613" s="542"/>
      <c r="AC613" s="540"/>
      <c r="AD613" s="541"/>
      <c r="AE613" s="541"/>
      <c r="AF613" s="542"/>
      <c r="AG613" s="540"/>
      <c r="AH613" s="541"/>
      <c r="AI613" s="541"/>
      <c r="AJ613" s="542"/>
      <c r="AK613" s="540"/>
      <c r="AL613" s="541"/>
      <c r="AM613" s="541"/>
      <c r="AN613" s="542"/>
      <c r="AO613" s="540"/>
      <c r="AP613" s="541"/>
      <c r="AQ613" s="541"/>
      <c r="AR613" s="542"/>
      <c r="AS613" s="540"/>
      <c r="AT613" s="541"/>
      <c r="AU613" s="541"/>
      <c r="AV613" s="542"/>
      <c r="AW613" s="540"/>
      <c r="AX613" s="541"/>
      <c r="AY613" s="541"/>
      <c r="AZ613" s="542"/>
      <c r="BG613" s="88"/>
      <c r="BH613" s="88"/>
      <c r="BI613" s="88"/>
      <c r="BJ613" s="217"/>
      <c r="BK613" s="164"/>
      <c r="BL613" s="165"/>
      <c r="BM613" s="165"/>
      <c r="BN613" s="165"/>
      <c r="BO613" s="165"/>
      <c r="BP613" s="165"/>
      <c r="BQ613" s="165"/>
      <c r="BR613" s="165"/>
      <c r="BS613" s="165"/>
      <c r="BT613" s="165"/>
      <c r="BU613" s="165"/>
      <c r="BV613" s="165"/>
      <c r="BW613" s="165"/>
      <c r="BX613" s="165"/>
      <c r="BY613" s="165"/>
      <c r="BZ613" s="165"/>
      <c r="CA613" s="165"/>
      <c r="CB613" s="217"/>
      <c r="CC613" s="88"/>
      <c r="CD613" s="88"/>
      <c r="CE613" s="88"/>
      <c r="CF613" s="89"/>
      <c r="CG613" s="90"/>
      <c r="CH613" s="90"/>
      <c r="CI613" s="90"/>
      <c r="CJ613" s="90"/>
      <c r="CK613" s="90"/>
      <c r="CL613" s="90"/>
      <c r="CM613" s="90"/>
      <c r="CN613" s="90"/>
      <c r="CO613" s="90"/>
      <c r="CP613" s="90"/>
      <c r="CQ613" s="90"/>
      <c r="CR613" s="90"/>
      <c r="CS613" s="90"/>
      <c r="CT613" s="90"/>
      <c r="CU613" s="90"/>
      <c r="CV613" s="90"/>
      <c r="CW613" s="90"/>
      <c r="CX613" s="90"/>
      <c r="CY613" s="90"/>
      <c r="CZ613" s="90"/>
      <c r="DA613" s="90"/>
      <c r="DB613" s="91"/>
      <c r="DC613" s="91"/>
    </row>
    <row r="614" spans="1:107">
      <c r="A614" s="107"/>
      <c r="B614" s="107"/>
      <c r="C614" s="107"/>
      <c r="D614" s="107"/>
      <c r="E614" s="551"/>
      <c r="F614" s="552"/>
      <c r="G614" s="552"/>
      <c r="H614" s="553"/>
      <c r="I614" s="545"/>
      <c r="J614" s="546"/>
      <c r="K614" s="546"/>
      <c r="L614" s="547"/>
      <c r="M614" s="545"/>
      <c r="N614" s="546"/>
      <c r="O614" s="546"/>
      <c r="P614" s="547"/>
      <c r="Q614" s="545"/>
      <c r="R614" s="546"/>
      <c r="S614" s="546"/>
      <c r="T614" s="547"/>
      <c r="U614" s="545"/>
      <c r="V614" s="546"/>
      <c r="W614" s="546"/>
      <c r="X614" s="547"/>
      <c r="Y614" s="545"/>
      <c r="Z614" s="546"/>
      <c r="AA614" s="546"/>
      <c r="AB614" s="547"/>
      <c r="AC614" s="545"/>
      <c r="AD614" s="546"/>
      <c r="AE614" s="546"/>
      <c r="AF614" s="547"/>
      <c r="AG614" s="545"/>
      <c r="AH614" s="546"/>
      <c r="AI614" s="546"/>
      <c r="AJ614" s="547"/>
      <c r="AK614" s="545"/>
      <c r="AL614" s="546"/>
      <c r="AM614" s="546"/>
      <c r="AN614" s="547"/>
      <c r="AO614" s="545"/>
      <c r="AP614" s="546"/>
      <c r="AQ614" s="546"/>
      <c r="AR614" s="547"/>
      <c r="AS614" s="545"/>
      <c r="AT614" s="546"/>
      <c r="AU614" s="546"/>
      <c r="AV614" s="547"/>
      <c r="AW614" s="545"/>
      <c r="AX614" s="546"/>
      <c r="AY614" s="546"/>
      <c r="AZ614" s="547"/>
      <c r="BJ614" s="217"/>
      <c r="BK614" s="164"/>
      <c r="BL614" s="165"/>
      <c r="BM614" s="165"/>
      <c r="BN614" s="165"/>
      <c r="BO614" s="165"/>
      <c r="BP614" s="165"/>
      <c r="BQ614" s="165"/>
      <c r="BR614" s="165"/>
      <c r="BS614" s="165"/>
      <c r="BT614" s="165"/>
      <c r="BU614" s="165"/>
      <c r="BV614" s="165"/>
      <c r="BW614" s="165"/>
      <c r="BX614" s="165"/>
      <c r="BY614" s="165"/>
      <c r="BZ614" s="165"/>
      <c r="CA614" s="165"/>
      <c r="CB614" s="217"/>
    </row>
    <row r="615" spans="1:107" s="105" customFormat="1">
      <c r="A615" s="107"/>
      <c r="B615" s="107"/>
      <c r="C615" s="107"/>
      <c r="D615" s="107"/>
      <c r="E615" s="548"/>
      <c r="F615" s="549"/>
      <c r="G615" s="549"/>
      <c r="H615" s="550"/>
      <c r="I615" s="540"/>
      <c r="J615" s="541"/>
      <c r="K615" s="541"/>
      <c r="L615" s="542"/>
      <c r="M615" s="540"/>
      <c r="N615" s="541"/>
      <c r="O615" s="541"/>
      <c r="P615" s="542"/>
      <c r="Q615" s="540"/>
      <c r="R615" s="541"/>
      <c r="S615" s="541"/>
      <c r="T615" s="542"/>
      <c r="U615" s="540"/>
      <c r="V615" s="541"/>
      <c r="W615" s="541"/>
      <c r="X615" s="542"/>
      <c r="Y615" s="540"/>
      <c r="Z615" s="541"/>
      <c r="AA615" s="541"/>
      <c r="AB615" s="542"/>
      <c r="AC615" s="540"/>
      <c r="AD615" s="541"/>
      <c r="AE615" s="541"/>
      <c r="AF615" s="542"/>
      <c r="AG615" s="540"/>
      <c r="AH615" s="541"/>
      <c r="AI615" s="541"/>
      <c r="AJ615" s="542"/>
      <c r="AK615" s="540"/>
      <c r="AL615" s="541"/>
      <c r="AM615" s="541"/>
      <c r="AN615" s="542"/>
      <c r="AO615" s="540"/>
      <c r="AP615" s="541"/>
      <c r="AQ615" s="541"/>
      <c r="AR615" s="542"/>
      <c r="AS615" s="540"/>
      <c r="AT615" s="541"/>
      <c r="AU615" s="541"/>
      <c r="AV615" s="542"/>
      <c r="AW615" s="540"/>
      <c r="AX615" s="541"/>
      <c r="AY615" s="541"/>
      <c r="AZ615" s="542"/>
      <c r="BG615" s="88"/>
      <c r="BH615" s="88"/>
      <c r="BI615" s="88"/>
      <c r="BJ615" s="217"/>
      <c r="BK615" s="164"/>
      <c r="BL615" s="165"/>
      <c r="BM615" s="165"/>
      <c r="BN615" s="165"/>
      <c r="BO615" s="165"/>
      <c r="BP615" s="165"/>
      <c r="BQ615" s="165"/>
      <c r="BR615" s="165"/>
      <c r="BS615" s="165"/>
      <c r="BT615" s="165"/>
      <c r="BU615" s="165"/>
      <c r="BV615" s="165"/>
      <c r="BW615" s="165"/>
      <c r="BX615" s="165"/>
      <c r="BY615" s="165"/>
      <c r="BZ615" s="165"/>
      <c r="CA615" s="165"/>
      <c r="CB615" s="217"/>
      <c r="CC615" s="88"/>
      <c r="CD615" s="88"/>
      <c r="CE615" s="88"/>
      <c r="CF615" s="89"/>
      <c r="CG615" s="90"/>
      <c r="CH615" s="90"/>
      <c r="CI615" s="90"/>
      <c r="CJ615" s="90"/>
      <c r="CK615" s="90"/>
      <c r="CL615" s="90"/>
      <c r="CM615" s="90"/>
      <c r="CN615" s="90"/>
      <c r="CO615" s="90"/>
      <c r="CP615" s="90"/>
      <c r="CQ615" s="90"/>
      <c r="CR615" s="90"/>
      <c r="CS615" s="90"/>
      <c r="CT615" s="90"/>
      <c r="CU615" s="90"/>
      <c r="CV615" s="90"/>
      <c r="CW615" s="90"/>
      <c r="CX615" s="90"/>
      <c r="CY615" s="90"/>
      <c r="CZ615" s="90"/>
      <c r="DA615" s="90"/>
      <c r="DB615" s="91"/>
      <c r="DC615" s="91"/>
    </row>
    <row r="616" spans="1:107">
      <c r="A616" s="107"/>
      <c r="B616" s="107"/>
      <c r="C616" s="107"/>
      <c r="D616" s="107"/>
      <c r="E616" s="551"/>
      <c r="F616" s="552"/>
      <c r="G616" s="552"/>
      <c r="H616" s="553"/>
      <c r="I616" s="545"/>
      <c r="J616" s="546"/>
      <c r="K616" s="546"/>
      <c r="L616" s="547"/>
      <c r="M616" s="545"/>
      <c r="N616" s="546"/>
      <c r="O616" s="546"/>
      <c r="P616" s="547"/>
      <c r="Q616" s="545"/>
      <c r="R616" s="546"/>
      <c r="S616" s="546"/>
      <c r="T616" s="547"/>
      <c r="U616" s="545"/>
      <c r="V616" s="546"/>
      <c r="W616" s="546"/>
      <c r="X616" s="547"/>
      <c r="Y616" s="545"/>
      <c r="Z616" s="546"/>
      <c r="AA616" s="546"/>
      <c r="AB616" s="547"/>
      <c r="AC616" s="545"/>
      <c r="AD616" s="546"/>
      <c r="AE616" s="546"/>
      <c r="AF616" s="547"/>
      <c r="AG616" s="545"/>
      <c r="AH616" s="546"/>
      <c r="AI616" s="546"/>
      <c r="AJ616" s="547"/>
      <c r="AK616" s="545"/>
      <c r="AL616" s="546"/>
      <c r="AM616" s="546"/>
      <c r="AN616" s="547"/>
      <c r="AO616" s="545"/>
      <c r="AP616" s="546"/>
      <c r="AQ616" s="546"/>
      <c r="AR616" s="547"/>
      <c r="AS616" s="545"/>
      <c r="AT616" s="546"/>
      <c r="AU616" s="546"/>
      <c r="AV616" s="547"/>
      <c r="AW616" s="545"/>
      <c r="AX616" s="546"/>
      <c r="AY616" s="546"/>
      <c r="AZ616" s="547"/>
      <c r="BJ616" s="217"/>
      <c r="BK616" s="164"/>
      <c r="BL616" s="165"/>
      <c r="BM616" s="165"/>
      <c r="BN616" s="165"/>
      <c r="BO616" s="165"/>
      <c r="BP616" s="165"/>
      <c r="BQ616" s="165"/>
      <c r="BR616" s="165"/>
      <c r="BS616" s="165"/>
      <c r="BT616" s="165"/>
      <c r="BU616" s="165"/>
      <c r="BV616" s="165"/>
      <c r="BW616" s="165"/>
      <c r="BX616" s="165"/>
      <c r="BY616" s="165"/>
      <c r="BZ616" s="165"/>
      <c r="CA616" s="165"/>
      <c r="CB616" s="217"/>
    </row>
    <row r="617" spans="1:107" s="105" customFormat="1">
      <c r="A617" s="107"/>
      <c r="B617" s="107"/>
      <c r="C617" s="107"/>
      <c r="D617" s="107"/>
      <c r="E617" s="557"/>
      <c r="F617" s="558"/>
      <c r="G617" s="558"/>
      <c r="H617" s="559"/>
      <c r="I617" s="540"/>
      <c r="J617" s="541"/>
      <c r="K617" s="541"/>
      <c r="L617" s="542"/>
      <c r="M617" s="540"/>
      <c r="N617" s="541"/>
      <c r="O617" s="541"/>
      <c r="P617" s="542"/>
      <c r="Q617" s="540"/>
      <c r="R617" s="541"/>
      <c r="S617" s="541"/>
      <c r="T617" s="542"/>
      <c r="U617" s="540"/>
      <c r="V617" s="541"/>
      <c r="W617" s="541"/>
      <c r="X617" s="542"/>
      <c r="Y617" s="540"/>
      <c r="Z617" s="541"/>
      <c r="AA617" s="541"/>
      <c r="AB617" s="542"/>
      <c r="AC617" s="540"/>
      <c r="AD617" s="541"/>
      <c r="AE617" s="541"/>
      <c r="AF617" s="542"/>
      <c r="AG617" s="540"/>
      <c r="AH617" s="541"/>
      <c r="AI617" s="541"/>
      <c r="AJ617" s="542"/>
      <c r="AK617" s="540"/>
      <c r="AL617" s="541"/>
      <c r="AM617" s="541"/>
      <c r="AN617" s="542"/>
      <c r="AO617" s="540"/>
      <c r="AP617" s="541"/>
      <c r="AQ617" s="541"/>
      <c r="AR617" s="542"/>
      <c r="AS617" s="540"/>
      <c r="AT617" s="541"/>
      <c r="AU617" s="541"/>
      <c r="AV617" s="542"/>
      <c r="AW617" s="540"/>
      <c r="AX617" s="541"/>
      <c r="AY617" s="541"/>
      <c r="AZ617" s="542"/>
      <c r="BG617" s="88"/>
      <c r="BH617" s="88"/>
      <c r="BI617" s="88"/>
      <c r="BJ617" s="217"/>
      <c r="BK617" s="164"/>
      <c r="BL617" s="165"/>
      <c r="BM617" s="165"/>
      <c r="BN617" s="165"/>
      <c r="BO617" s="165"/>
      <c r="BP617" s="165"/>
      <c r="BQ617" s="165"/>
      <c r="BR617" s="165"/>
      <c r="BS617" s="165"/>
      <c r="BT617" s="165"/>
      <c r="BU617" s="165"/>
      <c r="BV617" s="165"/>
      <c r="BW617" s="165"/>
      <c r="BX617" s="165"/>
      <c r="BY617" s="165"/>
      <c r="BZ617" s="165"/>
      <c r="CA617" s="165"/>
      <c r="CB617" s="217"/>
      <c r="CC617" s="88"/>
      <c r="CD617" s="88"/>
      <c r="CE617" s="88"/>
      <c r="CF617" s="89"/>
      <c r="CG617" s="90"/>
      <c r="CH617" s="90"/>
      <c r="CI617" s="90"/>
      <c r="CJ617" s="90"/>
      <c r="CK617" s="90"/>
      <c r="CL617" s="90"/>
      <c r="CM617" s="90"/>
      <c r="CN617" s="90"/>
      <c r="CO617" s="90"/>
      <c r="CP617" s="90"/>
      <c r="CQ617" s="90"/>
      <c r="CR617" s="90"/>
      <c r="CS617" s="90"/>
      <c r="CT617" s="90"/>
      <c r="CU617" s="90"/>
      <c r="CV617" s="90"/>
      <c r="CW617" s="90"/>
      <c r="CX617" s="90"/>
      <c r="CY617" s="90"/>
      <c r="CZ617" s="90"/>
      <c r="DA617" s="90"/>
      <c r="DB617" s="91"/>
      <c r="DC617" s="91"/>
    </row>
    <row r="618" spans="1:107">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c r="AD618" s="107"/>
      <c r="AE618" s="107"/>
      <c r="AF618" s="107"/>
      <c r="AG618" s="107"/>
      <c r="AH618" s="107"/>
      <c r="AI618" s="107"/>
      <c r="AJ618" s="107"/>
      <c r="AK618" s="107"/>
      <c r="AL618" s="107"/>
      <c r="AM618" s="107"/>
      <c r="AN618" s="107"/>
      <c r="AO618" s="107"/>
      <c r="AP618" s="107"/>
      <c r="AQ618" s="107"/>
      <c r="AR618" s="107"/>
      <c r="AS618" s="107"/>
      <c r="AT618" s="107"/>
      <c r="AU618" s="107"/>
      <c r="AV618" s="107"/>
      <c r="AW618" s="107"/>
      <c r="BJ618" s="217"/>
      <c r="BK618" s="164"/>
      <c r="BL618" s="165"/>
      <c r="BM618" s="165"/>
      <c r="BN618" s="165"/>
      <c r="BO618" s="165"/>
      <c r="BP618" s="165"/>
      <c r="BQ618" s="165"/>
      <c r="BR618" s="165"/>
      <c r="BS618" s="165"/>
      <c r="BT618" s="165"/>
      <c r="BU618" s="165"/>
      <c r="BV618" s="165"/>
      <c r="BW618" s="165"/>
      <c r="BX618" s="165"/>
      <c r="BY618" s="165"/>
      <c r="BZ618" s="165"/>
      <c r="CA618" s="165"/>
      <c r="CB618" s="217"/>
    </row>
    <row r="619" spans="1:107" s="105" customFormat="1">
      <c r="A619" s="103"/>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c r="AD619" s="107"/>
      <c r="AE619" s="107"/>
      <c r="AF619" s="107"/>
      <c r="AG619" s="107"/>
      <c r="AH619" s="107"/>
      <c r="AI619" s="107"/>
      <c r="AJ619" s="107"/>
      <c r="AK619" s="107"/>
      <c r="AL619" s="107"/>
      <c r="AM619" s="107"/>
      <c r="AN619" s="107"/>
      <c r="AO619" s="107"/>
      <c r="AP619" s="107"/>
      <c r="AQ619" s="107"/>
      <c r="AR619" s="107"/>
      <c r="AS619" s="107"/>
      <c r="AT619" s="107"/>
      <c r="AU619" s="107"/>
      <c r="AV619" s="107"/>
      <c r="BG619" s="88"/>
      <c r="BH619" s="88"/>
      <c r="BI619" s="88"/>
      <c r="BJ619" s="217"/>
      <c r="BK619" s="164"/>
      <c r="BL619" s="165"/>
      <c r="BM619" s="165"/>
      <c r="BN619" s="165"/>
      <c r="BO619" s="165"/>
      <c r="BP619" s="165"/>
      <c r="BQ619" s="165"/>
      <c r="BR619" s="165"/>
      <c r="BS619" s="165"/>
      <c r="BT619" s="165"/>
      <c r="BU619" s="165"/>
      <c r="BV619" s="165"/>
      <c r="BW619" s="165"/>
      <c r="BX619" s="165"/>
      <c r="BY619" s="165"/>
      <c r="BZ619" s="165"/>
      <c r="CA619" s="165"/>
      <c r="CB619" s="217"/>
      <c r="CC619" s="88"/>
      <c r="CD619" s="88"/>
      <c r="CE619" s="88"/>
      <c r="CF619" s="89"/>
      <c r="CG619" s="90"/>
      <c r="CH619" s="90"/>
      <c r="CI619" s="90"/>
      <c r="CJ619" s="90"/>
      <c r="CK619" s="90"/>
      <c r="CL619" s="90"/>
      <c r="CM619" s="90"/>
      <c r="CN619" s="90"/>
      <c r="CO619" s="90"/>
      <c r="CP619" s="90"/>
      <c r="CQ619" s="90"/>
      <c r="CR619" s="90"/>
      <c r="CS619" s="90"/>
      <c r="CT619" s="90"/>
      <c r="CU619" s="90"/>
      <c r="CV619" s="90"/>
      <c r="CW619" s="90"/>
      <c r="CX619" s="90"/>
      <c r="CY619" s="90"/>
      <c r="CZ619" s="90"/>
      <c r="DA619" s="90"/>
      <c r="DB619" s="91"/>
      <c r="DC619" s="91"/>
    </row>
    <row r="620" spans="1:107">
      <c r="A620" s="557"/>
      <c r="B620" s="558"/>
      <c r="C620" s="558"/>
      <c r="D620" s="559"/>
      <c r="E620" s="557"/>
      <c r="F620" s="558"/>
      <c r="G620" s="558"/>
      <c r="H620" s="559"/>
      <c r="I620" s="554"/>
      <c r="J620" s="555"/>
      <c r="K620" s="555"/>
      <c r="L620" s="556"/>
      <c r="M620" s="554"/>
      <c r="N620" s="555"/>
      <c r="O620" s="555"/>
      <c r="P620" s="556"/>
      <c r="Q620" s="554"/>
      <c r="R620" s="555"/>
      <c r="S620" s="555"/>
      <c r="T620" s="556"/>
      <c r="U620" s="554"/>
      <c r="V620" s="555"/>
      <c r="W620" s="555"/>
      <c r="X620" s="556"/>
      <c r="Y620" s="554"/>
      <c r="Z620" s="555"/>
      <c r="AA620" s="555"/>
      <c r="AB620" s="556"/>
      <c r="AC620" s="554"/>
      <c r="AD620" s="555"/>
      <c r="AE620" s="555"/>
      <c r="AF620" s="556"/>
      <c r="AG620" s="554"/>
      <c r="AH620" s="555"/>
      <c r="AI620" s="555"/>
      <c r="AJ620" s="556"/>
      <c r="AK620" s="554"/>
      <c r="AL620" s="555"/>
      <c r="AM620" s="555"/>
      <c r="AN620" s="556"/>
      <c r="AO620" s="554"/>
      <c r="AP620" s="555"/>
      <c r="AQ620" s="555"/>
      <c r="AR620" s="556"/>
      <c r="AS620" s="554"/>
      <c r="AT620" s="555"/>
      <c r="AU620" s="555"/>
      <c r="AV620" s="556"/>
      <c r="AW620" s="554"/>
      <c r="AX620" s="555"/>
      <c r="AY620" s="555"/>
      <c r="AZ620" s="556"/>
      <c r="BJ620" s="217"/>
      <c r="BK620" s="164"/>
      <c r="BL620" s="165"/>
      <c r="BM620" s="165"/>
      <c r="BN620" s="165"/>
      <c r="BO620" s="165"/>
      <c r="BP620" s="165"/>
      <c r="BQ620" s="165"/>
      <c r="BR620" s="165"/>
      <c r="BS620" s="165"/>
      <c r="BT620" s="165"/>
      <c r="BU620" s="165"/>
      <c r="BV620" s="165"/>
      <c r="BW620" s="165"/>
      <c r="BX620" s="165"/>
      <c r="BY620" s="165"/>
      <c r="BZ620" s="165"/>
      <c r="CA620" s="165"/>
      <c r="CB620" s="217"/>
    </row>
    <row r="621" spans="1:107" s="105" customFormat="1">
      <c r="A621" s="548"/>
      <c r="B621" s="549"/>
      <c r="C621" s="549"/>
      <c r="D621" s="550"/>
      <c r="E621" s="548"/>
      <c r="F621" s="549"/>
      <c r="G621" s="549"/>
      <c r="H621" s="550"/>
      <c r="I621" s="540"/>
      <c r="J621" s="541"/>
      <c r="K621" s="541"/>
      <c r="L621" s="542"/>
      <c r="M621" s="540"/>
      <c r="N621" s="541"/>
      <c r="O621" s="541"/>
      <c r="P621" s="542"/>
      <c r="Q621" s="540"/>
      <c r="R621" s="541"/>
      <c r="S621" s="541"/>
      <c r="T621" s="542"/>
      <c r="U621" s="540"/>
      <c r="V621" s="541"/>
      <c r="W621" s="541"/>
      <c r="X621" s="542"/>
      <c r="Y621" s="540"/>
      <c r="Z621" s="541"/>
      <c r="AA621" s="541"/>
      <c r="AB621" s="542"/>
      <c r="AC621" s="540"/>
      <c r="AD621" s="541"/>
      <c r="AE621" s="541"/>
      <c r="AF621" s="542"/>
      <c r="AG621" s="540"/>
      <c r="AH621" s="541"/>
      <c r="AI621" s="541"/>
      <c r="AJ621" s="542"/>
      <c r="AK621" s="540"/>
      <c r="AL621" s="541"/>
      <c r="AM621" s="541"/>
      <c r="AN621" s="542"/>
      <c r="AO621" s="540"/>
      <c r="AP621" s="541"/>
      <c r="AQ621" s="541"/>
      <c r="AR621" s="542"/>
      <c r="AS621" s="540"/>
      <c r="AT621" s="541"/>
      <c r="AU621" s="541"/>
      <c r="AV621" s="542"/>
      <c r="AW621" s="540"/>
      <c r="AX621" s="541"/>
      <c r="AY621" s="541"/>
      <c r="AZ621" s="542"/>
      <c r="BG621" s="88"/>
      <c r="BH621" s="88"/>
      <c r="BI621" s="88"/>
      <c r="BJ621" s="217"/>
      <c r="BK621" s="164"/>
      <c r="BL621" s="165"/>
      <c r="BM621" s="165"/>
      <c r="BN621" s="165"/>
      <c r="BO621" s="165"/>
      <c r="BP621" s="165"/>
      <c r="BQ621" s="165"/>
      <c r="BR621" s="165"/>
      <c r="BS621" s="165"/>
      <c r="BT621" s="165"/>
      <c r="BU621" s="165"/>
      <c r="BV621" s="165"/>
      <c r="BW621" s="165"/>
      <c r="BX621" s="165"/>
      <c r="BY621" s="165"/>
      <c r="BZ621" s="165"/>
      <c r="CA621" s="165"/>
      <c r="CB621" s="217"/>
      <c r="CC621" s="88"/>
      <c r="CD621" s="88"/>
      <c r="CE621" s="88"/>
      <c r="CF621" s="89"/>
      <c r="CG621" s="90"/>
      <c r="CH621" s="90"/>
      <c r="CI621" s="90"/>
      <c r="CJ621" s="90"/>
      <c r="CK621" s="90"/>
      <c r="CL621" s="90"/>
      <c r="CM621" s="90"/>
      <c r="CN621" s="90"/>
      <c r="CO621" s="90"/>
      <c r="CP621" s="90"/>
      <c r="CQ621" s="90"/>
      <c r="CR621" s="90"/>
      <c r="CS621" s="90"/>
      <c r="CT621" s="90"/>
      <c r="CU621" s="90"/>
      <c r="CV621" s="90"/>
      <c r="CW621" s="90"/>
      <c r="CX621" s="90"/>
      <c r="CY621" s="90"/>
      <c r="CZ621" s="90"/>
      <c r="DA621" s="90"/>
      <c r="DB621" s="91"/>
      <c r="DC621" s="91"/>
    </row>
    <row r="622" spans="1:107">
      <c r="A622" s="551"/>
      <c r="B622" s="552"/>
      <c r="C622" s="552"/>
      <c r="D622" s="553"/>
      <c r="E622" s="551"/>
      <c r="F622" s="552"/>
      <c r="G622" s="552"/>
      <c r="H622" s="553"/>
      <c r="I622" s="545"/>
      <c r="J622" s="546"/>
      <c r="K622" s="546"/>
      <c r="L622" s="547"/>
      <c r="M622" s="545"/>
      <c r="N622" s="546"/>
      <c r="O622" s="546"/>
      <c r="P622" s="547"/>
      <c r="Q622" s="545"/>
      <c r="R622" s="546"/>
      <c r="S622" s="546"/>
      <c r="T622" s="547"/>
      <c r="U622" s="545"/>
      <c r="V622" s="546"/>
      <c r="W622" s="546"/>
      <c r="X622" s="547"/>
      <c r="Y622" s="545"/>
      <c r="Z622" s="546"/>
      <c r="AA622" s="546"/>
      <c r="AB622" s="547"/>
      <c r="AC622" s="545"/>
      <c r="AD622" s="546"/>
      <c r="AE622" s="546"/>
      <c r="AF622" s="547"/>
      <c r="AG622" s="545"/>
      <c r="AH622" s="546"/>
      <c r="AI622" s="546"/>
      <c r="AJ622" s="547"/>
      <c r="AK622" s="545"/>
      <c r="AL622" s="546"/>
      <c r="AM622" s="546"/>
      <c r="AN622" s="547"/>
      <c r="AO622" s="545"/>
      <c r="AP622" s="546"/>
      <c r="AQ622" s="546"/>
      <c r="AR622" s="547"/>
      <c r="AS622" s="545"/>
      <c r="AT622" s="546"/>
      <c r="AU622" s="546"/>
      <c r="AV622" s="547"/>
      <c r="AW622" s="545"/>
      <c r="AX622" s="546"/>
      <c r="AY622" s="546"/>
      <c r="AZ622" s="547"/>
      <c r="BJ622" s="217"/>
      <c r="BK622" s="164"/>
      <c r="BL622" s="165"/>
      <c r="BM622" s="165"/>
      <c r="BN622" s="165"/>
      <c r="BO622" s="165"/>
      <c r="BP622" s="165"/>
      <c r="BQ622" s="165"/>
      <c r="BR622" s="165"/>
      <c r="BS622" s="165"/>
      <c r="BT622" s="165"/>
      <c r="BU622" s="165"/>
      <c r="BV622" s="165"/>
      <c r="BW622" s="165"/>
      <c r="BX622" s="165"/>
      <c r="BY622" s="165"/>
      <c r="BZ622" s="165"/>
      <c r="CA622" s="165"/>
      <c r="CB622" s="217"/>
    </row>
    <row r="623" spans="1:107">
      <c r="A623" s="548"/>
      <c r="B623" s="549"/>
      <c r="C623" s="549"/>
      <c r="D623" s="550"/>
      <c r="E623" s="548"/>
      <c r="F623" s="549"/>
      <c r="G623" s="549"/>
      <c r="H623" s="550"/>
      <c r="I623" s="540"/>
      <c r="J623" s="541"/>
      <c r="K623" s="541"/>
      <c r="L623" s="542"/>
      <c r="M623" s="540"/>
      <c r="N623" s="541"/>
      <c r="O623" s="541"/>
      <c r="P623" s="542"/>
      <c r="Q623" s="540"/>
      <c r="R623" s="541"/>
      <c r="S623" s="541"/>
      <c r="T623" s="542"/>
      <c r="U623" s="540"/>
      <c r="V623" s="541"/>
      <c r="W623" s="541"/>
      <c r="X623" s="542"/>
      <c r="Y623" s="540"/>
      <c r="Z623" s="541"/>
      <c r="AA623" s="541"/>
      <c r="AB623" s="542"/>
      <c r="AC623" s="540"/>
      <c r="AD623" s="541"/>
      <c r="AE623" s="541"/>
      <c r="AF623" s="542"/>
      <c r="AG623" s="540"/>
      <c r="AH623" s="541"/>
      <c r="AI623" s="541"/>
      <c r="AJ623" s="542"/>
      <c r="AK623" s="540"/>
      <c r="AL623" s="541"/>
      <c r="AM623" s="541"/>
      <c r="AN623" s="542"/>
      <c r="AO623" s="540"/>
      <c r="AP623" s="541"/>
      <c r="AQ623" s="541"/>
      <c r="AR623" s="542"/>
      <c r="AS623" s="540"/>
      <c r="AT623" s="541"/>
      <c r="AU623" s="541"/>
      <c r="AV623" s="542"/>
      <c r="AW623" s="540"/>
      <c r="AX623" s="541"/>
      <c r="AY623" s="541"/>
      <c r="AZ623" s="542"/>
      <c r="BJ623" s="217"/>
      <c r="BK623" s="164"/>
      <c r="BL623" s="165"/>
      <c r="BM623" s="165"/>
      <c r="BN623" s="165"/>
      <c r="BO623" s="165"/>
      <c r="BP623" s="165"/>
      <c r="BQ623" s="165"/>
      <c r="BR623" s="165"/>
      <c r="BS623" s="165"/>
      <c r="BT623" s="165"/>
      <c r="BU623" s="165"/>
      <c r="BV623" s="165"/>
      <c r="BW623" s="165"/>
      <c r="BX623" s="165"/>
      <c r="BY623" s="165"/>
      <c r="BZ623" s="165"/>
      <c r="CA623" s="165"/>
      <c r="CB623" s="217"/>
    </row>
    <row r="624" spans="1:107">
      <c r="A624" s="551"/>
      <c r="B624" s="552"/>
      <c r="C624" s="552"/>
      <c r="D624" s="553"/>
      <c r="E624" s="551"/>
      <c r="F624" s="552"/>
      <c r="G624" s="552"/>
      <c r="H624" s="553"/>
      <c r="I624" s="545"/>
      <c r="J624" s="546"/>
      <c r="K624" s="546"/>
      <c r="L624" s="547"/>
      <c r="M624" s="545"/>
      <c r="N624" s="546"/>
      <c r="O624" s="546"/>
      <c r="P624" s="547"/>
      <c r="Q624" s="545"/>
      <c r="R624" s="546"/>
      <c r="S624" s="546"/>
      <c r="T624" s="547"/>
      <c r="U624" s="545"/>
      <c r="V624" s="546"/>
      <c r="W624" s="546"/>
      <c r="X624" s="547"/>
      <c r="Y624" s="545"/>
      <c r="Z624" s="546"/>
      <c r="AA624" s="546"/>
      <c r="AB624" s="547"/>
      <c r="AC624" s="545"/>
      <c r="AD624" s="546"/>
      <c r="AE624" s="546"/>
      <c r="AF624" s="547"/>
      <c r="AG624" s="545"/>
      <c r="AH624" s="546"/>
      <c r="AI624" s="546"/>
      <c r="AJ624" s="547"/>
      <c r="AK624" s="545"/>
      <c r="AL624" s="546"/>
      <c r="AM624" s="546"/>
      <c r="AN624" s="547"/>
      <c r="AO624" s="545"/>
      <c r="AP624" s="546"/>
      <c r="AQ624" s="546"/>
      <c r="AR624" s="547"/>
      <c r="AS624" s="545"/>
      <c r="AT624" s="546"/>
      <c r="AU624" s="546"/>
      <c r="AV624" s="547"/>
      <c r="AW624" s="545"/>
      <c r="AX624" s="546"/>
      <c r="AY624" s="546"/>
      <c r="AZ624" s="547"/>
      <c r="BJ624" s="217"/>
      <c r="BK624" s="164"/>
      <c r="BL624" s="165"/>
      <c r="BM624" s="165"/>
      <c r="BN624" s="165"/>
      <c r="BO624" s="165"/>
      <c r="BP624" s="165"/>
      <c r="BQ624" s="165"/>
      <c r="BR624" s="165"/>
      <c r="BS624" s="165"/>
      <c r="BT624" s="165"/>
      <c r="BU624" s="165"/>
      <c r="BV624" s="165"/>
      <c r="BW624" s="165"/>
      <c r="BX624" s="165"/>
      <c r="BY624" s="165"/>
      <c r="BZ624" s="165"/>
      <c r="CA624" s="165"/>
      <c r="CB624" s="217"/>
    </row>
    <row r="625" spans="1:80">
      <c r="A625" s="548"/>
      <c r="B625" s="549"/>
      <c r="C625" s="549"/>
      <c r="D625" s="550"/>
      <c r="E625" s="548"/>
      <c r="F625" s="549"/>
      <c r="G625" s="549"/>
      <c r="H625" s="550"/>
      <c r="I625" s="540"/>
      <c r="J625" s="541"/>
      <c r="K625" s="541"/>
      <c r="L625" s="542"/>
      <c r="M625" s="540"/>
      <c r="N625" s="541"/>
      <c r="O625" s="541"/>
      <c r="P625" s="542"/>
      <c r="Q625" s="540"/>
      <c r="R625" s="541"/>
      <c r="S625" s="541"/>
      <c r="T625" s="542"/>
      <c r="U625" s="540"/>
      <c r="V625" s="541"/>
      <c r="W625" s="541"/>
      <c r="X625" s="542"/>
      <c r="Y625" s="540"/>
      <c r="Z625" s="541"/>
      <c r="AA625" s="541"/>
      <c r="AB625" s="542"/>
      <c r="AC625" s="540"/>
      <c r="AD625" s="541"/>
      <c r="AE625" s="541"/>
      <c r="AF625" s="542"/>
      <c r="AG625" s="540"/>
      <c r="AH625" s="541"/>
      <c r="AI625" s="541"/>
      <c r="AJ625" s="542"/>
      <c r="AK625" s="540"/>
      <c r="AL625" s="541"/>
      <c r="AM625" s="541"/>
      <c r="AN625" s="542"/>
      <c r="AO625" s="540"/>
      <c r="AP625" s="541"/>
      <c r="AQ625" s="541"/>
      <c r="AR625" s="542"/>
      <c r="AS625" s="540"/>
      <c r="AT625" s="541"/>
      <c r="AU625" s="541"/>
      <c r="AV625" s="542"/>
      <c r="AW625" s="540"/>
      <c r="AX625" s="541"/>
      <c r="AY625" s="541"/>
      <c r="AZ625" s="542"/>
      <c r="BJ625" s="217"/>
      <c r="BK625" s="164"/>
      <c r="BL625" s="165"/>
      <c r="BM625" s="165"/>
      <c r="BN625" s="165"/>
      <c r="BO625" s="165"/>
      <c r="BP625" s="165"/>
      <c r="BQ625" s="165"/>
      <c r="BR625" s="165"/>
      <c r="BS625" s="165"/>
      <c r="BT625" s="165"/>
      <c r="BU625" s="165"/>
      <c r="BV625" s="165"/>
      <c r="BW625" s="165"/>
      <c r="BX625" s="165"/>
      <c r="BY625" s="165"/>
      <c r="BZ625" s="165"/>
      <c r="CA625" s="165"/>
      <c r="CB625" s="217"/>
    </row>
    <row r="626" spans="1:80">
      <c r="BA626" s="221"/>
      <c r="BJ626" s="217"/>
      <c r="BK626" s="164"/>
      <c r="BL626" s="165"/>
      <c r="BM626" s="165"/>
      <c r="BN626" s="165"/>
      <c r="BO626" s="165"/>
      <c r="BP626" s="165"/>
      <c r="BQ626" s="165"/>
      <c r="BR626" s="165"/>
      <c r="BS626" s="165"/>
      <c r="BT626" s="165"/>
      <c r="BU626" s="165"/>
      <c r="BV626" s="165"/>
      <c r="BW626" s="165"/>
      <c r="BX626" s="165"/>
      <c r="BY626" s="165"/>
      <c r="BZ626" s="165"/>
      <c r="CA626" s="165"/>
      <c r="CB626" s="217"/>
    </row>
    <row r="627" spans="1:80">
      <c r="A627" s="222"/>
      <c r="AL627" s="223"/>
      <c r="AM627" s="223"/>
      <c r="AN627" s="223"/>
      <c r="AO627" s="223"/>
      <c r="AP627" s="223"/>
      <c r="AQ627" s="223"/>
      <c r="AR627" s="223"/>
      <c r="AS627" s="223"/>
      <c r="AT627" s="223"/>
      <c r="AU627" s="224"/>
      <c r="AV627" s="543"/>
      <c r="AW627" s="543"/>
      <c r="AX627" s="543"/>
      <c r="AY627" s="543"/>
      <c r="AZ627" s="543"/>
      <c r="BA627" s="221"/>
      <c r="BJ627" s="217"/>
      <c r="BK627" s="164"/>
      <c r="BL627" s="165"/>
      <c r="BM627" s="165"/>
      <c r="BN627" s="165"/>
      <c r="BO627" s="165"/>
      <c r="BP627" s="165"/>
      <c r="BQ627" s="165"/>
      <c r="BR627" s="165"/>
      <c r="BS627" s="165"/>
      <c r="BT627" s="165"/>
      <c r="BU627" s="165"/>
      <c r="BV627" s="165"/>
      <c r="BW627" s="165"/>
      <c r="BX627" s="165"/>
      <c r="BY627" s="165"/>
      <c r="BZ627" s="165"/>
      <c r="CA627" s="165"/>
      <c r="CB627" s="217"/>
    </row>
    <row r="628" spans="1:80">
      <c r="A628" s="225"/>
      <c r="B628" s="223"/>
      <c r="C628" s="223"/>
      <c r="D628" s="223"/>
      <c r="E628" s="223"/>
      <c r="F628" s="223"/>
      <c r="G628" s="223"/>
      <c r="H628" s="223"/>
      <c r="I628" s="223"/>
      <c r="J628" s="223"/>
      <c r="K628" s="223"/>
      <c r="L628" s="223"/>
      <c r="M628" s="223"/>
      <c r="N628" s="223"/>
      <c r="O628" s="223"/>
      <c r="P628" s="223"/>
      <c r="Q628" s="223"/>
      <c r="R628" s="223"/>
      <c r="S628" s="223"/>
      <c r="T628" s="223"/>
      <c r="U628" s="223"/>
      <c r="V628" s="223"/>
      <c r="W628" s="223"/>
      <c r="X628" s="223"/>
      <c r="Y628" s="223"/>
      <c r="Z628" s="223"/>
      <c r="AA628" s="223"/>
      <c r="AB628" s="223"/>
      <c r="AC628" s="223"/>
      <c r="AD628" s="223"/>
      <c r="AE628" s="223"/>
      <c r="AF628" s="223"/>
      <c r="AG628" s="223"/>
      <c r="AH628" s="223"/>
      <c r="AI628" s="223"/>
      <c r="AJ628" s="223"/>
      <c r="AK628" s="223"/>
      <c r="AL628" s="223"/>
      <c r="AM628" s="223"/>
      <c r="AN628" s="223"/>
      <c r="AO628" s="223"/>
      <c r="AP628" s="223"/>
      <c r="AQ628" s="223"/>
      <c r="AR628" s="223"/>
      <c r="AS628" s="223"/>
      <c r="AT628" s="223"/>
      <c r="AU628" s="223"/>
      <c r="AV628" s="223"/>
      <c r="AW628" s="223"/>
      <c r="AX628" s="223"/>
      <c r="AY628" s="223"/>
      <c r="AZ628" s="223"/>
      <c r="BA628" s="221"/>
      <c r="BJ628" s="217"/>
      <c r="BK628" s="164"/>
      <c r="BL628" s="165"/>
      <c r="BM628" s="165"/>
      <c r="BN628" s="165"/>
      <c r="BO628" s="165"/>
      <c r="BP628" s="165"/>
      <c r="BQ628" s="165"/>
      <c r="BR628" s="165"/>
      <c r="BS628" s="165"/>
      <c r="BT628" s="165"/>
      <c r="BU628" s="165"/>
      <c r="BV628" s="165"/>
      <c r="BW628" s="165"/>
      <c r="BX628" s="165"/>
      <c r="BY628" s="165"/>
      <c r="BZ628" s="165"/>
      <c r="CA628" s="165"/>
      <c r="CB628" s="217"/>
    </row>
    <row r="629" spans="1:80">
      <c r="A629" s="225"/>
      <c r="B629" s="223"/>
      <c r="C629" s="223"/>
      <c r="D629" s="223"/>
      <c r="E629" s="223"/>
      <c r="F629" s="223"/>
      <c r="G629" s="223"/>
      <c r="H629" s="223"/>
      <c r="I629" s="223"/>
      <c r="J629" s="223"/>
      <c r="K629" s="223"/>
      <c r="L629" s="223"/>
      <c r="M629" s="223"/>
      <c r="N629" s="223"/>
      <c r="O629" s="223"/>
      <c r="P629" s="223"/>
      <c r="Q629" s="223"/>
      <c r="R629" s="223"/>
      <c r="S629" s="223"/>
      <c r="T629" s="223"/>
      <c r="U629" s="223"/>
      <c r="V629" s="223"/>
      <c r="W629" s="223"/>
      <c r="X629" s="223"/>
      <c r="Y629" s="223"/>
      <c r="Z629" s="223"/>
      <c r="AA629" s="223"/>
      <c r="AB629" s="223"/>
      <c r="AC629" s="223"/>
      <c r="AD629" s="223"/>
      <c r="AE629" s="223"/>
      <c r="AF629" s="223"/>
      <c r="AG629" s="223"/>
      <c r="AH629" s="223"/>
      <c r="AI629" s="223"/>
      <c r="AJ629" s="223"/>
      <c r="AK629" s="223"/>
      <c r="AL629" s="223"/>
      <c r="AM629" s="223"/>
      <c r="AN629" s="223"/>
      <c r="AO629" s="223"/>
      <c r="AP629" s="223"/>
      <c r="AQ629" s="223"/>
      <c r="AR629" s="223"/>
      <c r="AS629" s="223"/>
      <c r="AT629" s="223"/>
      <c r="AU629" s="223"/>
      <c r="AV629" s="223"/>
      <c r="AW629" s="223"/>
      <c r="AX629" s="223"/>
      <c r="AY629" s="223"/>
      <c r="AZ629" s="223"/>
      <c r="BA629" s="221"/>
      <c r="BJ629" s="217"/>
      <c r="BK629" s="226"/>
      <c r="BL629" s="227"/>
      <c r="BM629" s="227"/>
      <c r="BN629" s="227"/>
      <c r="BO629" s="227"/>
      <c r="BP629" s="227"/>
      <c r="BQ629" s="227"/>
      <c r="BR629" s="227"/>
      <c r="BS629" s="227"/>
      <c r="BT629" s="227"/>
      <c r="BU629" s="227"/>
      <c r="BV629" s="227"/>
      <c r="BW629" s="227"/>
      <c r="BX629" s="227"/>
      <c r="BY629" s="227"/>
      <c r="BZ629" s="227"/>
      <c r="CA629" s="227"/>
      <c r="CB629" s="217"/>
    </row>
    <row r="630" spans="1:80">
      <c r="A630" s="225"/>
      <c r="B630" s="223"/>
      <c r="C630" s="223"/>
      <c r="D630" s="223"/>
      <c r="E630" s="223"/>
      <c r="F630" s="223"/>
      <c r="G630" s="223"/>
      <c r="H630" s="223"/>
      <c r="I630" s="223"/>
      <c r="J630" s="223"/>
      <c r="K630" s="223"/>
      <c r="L630" s="223"/>
      <c r="M630" s="223"/>
      <c r="N630" s="223"/>
      <c r="O630" s="223"/>
      <c r="P630" s="223"/>
      <c r="Q630" s="223"/>
      <c r="R630" s="223"/>
      <c r="S630" s="223"/>
      <c r="T630" s="223"/>
      <c r="U630" s="223"/>
      <c r="V630" s="223"/>
      <c r="W630" s="223"/>
      <c r="X630" s="223"/>
      <c r="Y630" s="223"/>
      <c r="Z630" s="223"/>
      <c r="AA630" s="223"/>
      <c r="AB630" s="223"/>
      <c r="AC630" s="223"/>
      <c r="AD630" s="223"/>
      <c r="AE630" s="223"/>
      <c r="AF630" s="223"/>
      <c r="AG630" s="223"/>
      <c r="AH630" s="223"/>
      <c r="AI630" s="223"/>
      <c r="AJ630" s="223"/>
      <c r="AK630" s="223"/>
      <c r="AL630" s="223"/>
      <c r="AM630" s="223"/>
      <c r="AN630" s="223"/>
      <c r="AO630" s="223"/>
      <c r="AP630" s="223"/>
      <c r="AQ630" s="223"/>
      <c r="AR630" s="223"/>
      <c r="AS630" s="223"/>
      <c r="AT630" s="223"/>
      <c r="AU630" s="223"/>
      <c r="AV630" s="223"/>
      <c r="AW630" s="223"/>
      <c r="AX630" s="223"/>
      <c r="AY630" s="223"/>
      <c r="AZ630" s="223"/>
      <c r="BA630" s="221"/>
      <c r="BJ630" s="88"/>
      <c r="BK630" s="228">
        <v>0</v>
      </c>
      <c r="BL630" s="228">
        <v>1</v>
      </c>
      <c r="BM630" s="228">
        <v>2</v>
      </c>
      <c r="BN630" s="228">
        <v>3</v>
      </c>
      <c r="BO630" s="228">
        <v>4</v>
      </c>
      <c r="BP630" s="228">
        <v>5</v>
      </c>
      <c r="BQ630" s="228">
        <v>6</v>
      </c>
      <c r="BR630" s="228">
        <v>7</v>
      </c>
      <c r="BS630" s="228">
        <v>8</v>
      </c>
      <c r="BT630" s="228">
        <v>9</v>
      </c>
      <c r="BU630" s="228">
        <v>10</v>
      </c>
      <c r="BV630" s="228">
        <v>5</v>
      </c>
      <c r="BW630" s="228">
        <v>6</v>
      </c>
      <c r="BX630" s="228">
        <v>7</v>
      </c>
      <c r="BY630" s="228">
        <v>8</v>
      </c>
      <c r="BZ630" s="228">
        <v>9</v>
      </c>
      <c r="CA630" s="228">
        <v>10</v>
      </c>
    </row>
    <row r="631" spans="1:80" ht="15" customHeight="1">
      <c r="A631" s="225"/>
      <c r="B631" s="229"/>
      <c r="C631" s="229"/>
      <c r="D631" s="229"/>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c r="AA631" s="229"/>
      <c r="AB631" s="229"/>
      <c r="AC631" s="229"/>
      <c r="AD631" s="229"/>
      <c r="AE631" s="229"/>
      <c r="AF631" s="229"/>
      <c r="AG631" s="229"/>
      <c r="AH631" s="229"/>
      <c r="AI631" s="229"/>
      <c r="AJ631" s="229"/>
      <c r="AK631" s="229"/>
      <c r="AL631" s="229"/>
      <c r="AM631" s="229"/>
      <c r="AN631" s="229"/>
      <c r="AO631" s="229"/>
      <c r="AP631" s="229"/>
      <c r="AQ631" s="229"/>
      <c r="AR631" s="229"/>
      <c r="AS631" s="229"/>
      <c r="AT631" s="229"/>
      <c r="AU631" s="229"/>
      <c r="AV631" s="229"/>
      <c r="AW631" s="229"/>
      <c r="AX631" s="229"/>
      <c r="AY631" s="229"/>
      <c r="AZ631" s="230"/>
      <c r="BA631" s="221"/>
      <c r="BJ631" s="231" t="s">
        <v>433</v>
      </c>
      <c r="BK631" s="232">
        <v>0</v>
      </c>
      <c r="BL631" s="232">
        <v>1438.15</v>
      </c>
      <c r="BM631" s="232">
        <v>2138.62</v>
      </c>
      <c r="BN631" s="232">
        <v>2983.8</v>
      </c>
      <c r="BO631" s="232">
        <v>2995.08</v>
      </c>
      <c r="BP631" s="232">
        <v>3196.63</v>
      </c>
      <c r="BQ631" s="232">
        <v>2660.32</v>
      </c>
      <c r="BR631" s="232">
        <v>3238.19</v>
      </c>
      <c r="BS631" s="232">
        <v>4975.32</v>
      </c>
      <c r="BT631" s="232">
        <v>7087.6</v>
      </c>
      <c r="BU631" s="232">
        <v>7464.61</v>
      </c>
      <c r="BV631" s="232">
        <v>3196.63</v>
      </c>
      <c r="BW631" s="232">
        <v>2660.32</v>
      </c>
      <c r="BX631" s="232">
        <v>3238.19</v>
      </c>
      <c r="BY631" s="232">
        <v>4975.32</v>
      </c>
      <c r="BZ631" s="232">
        <v>7087.6</v>
      </c>
      <c r="CA631" s="232">
        <v>7464.61</v>
      </c>
    </row>
    <row r="632" spans="1:80" ht="12.75" customHeight="1">
      <c r="A632" s="539"/>
      <c r="B632" s="539"/>
      <c r="C632" s="539"/>
      <c r="D632" s="539"/>
      <c r="E632" s="539"/>
      <c r="F632" s="539"/>
      <c r="G632" s="539"/>
      <c r="H632" s="539"/>
      <c r="I632" s="539"/>
      <c r="J632" s="539"/>
      <c r="K632" s="539"/>
      <c r="L632" s="539"/>
      <c r="M632" s="539"/>
      <c r="N632" s="539"/>
      <c r="O632" s="539"/>
      <c r="P632" s="539"/>
      <c r="Q632" s="539"/>
      <c r="R632" s="539"/>
      <c r="S632" s="539"/>
      <c r="T632" s="539"/>
      <c r="U632" s="539"/>
      <c r="V632" s="539"/>
      <c r="W632" s="539"/>
      <c r="X632" s="539"/>
      <c r="Y632" s="539"/>
      <c r="Z632" s="539"/>
      <c r="AA632" s="539"/>
      <c r="AB632" s="539"/>
      <c r="AC632" s="539"/>
      <c r="AD632" s="539"/>
      <c r="AE632" s="539"/>
      <c r="AF632" s="539"/>
      <c r="AG632" s="539"/>
      <c r="AH632" s="539"/>
      <c r="AI632" s="539"/>
      <c r="AJ632" s="539"/>
      <c r="AK632" s="539"/>
      <c r="AL632" s="539"/>
      <c r="AM632" s="539"/>
      <c r="AN632" s="539"/>
      <c r="AO632" s="539"/>
      <c r="AP632" s="539"/>
      <c r="AQ632" s="539"/>
      <c r="AR632" s="539"/>
      <c r="AS632" s="539"/>
      <c r="AT632" s="539"/>
      <c r="AU632" s="539"/>
      <c r="AV632" s="539"/>
      <c r="AW632" s="539"/>
      <c r="AX632" s="539"/>
      <c r="AY632" s="539"/>
      <c r="AZ632" s="544"/>
      <c r="BA632" s="221"/>
      <c r="BJ632" s="231" t="s">
        <v>434</v>
      </c>
      <c r="BK632" s="233">
        <v>0</v>
      </c>
      <c r="BL632" s="233">
        <v>5.09</v>
      </c>
      <c r="BM632" s="233">
        <v>7.69</v>
      </c>
      <c r="BN632" s="233">
        <v>10.69</v>
      </c>
      <c r="BO632" s="233">
        <v>10.69</v>
      </c>
      <c r="BP632" s="233">
        <v>11.46</v>
      </c>
      <c r="BQ632" s="233">
        <v>10.52</v>
      </c>
      <c r="BR632" s="233">
        <v>11.63</v>
      </c>
      <c r="BS632" s="233">
        <v>19.7</v>
      </c>
      <c r="BT632" s="233">
        <v>25.82</v>
      </c>
      <c r="BU632" s="233">
        <v>27.11</v>
      </c>
      <c r="BV632" s="233">
        <v>11.46</v>
      </c>
      <c r="BW632" s="233">
        <v>10.52</v>
      </c>
      <c r="BX632" s="233">
        <v>11.63</v>
      </c>
      <c r="BY632" s="233">
        <v>19.7</v>
      </c>
      <c r="BZ632" s="233">
        <v>25.82</v>
      </c>
      <c r="CA632" s="233">
        <v>27.11</v>
      </c>
      <c r="CB632" s="187" t="s">
        <v>414</v>
      </c>
    </row>
    <row r="633" spans="1:80" ht="12.75" customHeight="1">
      <c r="A633" s="539"/>
      <c r="B633" s="539"/>
      <c r="C633" s="539"/>
      <c r="D633" s="539"/>
      <c r="E633" s="539"/>
      <c r="F633" s="539"/>
      <c r="G633" s="539"/>
      <c r="H633" s="539"/>
      <c r="I633" s="539"/>
      <c r="J633" s="539"/>
      <c r="K633" s="539"/>
      <c r="L633" s="539"/>
      <c r="M633" s="539"/>
      <c r="N633" s="539"/>
      <c r="O633" s="539"/>
      <c r="P633" s="539"/>
      <c r="Q633" s="539"/>
      <c r="R633" s="539"/>
      <c r="S633" s="539"/>
      <c r="T633" s="539"/>
      <c r="U633" s="539"/>
      <c r="V633" s="539"/>
      <c r="W633" s="539"/>
      <c r="X633" s="539"/>
      <c r="Y633" s="539"/>
      <c r="Z633" s="539"/>
      <c r="AA633" s="539"/>
      <c r="AB633" s="539"/>
      <c r="AC633" s="539"/>
      <c r="AD633" s="539"/>
      <c r="AE633" s="539"/>
      <c r="AF633" s="539"/>
      <c r="AG633" s="539"/>
      <c r="AH633" s="539"/>
      <c r="AI633" s="539"/>
      <c r="AJ633" s="539"/>
      <c r="AK633" s="539"/>
      <c r="AL633" s="539"/>
      <c r="AM633" s="539"/>
      <c r="AN633" s="539"/>
      <c r="AO633" s="539"/>
      <c r="AP633" s="539"/>
      <c r="AQ633" s="539"/>
      <c r="AR633" s="539"/>
      <c r="AS633" s="539"/>
      <c r="AT633" s="539"/>
      <c r="AU633" s="539"/>
      <c r="AV633" s="539"/>
      <c r="AW633" s="539"/>
      <c r="AX633" s="539"/>
      <c r="AY633" s="539"/>
      <c r="AZ633" s="544"/>
      <c r="BA633" s="221"/>
      <c r="BJ633" s="231" t="s">
        <v>435</v>
      </c>
      <c r="BK633" s="234">
        <v>0</v>
      </c>
      <c r="BL633" s="234">
        <v>0.76</v>
      </c>
      <c r="BM633" s="234">
        <v>0.76</v>
      </c>
      <c r="BN633" s="234">
        <v>0.76</v>
      </c>
      <c r="BO633" s="234">
        <v>0.76</v>
      </c>
      <c r="BP633" s="234">
        <v>0.76</v>
      </c>
      <c r="BQ633" s="234">
        <v>0.76</v>
      </c>
      <c r="BR633" s="234">
        <v>0.76</v>
      </c>
      <c r="BS633" s="234">
        <v>0.76</v>
      </c>
      <c r="BT633" s="234">
        <v>0.76</v>
      </c>
      <c r="BU633" s="234">
        <v>0.76</v>
      </c>
      <c r="BV633" s="234">
        <v>0.76</v>
      </c>
      <c r="BW633" s="234">
        <v>0.76</v>
      </c>
      <c r="BX633" s="234">
        <v>0.76</v>
      </c>
      <c r="BY633" s="234">
        <v>0.76</v>
      </c>
      <c r="BZ633" s="234">
        <v>0.76</v>
      </c>
      <c r="CA633" s="234">
        <v>0.76</v>
      </c>
    </row>
    <row r="634" spans="1:80" ht="12.75" customHeight="1">
      <c r="A634" s="539"/>
      <c r="B634" s="539"/>
      <c r="C634" s="539"/>
      <c r="D634" s="539"/>
      <c r="E634" s="539"/>
      <c r="F634" s="539"/>
      <c r="G634" s="539"/>
      <c r="H634" s="539"/>
      <c r="I634" s="539"/>
      <c r="J634" s="539"/>
      <c r="K634" s="539"/>
      <c r="L634" s="539"/>
      <c r="M634" s="539"/>
      <c r="N634" s="539"/>
      <c r="O634" s="539"/>
      <c r="P634" s="539"/>
      <c r="Q634" s="539"/>
      <c r="R634" s="539"/>
      <c r="S634" s="539"/>
      <c r="T634" s="539"/>
      <c r="U634" s="539"/>
      <c r="V634" s="539"/>
      <c r="W634" s="539"/>
      <c r="X634" s="539"/>
      <c r="Y634" s="539"/>
      <c r="Z634" s="539"/>
      <c r="AA634" s="539"/>
      <c r="AB634" s="539"/>
      <c r="AC634" s="539"/>
      <c r="AD634" s="539"/>
      <c r="AE634" s="539"/>
      <c r="AF634" s="539"/>
      <c r="AG634" s="539"/>
      <c r="AH634" s="539"/>
      <c r="AI634" s="539"/>
      <c r="AJ634" s="539"/>
      <c r="AK634" s="539"/>
      <c r="AL634" s="539"/>
      <c r="AM634" s="539"/>
      <c r="AN634" s="539"/>
      <c r="AO634" s="539"/>
      <c r="AP634" s="539"/>
      <c r="AQ634" s="539"/>
      <c r="AR634" s="539"/>
      <c r="AS634" s="539"/>
      <c r="AT634" s="539"/>
      <c r="AU634" s="539"/>
      <c r="AV634" s="539"/>
      <c r="AW634" s="539"/>
      <c r="AX634" s="539"/>
      <c r="AY634" s="539"/>
      <c r="AZ634" s="539"/>
      <c r="BA634" s="221"/>
      <c r="BJ634" s="231" t="s">
        <v>436</v>
      </c>
      <c r="BK634" s="233">
        <f>ROUND(IF($BK$23&gt;300,(BK632*($BK$23-300)),0),2)</f>
        <v>0</v>
      </c>
      <c r="BL634" s="233">
        <f>ROUND(IF($BK$23&gt;300,(BL632*($BK$23-300)),0),2)</f>
        <v>0</v>
      </c>
      <c r="BM634" s="233">
        <f t="shared" ref="BM634:CA634" si="0">ROUND(IF($BK$23&gt;300,(BM632*($BK$23-300)),0),2)</f>
        <v>0</v>
      </c>
      <c r="BN634" s="233">
        <f t="shared" si="0"/>
        <v>0</v>
      </c>
      <c r="BO634" s="233">
        <f t="shared" si="0"/>
        <v>0</v>
      </c>
      <c r="BP634" s="233">
        <f t="shared" si="0"/>
        <v>0</v>
      </c>
      <c r="BQ634" s="233">
        <f t="shared" si="0"/>
        <v>0</v>
      </c>
      <c r="BR634" s="233">
        <f t="shared" si="0"/>
        <v>0</v>
      </c>
      <c r="BS634" s="233">
        <f t="shared" si="0"/>
        <v>0</v>
      </c>
      <c r="BT634" s="233">
        <f t="shared" si="0"/>
        <v>0</v>
      </c>
      <c r="BU634" s="233">
        <f t="shared" si="0"/>
        <v>0</v>
      </c>
      <c r="BV634" s="233">
        <f t="shared" si="0"/>
        <v>0</v>
      </c>
      <c r="BW634" s="233">
        <f t="shared" si="0"/>
        <v>0</v>
      </c>
      <c r="BX634" s="233">
        <f t="shared" si="0"/>
        <v>0</v>
      </c>
      <c r="BY634" s="233">
        <f t="shared" si="0"/>
        <v>0</v>
      </c>
      <c r="BZ634" s="233">
        <f t="shared" si="0"/>
        <v>0</v>
      </c>
      <c r="CA634" s="233">
        <f t="shared" si="0"/>
        <v>0</v>
      </c>
    </row>
    <row r="635" spans="1:80" ht="12.75" customHeight="1">
      <c r="A635" s="539"/>
      <c r="B635" s="539"/>
      <c r="C635" s="539"/>
      <c r="D635" s="539"/>
      <c r="E635" s="539"/>
      <c r="F635" s="539"/>
      <c r="G635" s="539"/>
      <c r="H635" s="539"/>
      <c r="I635" s="539"/>
      <c r="J635" s="539"/>
      <c r="K635" s="539"/>
      <c r="L635" s="539"/>
      <c r="M635" s="539"/>
      <c r="N635" s="539"/>
      <c r="O635" s="539"/>
      <c r="P635" s="539"/>
      <c r="Q635" s="539"/>
      <c r="R635" s="539"/>
      <c r="S635" s="539"/>
      <c r="T635" s="539"/>
      <c r="U635" s="539"/>
      <c r="V635" s="539"/>
      <c r="W635" s="539"/>
      <c r="X635" s="539"/>
      <c r="Y635" s="539"/>
      <c r="Z635" s="539"/>
      <c r="AA635" s="539"/>
      <c r="AB635" s="539"/>
      <c r="AC635" s="539"/>
      <c r="AD635" s="539"/>
      <c r="AE635" s="539"/>
      <c r="AF635" s="539"/>
      <c r="AG635" s="539"/>
      <c r="AH635" s="539"/>
      <c r="AI635" s="539"/>
      <c r="AJ635" s="539"/>
      <c r="AK635" s="539"/>
      <c r="AL635" s="539"/>
      <c r="AM635" s="539"/>
      <c r="AN635" s="539"/>
      <c r="AO635" s="539"/>
      <c r="AP635" s="539"/>
      <c r="AQ635" s="539"/>
      <c r="AR635" s="539"/>
      <c r="AS635" s="539"/>
      <c r="AT635" s="539"/>
      <c r="AU635" s="539"/>
      <c r="AV635" s="539"/>
      <c r="AW635" s="539"/>
      <c r="AX635" s="539"/>
      <c r="AY635" s="539"/>
      <c r="AZ635" s="539"/>
      <c r="BA635" s="221"/>
      <c r="BJ635" s="231" t="s">
        <v>437</v>
      </c>
      <c r="BK635" s="233">
        <f>ROUND((BK631+BK634),2)</f>
        <v>0</v>
      </c>
      <c r="BL635" s="233">
        <f t="shared" ref="BL635:CA635" si="1">ROUND((BL631+BL634),2)</f>
        <v>1438.15</v>
      </c>
      <c r="BM635" s="233">
        <f t="shared" si="1"/>
        <v>2138.62</v>
      </c>
      <c r="BN635" s="233">
        <f t="shared" si="1"/>
        <v>2983.8</v>
      </c>
      <c r="BO635" s="233">
        <f t="shared" si="1"/>
        <v>2995.08</v>
      </c>
      <c r="BP635" s="233">
        <f t="shared" si="1"/>
        <v>3196.63</v>
      </c>
      <c r="BQ635" s="233">
        <f t="shared" si="1"/>
        <v>2660.32</v>
      </c>
      <c r="BR635" s="233">
        <f t="shared" si="1"/>
        <v>3238.19</v>
      </c>
      <c r="BS635" s="233">
        <f t="shared" si="1"/>
        <v>4975.32</v>
      </c>
      <c r="BT635" s="233">
        <f t="shared" si="1"/>
        <v>7087.6</v>
      </c>
      <c r="BU635" s="233">
        <f t="shared" si="1"/>
        <v>7464.61</v>
      </c>
      <c r="BV635" s="233">
        <f t="shared" si="1"/>
        <v>3196.63</v>
      </c>
      <c r="BW635" s="233">
        <f t="shared" si="1"/>
        <v>2660.32</v>
      </c>
      <c r="BX635" s="233">
        <f t="shared" si="1"/>
        <v>3238.19</v>
      </c>
      <c r="BY635" s="233">
        <f t="shared" si="1"/>
        <v>4975.32</v>
      </c>
      <c r="BZ635" s="233">
        <f t="shared" si="1"/>
        <v>7087.6</v>
      </c>
      <c r="CA635" s="233">
        <f t="shared" si="1"/>
        <v>7464.61</v>
      </c>
    </row>
    <row r="636" spans="1:80">
      <c r="A636" s="225"/>
      <c r="B636" s="223"/>
      <c r="C636" s="223"/>
      <c r="D636" s="223"/>
      <c r="E636" s="223"/>
      <c r="F636" s="223"/>
      <c r="G636" s="223"/>
      <c r="H636" s="223"/>
      <c r="I636" s="223"/>
      <c r="J636" s="223"/>
      <c r="K636" s="223"/>
      <c r="L636" s="223"/>
      <c r="M636" s="223"/>
      <c r="N636" s="223"/>
      <c r="O636" s="223"/>
      <c r="P636" s="223"/>
      <c r="Q636" s="223"/>
      <c r="R636" s="223"/>
      <c r="S636" s="223"/>
      <c r="T636" s="223"/>
      <c r="U636" s="223"/>
      <c r="V636" s="223"/>
      <c r="W636" s="223"/>
      <c r="X636" s="223"/>
      <c r="Y636" s="223"/>
      <c r="Z636" s="223"/>
      <c r="AA636" s="223"/>
      <c r="AB636" s="223"/>
      <c r="AC636" s="223"/>
      <c r="AD636" s="223"/>
      <c r="AE636" s="223"/>
      <c r="AF636" s="223"/>
      <c r="AG636" s="223"/>
      <c r="AH636" s="223"/>
      <c r="AI636" s="223"/>
      <c r="AJ636" s="223"/>
      <c r="AK636" s="223"/>
      <c r="AL636" s="223"/>
      <c r="AM636" s="223"/>
      <c r="AN636" s="223"/>
      <c r="AO636" s="223"/>
      <c r="AP636" s="223"/>
      <c r="AQ636" s="223"/>
      <c r="AR636" s="223"/>
      <c r="AS636" s="223"/>
      <c r="AT636" s="223"/>
      <c r="AU636" s="223"/>
      <c r="AV636" s="223"/>
      <c r="AW636" s="223"/>
      <c r="AX636" s="223"/>
      <c r="AY636" s="223"/>
      <c r="AZ636" s="223"/>
      <c r="BA636" s="221"/>
      <c r="BJ636" s="235" t="s">
        <v>438</v>
      </c>
      <c r="BK636" s="236">
        <f>ROUND((BK635*(1-BK633)),2)</f>
        <v>0</v>
      </c>
      <c r="BL636" s="236">
        <f t="shared" ref="BL636:CA636" si="2">ROUND((BL635*(1-BL633)),2)</f>
        <v>345.16</v>
      </c>
      <c r="BM636" s="236">
        <f t="shared" si="2"/>
        <v>513.27</v>
      </c>
      <c r="BN636" s="236">
        <f t="shared" si="2"/>
        <v>716.11</v>
      </c>
      <c r="BO636" s="236">
        <f t="shared" si="2"/>
        <v>718.82</v>
      </c>
      <c r="BP636" s="236">
        <f t="shared" si="2"/>
        <v>767.19</v>
      </c>
      <c r="BQ636" s="236">
        <f t="shared" si="2"/>
        <v>638.48</v>
      </c>
      <c r="BR636" s="236">
        <f t="shared" si="2"/>
        <v>777.17</v>
      </c>
      <c r="BS636" s="236">
        <f t="shared" si="2"/>
        <v>1194.08</v>
      </c>
      <c r="BT636" s="236">
        <f t="shared" si="2"/>
        <v>1701.02</v>
      </c>
      <c r="BU636" s="236">
        <f t="shared" si="2"/>
        <v>1791.51</v>
      </c>
      <c r="BV636" s="236">
        <f t="shared" si="2"/>
        <v>767.19</v>
      </c>
      <c r="BW636" s="236">
        <f t="shared" si="2"/>
        <v>638.48</v>
      </c>
      <c r="BX636" s="236">
        <f t="shared" si="2"/>
        <v>777.17</v>
      </c>
      <c r="BY636" s="236">
        <f t="shared" si="2"/>
        <v>1194.08</v>
      </c>
      <c r="BZ636" s="236">
        <f t="shared" si="2"/>
        <v>1701.02</v>
      </c>
      <c r="CA636" s="236">
        <f t="shared" si="2"/>
        <v>1791.51</v>
      </c>
    </row>
    <row r="637" spans="1:80">
      <c r="A637" s="225"/>
      <c r="B637" s="223"/>
      <c r="C637" s="223"/>
      <c r="D637" s="223"/>
      <c r="E637" s="223"/>
      <c r="F637" s="223"/>
      <c r="G637" s="223"/>
      <c r="H637" s="223"/>
      <c r="I637" s="223"/>
      <c r="J637" s="223"/>
      <c r="K637" s="223"/>
      <c r="L637" s="223"/>
      <c r="M637" s="223"/>
      <c r="N637" s="223"/>
      <c r="O637" s="223"/>
      <c r="P637" s="223"/>
      <c r="Q637" s="223"/>
      <c r="R637" s="223"/>
      <c r="S637" s="223"/>
      <c r="T637" s="223"/>
      <c r="U637" s="223"/>
      <c r="V637" s="223"/>
      <c r="W637" s="223"/>
      <c r="X637" s="223"/>
      <c r="Y637" s="223"/>
      <c r="Z637" s="223"/>
      <c r="AA637" s="223"/>
      <c r="AB637" s="223"/>
      <c r="AC637" s="223"/>
      <c r="AD637" s="223"/>
      <c r="AE637" s="223"/>
      <c r="AF637" s="223"/>
      <c r="AG637" s="223"/>
      <c r="AH637" s="223"/>
      <c r="AI637" s="223"/>
      <c r="AJ637" s="223"/>
      <c r="AK637" s="223"/>
      <c r="AL637" s="223"/>
      <c r="AM637" s="223"/>
      <c r="AN637" s="223"/>
      <c r="AO637" s="223"/>
      <c r="AP637" s="223"/>
      <c r="AQ637" s="223"/>
      <c r="AR637" s="223"/>
      <c r="AS637" s="223"/>
      <c r="AT637" s="223"/>
      <c r="AU637" s="223"/>
      <c r="AV637" s="223"/>
      <c r="AW637" s="223"/>
      <c r="AX637" s="223"/>
      <c r="AY637" s="237"/>
      <c r="AZ637" s="237"/>
      <c r="BA637" s="221"/>
      <c r="BB637" s="221"/>
      <c r="BJ637" s="88"/>
      <c r="BK637" s="88"/>
      <c r="BL637" s="88"/>
      <c r="BM637" s="88"/>
      <c r="BN637" s="88"/>
      <c r="BO637" s="88"/>
      <c r="BP637" s="88"/>
      <c r="BQ637" s="88"/>
      <c r="BR637" s="88"/>
      <c r="BS637" s="88"/>
      <c r="BT637" s="88"/>
      <c r="BU637" s="88"/>
      <c r="BV637" s="88"/>
      <c r="BW637" s="88"/>
      <c r="BX637" s="88"/>
      <c r="BY637" s="88"/>
      <c r="BZ637" s="88"/>
      <c r="CA637" s="88"/>
    </row>
    <row r="638" spans="1:80">
      <c r="A638" s="225"/>
      <c r="B638" s="223"/>
      <c r="C638" s="223"/>
      <c r="D638" s="223"/>
      <c r="E638" s="223"/>
      <c r="F638" s="223"/>
      <c r="G638" s="223"/>
      <c r="H638" s="223"/>
      <c r="I638" s="223"/>
      <c r="J638" s="223"/>
      <c r="K638" s="223"/>
      <c r="L638" s="223"/>
      <c r="M638" s="223"/>
      <c r="N638" s="223"/>
      <c r="O638" s="223"/>
      <c r="P638" s="223"/>
      <c r="Q638" s="223"/>
      <c r="R638" s="223"/>
      <c r="S638" s="223"/>
      <c r="T638" s="223"/>
      <c r="U638" s="223"/>
      <c r="V638" s="223"/>
      <c r="W638" s="223"/>
      <c r="X638" s="223"/>
      <c r="Y638" s="223"/>
      <c r="Z638" s="223"/>
      <c r="AA638" s="223"/>
      <c r="AB638" s="223"/>
      <c r="AC638" s="223"/>
      <c r="AD638" s="223"/>
      <c r="AE638" s="223"/>
      <c r="AF638" s="223"/>
      <c r="AG638" s="223"/>
      <c r="AH638" s="223"/>
      <c r="AI638" s="223"/>
      <c r="AJ638" s="223"/>
      <c r="AK638" s="223"/>
      <c r="AL638" s="223"/>
      <c r="AM638" s="223"/>
      <c r="AN638" s="223"/>
      <c r="AO638" s="223"/>
      <c r="AP638" s="223"/>
      <c r="AQ638" s="223"/>
      <c r="AR638" s="223"/>
      <c r="AS638" s="223"/>
      <c r="AT638" s="223"/>
      <c r="AU638" s="223"/>
      <c r="AV638" s="223"/>
      <c r="AW638" s="223"/>
      <c r="AX638" s="223"/>
      <c r="AY638" s="237"/>
      <c r="AZ638" s="237"/>
      <c r="BA638" s="221"/>
      <c r="BB638" s="221"/>
      <c r="BJ638" s="88"/>
      <c r="BK638" s="88"/>
      <c r="BL638" s="88"/>
      <c r="BM638" s="88"/>
      <c r="BN638" s="88"/>
      <c r="BO638" s="88"/>
      <c r="BP638" s="88"/>
      <c r="BQ638" s="88"/>
      <c r="BR638" s="88"/>
      <c r="BS638" s="88"/>
      <c r="BT638" s="88"/>
      <c r="BU638" s="88"/>
      <c r="BV638" s="88"/>
      <c r="BW638" s="88"/>
      <c r="BX638" s="88"/>
      <c r="BY638" s="88"/>
      <c r="BZ638" s="88"/>
      <c r="CA638" s="88"/>
    </row>
    <row r="639" spans="1:80">
      <c r="AY639" s="221"/>
      <c r="AZ639" s="221"/>
      <c r="BA639" s="221"/>
      <c r="BB639" s="221"/>
      <c r="BJ639" s="88"/>
      <c r="BK639" s="88"/>
      <c r="BL639" s="88"/>
      <c r="BM639" s="88"/>
      <c r="BN639" s="88"/>
      <c r="BO639" s="88"/>
      <c r="BP639" s="88"/>
      <c r="BQ639" s="88"/>
      <c r="BR639" s="88"/>
      <c r="BS639" s="88"/>
      <c r="BT639" s="88"/>
      <c r="BU639" s="88"/>
      <c r="BV639" s="88"/>
      <c r="BW639" s="88"/>
      <c r="BX639" s="88"/>
      <c r="BY639" s="88"/>
      <c r="BZ639" s="88"/>
      <c r="CA639" s="88"/>
    </row>
    <row r="640" spans="1:80">
      <c r="BA640" s="221"/>
      <c r="BJ640" s="88"/>
      <c r="BK640" s="88"/>
      <c r="BL640" s="88"/>
      <c r="BM640" s="88"/>
      <c r="BN640" s="88"/>
      <c r="BO640" s="88"/>
      <c r="BP640" s="88"/>
      <c r="BQ640" s="88"/>
      <c r="BR640" s="88"/>
      <c r="BS640" s="88"/>
      <c r="BT640" s="88"/>
      <c r="BU640" s="88"/>
      <c r="BV640" s="88"/>
      <c r="BW640" s="88"/>
      <c r="BX640" s="88"/>
      <c r="BY640" s="88"/>
      <c r="BZ640" s="88"/>
      <c r="CA640" s="88"/>
    </row>
    <row r="641" spans="53:79">
      <c r="BA641" s="221"/>
      <c r="BJ641" s="88"/>
      <c r="BK641" s="88"/>
      <c r="BL641" s="88"/>
      <c r="BM641" s="88"/>
      <c r="BN641" s="88"/>
      <c r="BO641" s="88"/>
      <c r="BP641" s="88"/>
      <c r="BQ641" s="88"/>
      <c r="BR641" s="88"/>
      <c r="BS641" s="88"/>
      <c r="BT641" s="88"/>
      <c r="BU641" s="88"/>
      <c r="BV641" s="88"/>
      <c r="BW641" s="88"/>
      <c r="BX641" s="88"/>
      <c r="BY641" s="88"/>
      <c r="BZ641" s="88"/>
      <c r="CA641" s="88"/>
    </row>
    <row r="642" spans="53:79">
      <c r="BA642" s="221"/>
      <c r="BJ642" s="88"/>
      <c r="BK642" s="88"/>
      <c r="BL642" s="88"/>
      <c r="BM642" s="88"/>
      <c r="BN642" s="88"/>
      <c r="BO642" s="88"/>
      <c r="BP642" s="88"/>
      <c r="BQ642" s="88"/>
      <c r="BR642" s="88"/>
      <c r="BS642" s="88"/>
      <c r="BT642" s="88"/>
      <c r="BU642" s="88"/>
      <c r="BV642" s="88"/>
      <c r="BW642" s="88"/>
      <c r="BX642" s="88"/>
      <c r="BY642" s="88"/>
      <c r="BZ642" s="88"/>
      <c r="CA642" s="88"/>
    </row>
    <row r="643" spans="53:79">
      <c r="BA643" s="221"/>
      <c r="BJ643" s="88"/>
      <c r="BK643" s="88"/>
      <c r="BL643" s="88"/>
      <c r="BM643" s="88"/>
      <c r="BN643" s="88"/>
      <c r="BO643" s="88"/>
      <c r="BP643" s="88"/>
      <c r="BQ643" s="88"/>
      <c r="BR643" s="88"/>
      <c r="BS643" s="88"/>
      <c r="BT643" s="88"/>
      <c r="BU643" s="88"/>
      <c r="BV643" s="88"/>
      <c r="BW643" s="88"/>
      <c r="BX643" s="88"/>
      <c r="BY643" s="88"/>
      <c r="BZ643" s="88"/>
      <c r="CA643" s="88"/>
    </row>
    <row r="644" spans="53:79">
      <c r="BJ644" s="88"/>
      <c r="BK644" s="88"/>
      <c r="BL644" s="88"/>
      <c r="BM644" s="88"/>
      <c r="BN644" s="88"/>
      <c r="BO644" s="88"/>
      <c r="BP644" s="88"/>
      <c r="BQ644" s="88"/>
      <c r="BR644" s="88"/>
      <c r="BS644" s="88"/>
      <c r="BT644" s="88"/>
      <c r="BU644" s="88"/>
      <c r="BV644" s="88"/>
      <c r="BW644" s="88"/>
      <c r="BX644" s="88"/>
      <c r="BY644" s="88"/>
      <c r="BZ644" s="88"/>
      <c r="CA644" s="88"/>
    </row>
    <row r="645" spans="53:79">
      <c r="BJ645" s="88"/>
      <c r="BK645" s="88"/>
      <c r="BL645" s="88"/>
      <c r="BM645" s="88"/>
      <c r="BN645" s="88"/>
      <c r="BO645" s="88"/>
      <c r="BP645" s="88"/>
      <c r="BQ645" s="88"/>
      <c r="BR645" s="88"/>
      <c r="BS645" s="88"/>
      <c r="BT645" s="88"/>
      <c r="BU645" s="88"/>
      <c r="BV645" s="88"/>
      <c r="BW645" s="88"/>
      <c r="BX645" s="88"/>
      <c r="BY645" s="88"/>
      <c r="BZ645" s="88"/>
      <c r="CA645" s="88"/>
    </row>
    <row r="646" spans="53:79">
      <c r="BJ646" s="88"/>
      <c r="BK646" s="88"/>
      <c r="BL646" s="88"/>
      <c r="BM646" s="88"/>
      <c r="BN646" s="88"/>
      <c r="BO646" s="88"/>
      <c r="BP646" s="88"/>
      <c r="BQ646" s="88"/>
      <c r="BR646" s="88"/>
      <c r="BS646" s="88"/>
      <c r="BT646" s="88"/>
      <c r="BU646" s="88"/>
      <c r="BV646" s="88"/>
      <c r="BW646" s="88"/>
      <c r="BX646" s="88"/>
      <c r="BY646" s="88"/>
      <c r="BZ646" s="88"/>
      <c r="CA646" s="88"/>
    </row>
    <row r="647" spans="53:79">
      <c r="BJ647" s="88"/>
      <c r="BK647" s="88"/>
      <c r="BL647" s="88"/>
      <c r="BM647" s="88"/>
      <c r="BN647" s="88"/>
      <c r="BO647" s="88"/>
      <c r="BP647" s="88"/>
      <c r="BQ647" s="88"/>
      <c r="BR647" s="88"/>
      <c r="BS647" s="88"/>
      <c r="BT647" s="88"/>
      <c r="BU647" s="88"/>
      <c r="BV647" s="88"/>
      <c r="BW647" s="88"/>
      <c r="BX647" s="88"/>
      <c r="BY647" s="88"/>
      <c r="BZ647" s="88"/>
      <c r="CA647" s="88"/>
    </row>
    <row r="648" spans="53:79">
      <c r="BJ648" s="88"/>
      <c r="BK648" s="88"/>
      <c r="BL648" s="88"/>
      <c r="BM648" s="88"/>
      <c r="BN648" s="88"/>
      <c r="BO648" s="88"/>
      <c r="BP648" s="88"/>
      <c r="BQ648" s="88"/>
      <c r="BR648" s="88"/>
      <c r="BS648" s="88"/>
      <c r="BT648" s="88"/>
      <c r="BU648" s="88"/>
      <c r="BV648" s="88"/>
      <c r="BW648" s="88"/>
      <c r="BX648" s="88"/>
      <c r="BY648" s="88"/>
      <c r="BZ648" s="88"/>
      <c r="CA648" s="88"/>
    </row>
    <row r="649" spans="53:79">
      <c r="BJ649" s="88"/>
      <c r="BK649" s="88"/>
      <c r="BL649" s="88"/>
      <c r="BM649" s="88"/>
      <c r="BN649" s="88"/>
      <c r="BO649" s="88"/>
      <c r="BP649" s="88"/>
      <c r="BQ649" s="88"/>
      <c r="BR649" s="88"/>
      <c r="BS649" s="88"/>
      <c r="BT649" s="88"/>
      <c r="BU649" s="88"/>
      <c r="BV649" s="88"/>
      <c r="BW649" s="88"/>
      <c r="BX649" s="88"/>
      <c r="BY649" s="88"/>
      <c r="BZ649" s="88"/>
      <c r="CA649" s="88"/>
    </row>
    <row r="650" spans="53:79">
      <c r="BJ650" s="88"/>
      <c r="BK650" s="88"/>
      <c r="BL650" s="88"/>
      <c r="BM650" s="88"/>
      <c r="BN650" s="88"/>
      <c r="BO650" s="88"/>
      <c r="BP650" s="88"/>
      <c r="BQ650" s="88"/>
      <c r="BR650" s="88"/>
      <c r="BS650" s="88"/>
      <c r="BT650" s="88"/>
      <c r="BU650" s="88"/>
      <c r="BV650" s="88"/>
      <c r="BW650" s="88"/>
      <c r="BX650" s="88"/>
      <c r="BY650" s="88"/>
      <c r="BZ650" s="88"/>
      <c r="CA650" s="88"/>
    </row>
    <row r="651" spans="53:79">
      <c r="BJ651" s="88"/>
      <c r="BK651" s="88"/>
      <c r="BL651" s="88"/>
      <c r="BM651" s="88"/>
      <c r="BN651" s="88"/>
      <c r="BO651" s="88"/>
      <c r="BP651" s="88"/>
      <c r="BQ651" s="88"/>
      <c r="BR651" s="88"/>
      <c r="BS651" s="88"/>
      <c r="BT651" s="88"/>
      <c r="BU651" s="88"/>
      <c r="BV651" s="88"/>
      <c r="BW651" s="88"/>
      <c r="BX651" s="88"/>
      <c r="BY651" s="88"/>
      <c r="BZ651" s="88"/>
      <c r="CA651" s="88"/>
    </row>
    <row r="652" spans="53:79">
      <c r="BJ652" s="88"/>
      <c r="BK652" s="88"/>
      <c r="BL652" s="88"/>
      <c r="BM652" s="88"/>
      <c r="BN652" s="88"/>
      <c r="BO652" s="88"/>
      <c r="BP652" s="88"/>
      <c r="BQ652" s="88"/>
      <c r="BR652" s="88"/>
      <c r="BS652" s="88"/>
      <c r="BT652" s="88"/>
      <c r="BU652" s="88"/>
      <c r="BV652" s="88"/>
      <c r="BW652" s="88"/>
      <c r="BX652" s="88"/>
      <c r="BY652" s="88"/>
      <c r="BZ652" s="88"/>
      <c r="CA652" s="88"/>
    </row>
    <row r="653" spans="53:79">
      <c r="BJ653" s="88"/>
      <c r="BK653" s="88"/>
      <c r="BL653" s="88"/>
      <c r="BM653" s="88"/>
      <c r="BN653" s="88"/>
      <c r="BO653" s="88"/>
      <c r="BP653" s="88"/>
      <c r="BQ653" s="88"/>
      <c r="BR653" s="88"/>
      <c r="BS653" s="88"/>
      <c r="BT653" s="88"/>
      <c r="BU653" s="88"/>
      <c r="BV653" s="88"/>
      <c r="BW653" s="88"/>
      <c r="BX653" s="88"/>
      <c r="BY653" s="88"/>
      <c r="BZ653" s="88"/>
      <c r="CA653" s="88"/>
    </row>
    <row r="654" spans="53:79">
      <c r="BJ654" s="88"/>
      <c r="BK654" s="238"/>
      <c r="BL654" s="239"/>
      <c r="BM654" s="88"/>
      <c r="BN654" s="88"/>
      <c r="BO654" s="88"/>
      <c r="BP654" s="88"/>
      <c r="BQ654" s="88"/>
      <c r="BR654" s="88"/>
      <c r="BS654" s="88"/>
      <c r="BT654" s="88"/>
      <c r="BU654" s="88"/>
      <c r="BV654" s="88"/>
      <c r="BW654" s="88"/>
      <c r="BX654" s="88"/>
      <c r="BY654" s="88"/>
      <c r="BZ654" s="88"/>
      <c r="CA654" s="88"/>
    </row>
    <row r="655" spans="53:79">
      <c r="BJ655" s="88"/>
      <c r="BK655" s="88"/>
      <c r="BL655" s="88"/>
      <c r="BM655" s="88"/>
      <c r="BN655" s="88"/>
      <c r="BO655" s="88"/>
      <c r="BP655" s="88"/>
      <c r="BQ655" s="88"/>
      <c r="BR655" s="88"/>
      <c r="BS655" s="88"/>
      <c r="BT655" s="88"/>
      <c r="BU655" s="88"/>
      <c r="BV655" s="88"/>
      <c r="BW655" s="88"/>
      <c r="BX655" s="88"/>
      <c r="BY655" s="88"/>
      <c r="BZ655" s="88"/>
      <c r="CA655" s="88"/>
    </row>
    <row r="656" spans="53:79">
      <c r="BJ656" s="88"/>
      <c r="BK656" s="88"/>
      <c r="BL656" s="88"/>
      <c r="BM656" s="88"/>
      <c r="BN656" s="88"/>
      <c r="BO656" s="88"/>
      <c r="BP656" s="88"/>
      <c r="BQ656" s="88"/>
      <c r="BR656" s="88"/>
      <c r="BS656" s="88"/>
      <c r="BT656" s="88"/>
      <c r="BU656" s="88"/>
      <c r="BV656" s="88"/>
      <c r="BW656" s="88"/>
      <c r="BX656" s="88"/>
      <c r="BY656" s="88"/>
      <c r="BZ656" s="88"/>
      <c r="CA656" s="88"/>
    </row>
    <row r="657" spans="62:79">
      <c r="BJ657" s="88"/>
      <c r="BK657" s="88"/>
      <c r="BL657" s="88"/>
      <c r="BM657" s="88"/>
      <c r="BN657" s="88"/>
      <c r="BO657" s="88"/>
      <c r="BP657" s="88"/>
      <c r="BQ657" s="88"/>
      <c r="BR657" s="88"/>
      <c r="BS657" s="88"/>
      <c r="BT657" s="88"/>
      <c r="BU657" s="88"/>
      <c r="BV657" s="88"/>
      <c r="BW657" s="88"/>
      <c r="BX657" s="88"/>
      <c r="BY657" s="88"/>
      <c r="BZ657" s="88"/>
      <c r="CA657" s="88"/>
    </row>
    <row r="658" spans="62:79">
      <c r="BJ658" s="88"/>
      <c r="BK658" s="88"/>
      <c r="BL658" s="88"/>
      <c r="BM658" s="88"/>
      <c r="BN658" s="88"/>
      <c r="BO658" s="88"/>
      <c r="BP658" s="88"/>
      <c r="BQ658" s="88"/>
      <c r="BR658" s="88"/>
      <c r="BS658" s="88"/>
      <c r="BT658" s="88"/>
      <c r="BU658" s="88"/>
      <c r="BV658" s="88"/>
      <c r="BW658" s="88"/>
      <c r="BX658" s="88"/>
      <c r="BY658" s="88"/>
      <c r="BZ658" s="88"/>
      <c r="CA658" s="88"/>
    </row>
    <row r="659" spans="62:79">
      <c r="BJ659" s="88"/>
      <c r="BK659" s="88"/>
      <c r="BL659" s="88"/>
      <c r="BM659" s="88"/>
      <c r="BN659" s="88"/>
      <c r="BO659" s="88"/>
      <c r="BP659" s="88"/>
      <c r="BQ659" s="88"/>
      <c r="BR659" s="88"/>
      <c r="BS659" s="88"/>
      <c r="BT659" s="88"/>
      <c r="BU659" s="88"/>
      <c r="BV659" s="88"/>
      <c r="BW659" s="88"/>
      <c r="BX659" s="88"/>
      <c r="BY659" s="88"/>
      <c r="BZ659" s="88"/>
      <c r="CA659" s="88"/>
    </row>
    <row r="660" spans="62:79">
      <c r="BJ660" s="88"/>
      <c r="BK660" s="88"/>
      <c r="BL660" s="88"/>
      <c r="BM660" s="88"/>
      <c r="BN660" s="88"/>
      <c r="BO660" s="88"/>
      <c r="BP660" s="88"/>
      <c r="BQ660" s="88"/>
      <c r="BR660" s="88"/>
      <c r="BS660" s="88"/>
      <c r="BT660" s="88"/>
      <c r="BU660" s="88"/>
      <c r="BV660" s="88"/>
      <c r="BW660" s="88"/>
      <c r="BX660" s="88"/>
      <c r="BY660" s="88"/>
      <c r="BZ660" s="88"/>
      <c r="CA660" s="88"/>
    </row>
    <row r="661" spans="62:79">
      <c r="BJ661" s="88"/>
      <c r="BK661" s="88"/>
      <c r="BL661" s="88"/>
      <c r="BM661" s="88"/>
      <c r="BN661" s="88"/>
      <c r="BO661" s="88"/>
      <c r="BP661" s="88"/>
      <c r="BQ661" s="88"/>
      <c r="BR661" s="88"/>
      <c r="BS661" s="88"/>
      <c r="BT661" s="88"/>
      <c r="BU661" s="88"/>
      <c r="BV661" s="88"/>
      <c r="BW661" s="88"/>
      <c r="BX661" s="88"/>
      <c r="BY661" s="88"/>
      <c r="BZ661" s="88"/>
      <c r="CA661" s="88"/>
    </row>
    <row r="662" spans="62:79">
      <c r="BJ662" s="88"/>
      <c r="BK662" s="88"/>
      <c r="BL662" s="88"/>
      <c r="BM662" s="88"/>
      <c r="BN662" s="88"/>
      <c r="BO662" s="88"/>
      <c r="BP662" s="88"/>
      <c r="BQ662" s="88"/>
      <c r="BR662" s="88"/>
      <c r="BS662" s="88"/>
      <c r="BT662" s="88"/>
      <c r="BU662" s="88"/>
      <c r="BV662" s="88"/>
      <c r="BW662" s="88"/>
      <c r="BX662" s="88"/>
      <c r="BY662" s="88"/>
      <c r="BZ662" s="88"/>
      <c r="CA662" s="88"/>
    </row>
    <row r="663" spans="62:79">
      <c r="BJ663" s="88"/>
      <c r="BK663" s="88"/>
      <c r="BL663" s="88"/>
      <c r="BM663" s="88"/>
      <c r="BN663" s="88"/>
      <c r="BO663" s="88"/>
      <c r="BP663" s="88"/>
      <c r="BQ663" s="88"/>
      <c r="BR663" s="88"/>
      <c r="BS663" s="88"/>
      <c r="BT663" s="88"/>
      <c r="BU663" s="88"/>
      <c r="BV663" s="88"/>
      <c r="BW663" s="88"/>
      <c r="BX663" s="88"/>
      <c r="BY663" s="88"/>
      <c r="BZ663" s="88"/>
      <c r="CA663" s="88"/>
    </row>
    <row r="664" spans="62:79">
      <c r="BJ664" s="88"/>
      <c r="BK664" s="88"/>
      <c r="BL664" s="88"/>
      <c r="BM664" s="88"/>
      <c r="BN664" s="88"/>
      <c r="BO664" s="88"/>
      <c r="BP664" s="88"/>
      <c r="BQ664" s="88"/>
      <c r="BR664" s="88"/>
      <c r="BS664" s="88"/>
      <c r="BT664" s="88"/>
      <c r="BU664" s="88"/>
      <c r="BV664" s="88"/>
      <c r="BW664" s="88"/>
      <c r="BX664" s="88"/>
      <c r="BY664" s="88"/>
      <c r="BZ664" s="88"/>
      <c r="CA664" s="88"/>
    </row>
    <row r="665" spans="62:79">
      <c r="BJ665" s="88"/>
      <c r="BK665" s="88"/>
      <c r="BL665" s="88"/>
      <c r="BM665" s="88"/>
      <c r="BN665" s="88"/>
      <c r="BO665" s="88"/>
      <c r="BP665" s="88"/>
      <c r="BQ665" s="88"/>
      <c r="BR665" s="88"/>
      <c r="BS665" s="88"/>
      <c r="BT665" s="88"/>
      <c r="BU665" s="88"/>
      <c r="BV665" s="88"/>
      <c r="BW665" s="88"/>
      <c r="BX665" s="88"/>
      <c r="BY665" s="88"/>
      <c r="BZ665" s="88"/>
      <c r="CA665" s="88"/>
    </row>
    <row r="666" spans="62:79">
      <c r="BJ666" s="88"/>
      <c r="BK666" s="88"/>
      <c r="BL666" s="88"/>
      <c r="BM666" s="88"/>
      <c r="BN666" s="88"/>
      <c r="BO666" s="88"/>
      <c r="BP666" s="88"/>
      <c r="BQ666" s="88"/>
      <c r="BR666" s="88"/>
      <c r="BS666" s="88"/>
      <c r="BT666" s="88"/>
      <c r="BU666" s="88"/>
      <c r="BV666" s="88"/>
      <c r="BW666" s="88"/>
      <c r="BX666" s="88"/>
      <c r="BY666" s="88"/>
      <c r="BZ666" s="88"/>
      <c r="CA666" s="88"/>
    </row>
    <row r="667" spans="62:79">
      <c r="BJ667" s="88"/>
      <c r="BK667" s="88"/>
      <c r="BL667" s="88"/>
      <c r="BM667" s="88"/>
      <c r="BN667" s="88"/>
      <c r="BO667" s="88"/>
      <c r="BP667" s="88"/>
      <c r="BQ667" s="88"/>
      <c r="BR667" s="88"/>
      <c r="BS667" s="88"/>
      <c r="BT667" s="88"/>
      <c r="BU667" s="88"/>
      <c r="BV667" s="88"/>
      <c r="BW667" s="88"/>
      <c r="BX667" s="88"/>
      <c r="BY667" s="88"/>
      <c r="BZ667" s="88"/>
      <c r="CA667" s="88"/>
    </row>
    <row r="668" spans="62:79">
      <c r="BJ668" s="88"/>
      <c r="BK668" s="88"/>
      <c r="BL668" s="88"/>
      <c r="BM668" s="88"/>
      <c r="BN668" s="88"/>
      <c r="BO668" s="88"/>
      <c r="BP668" s="88"/>
      <c r="BQ668" s="88"/>
      <c r="BR668" s="88"/>
      <c r="BS668" s="88"/>
      <c r="BT668" s="88"/>
      <c r="BU668" s="88"/>
      <c r="BV668" s="88"/>
      <c r="BW668" s="88"/>
      <c r="BX668" s="88"/>
      <c r="BY668" s="88"/>
      <c r="BZ668" s="88"/>
      <c r="CA668" s="88"/>
    </row>
    <row r="669" spans="62:79">
      <c r="BJ669" s="88"/>
      <c r="BK669" s="88"/>
      <c r="BL669" s="88"/>
      <c r="BM669" s="88"/>
      <c r="BN669" s="88"/>
      <c r="BO669" s="88"/>
      <c r="BP669" s="88"/>
      <c r="BQ669" s="88"/>
      <c r="BR669" s="88"/>
      <c r="BS669" s="88"/>
      <c r="BT669" s="88"/>
      <c r="BU669" s="88"/>
      <c r="BV669" s="88"/>
      <c r="BW669" s="88"/>
      <c r="BX669" s="88"/>
      <c r="BY669" s="88"/>
      <c r="BZ669" s="88"/>
      <c r="CA669" s="88"/>
    </row>
    <row r="670" spans="62:79">
      <c r="BJ670" s="88"/>
      <c r="BK670" s="88"/>
      <c r="BL670" s="88"/>
      <c r="BM670" s="88"/>
      <c r="BN670" s="88"/>
      <c r="BO670" s="88"/>
      <c r="BP670" s="88"/>
      <c r="BQ670" s="88"/>
      <c r="BR670" s="88"/>
      <c r="BS670" s="88"/>
      <c r="BT670" s="88"/>
      <c r="BU670" s="88"/>
      <c r="BV670" s="88"/>
      <c r="BW670" s="88"/>
      <c r="BX670" s="88"/>
      <c r="BY670" s="88"/>
      <c r="BZ670" s="88"/>
      <c r="CA670" s="88"/>
    </row>
    <row r="671" spans="62:79">
      <c r="BJ671" s="88"/>
      <c r="BK671" s="88"/>
      <c r="BL671" s="88"/>
      <c r="BM671" s="88"/>
      <c r="BN671" s="88"/>
      <c r="BO671" s="88"/>
      <c r="BP671" s="88"/>
      <c r="BQ671" s="88"/>
      <c r="BR671" s="88"/>
      <c r="BS671" s="88"/>
      <c r="BT671" s="88"/>
      <c r="BU671" s="88"/>
      <c r="BV671" s="88"/>
      <c r="BW671" s="88"/>
      <c r="BX671" s="88"/>
      <c r="BY671" s="88"/>
      <c r="BZ671" s="88"/>
      <c r="CA671" s="88"/>
    </row>
    <row r="672" spans="62:79">
      <c r="BJ672" s="88"/>
      <c r="BK672" s="88"/>
      <c r="BL672" s="88"/>
      <c r="BM672" s="88"/>
      <c r="BN672" s="88"/>
      <c r="BO672" s="88"/>
      <c r="BP672" s="88"/>
      <c r="BQ672" s="88"/>
      <c r="BR672" s="88"/>
      <c r="BS672" s="88"/>
      <c r="BT672" s="88"/>
      <c r="BU672" s="88"/>
      <c r="BV672" s="88"/>
      <c r="BW672" s="88"/>
      <c r="BX672" s="88"/>
      <c r="BY672" s="88"/>
      <c r="BZ672" s="88"/>
      <c r="CA672" s="88"/>
    </row>
    <row r="673" spans="62:79">
      <c r="BJ673" s="88"/>
      <c r="BK673" s="88"/>
      <c r="BL673" s="88"/>
      <c r="BM673" s="88"/>
      <c r="BN673" s="88"/>
      <c r="BO673" s="88"/>
      <c r="BP673" s="88"/>
      <c r="BQ673" s="88"/>
      <c r="BR673" s="88"/>
      <c r="BS673" s="88"/>
      <c r="BT673" s="88"/>
      <c r="BU673" s="88"/>
      <c r="BV673" s="88"/>
      <c r="BW673" s="88"/>
      <c r="BX673" s="88"/>
      <c r="BY673" s="88"/>
      <c r="BZ673" s="88"/>
      <c r="CA673" s="88"/>
    </row>
    <row r="674" spans="62:79">
      <c r="BJ674" s="88"/>
      <c r="BK674" s="88"/>
      <c r="BL674" s="88"/>
      <c r="BM674" s="88"/>
      <c r="BN674" s="88"/>
      <c r="BO674" s="88"/>
      <c r="BP674" s="88"/>
      <c r="BQ674" s="88"/>
      <c r="BR674" s="88"/>
      <c r="BS674" s="88"/>
      <c r="BT674" s="88"/>
      <c r="BU674" s="88"/>
      <c r="BV674" s="88"/>
      <c r="BW674" s="88"/>
      <c r="BX674" s="88"/>
      <c r="BY674" s="88"/>
      <c r="BZ674" s="88"/>
      <c r="CA674" s="88"/>
    </row>
    <row r="675" spans="62:79">
      <c r="BJ675" s="88"/>
      <c r="BK675" s="88"/>
      <c r="BL675" s="88"/>
      <c r="BM675" s="88"/>
      <c r="BN675" s="88"/>
      <c r="BO675" s="88"/>
      <c r="BP675" s="88"/>
      <c r="BQ675" s="88"/>
      <c r="BR675" s="88"/>
      <c r="BS675" s="88"/>
      <c r="BT675" s="88"/>
      <c r="BU675" s="88"/>
      <c r="BV675" s="88"/>
      <c r="BW675" s="88"/>
      <c r="BX675" s="88"/>
      <c r="BY675" s="88"/>
      <c r="BZ675" s="88"/>
      <c r="CA675" s="88"/>
    </row>
    <row r="676" spans="62:79">
      <c r="BJ676" s="88"/>
      <c r="BK676" s="88"/>
      <c r="BL676" s="88"/>
      <c r="BM676" s="88"/>
      <c r="BN676" s="88"/>
      <c r="BO676" s="88"/>
      <c r="BP676" s="88"/>
      <c r="BQ676" s="88"/>
      <c r="BR676" s="88"/>
      <c r="BS676" s="88"/>
      <c r="BT676" s="88"/>
      <c r="BU676" s="88"/>
      <c r="BV676" s="88"/>
      <c r="BW676" s="88"/>
      <c r="BX676" s="88"/>
      <c r="BY676" s="88"/>
      <c r="BZ676" s="88"/>
      <c r="CA676" s="88"/>
    </row>
    <row r="677" spans="62:79">
      <c r="BJ677" s="88"/>
      <c r="BK677" s="88"/>
      <c r="BL677" s="88"/>
      <c r="BM677" s="88"/>
      <c r="BN677" s="88"/>
      <c r="BO677" s="88"/>
      <c r="BP677" s="88"/>
      <c r="BQ677" s="88"/>
      <c r="BR677" s="88"/>
      <c r="BS677" s="88"/>
      <c r="BT677" s="88"/>
      <c r="BU677" s="88"/>
      <c r="BV677" s="88"/>
      <c r="BW677" s="88"/>
      <c r="BX677" s="88"/>
      <c r="BY677" s="88"/>
      <c r="BZ677" s="88"/>
      <c r="CA677" s="88"/>
    </row>
    <row r="678" spans="62:79">
      <c r="BJ678" s="88"/>
      <c r="BK678" s="88"/>
      <c r="BL678" s="88"/>
      <c r="BM678" s="88"/>
      <c r="BN678" s="88"/>
      <c r="BO678" s="88"/>
      <c r="BP678" s="88"/>
      <c r="BQ678" s="88"/>
      <c r="BR678" s="88"/>
      <c r="BS678" s="88"/>
      <c r="BT678" s="88"/>
      <c r="BU678" s="88"/>
      <c r="BV678" s="88"/>
      <c r="BW678" s="88"/>
      <c r="BX678" s="88"/>
      <c r="BY678" s="88"/>
      <c r="BZ678" s="88"/>
      <c r="CA678" s="88"/>
    </row>
    <row r="679" spans="62:79">
      <c r="BJ679" s="88"/>
      <c r="BK679" s="88"/>
      <c r="BL679" s="88"/>
      <c r="BM679" s="88"/>
      <c r="BN679" s="88"/>
      <c r="BO679" s="88"/>
      <c r="BP679" s="88"/>
      <c r="BQ679" s="88"/>
      <c r="BR679" s="88"/>
      <c r="BS679" s="88"/>
      <c r="BT679" s="88"/>
      <c r="BU679" s="88"/>
      <c r="BV679" s="88"/>
      <c r="BW679" s="88"/>
      <c r="BX679" s="88"/>
      <c r="BY679" s="88"/>
      <c r="BZ679" s="88"/>
      <c r="CA679" s="88"/>
    </row>
    <row r="680" spans="62:79">
      <c r="BJ680" s="88"/>
      <c r="BK680" s="88"/>
      <c r="BL680" s="88"/>
      <c r="BM680" s="88"/>
      <c r="BN680" s="88"/>
      <c r="BO680" s="88"/>
      <c r="BP680" s="88"/>
      <c r="BQ680" s="88"/>
      <c r="BR680" s="88"/>
      <c r="BS680" s="88"/>
      <c r="BT680" s="88"/>
      <c r="BU680" s="88"/>
      <c r="BV680" s="88"/>
      <c r="BW680" s="88"/>
      <c r="BX680" s="88"/>
      <c r="BY680" s="88"/>
      <c r="BZ680" s="88"/>
      <c r="CA680" s="88"/>
    </row>
    <row r="681" spans="62:79">
      <c r="BJ681" s="88"/>
      <c r="BK681" s="88"/>
      <c r="BL681" s="88"/>
      <c r="BM681" s="88"/>
      <c r="BN681" s="88"/>
      <c r="BO681" s="88"/>
      <c r="BP681" s="88"/>
      <c r="BQ681" s="88"/>
      <c r="BR681" s="88"/>
      <c r="BS681" s="88"/>
      <c r="BT681" s="88"/>
      <c r="BU681" s="88"/>
      <c r="BV681" s="88"/>
      <c r="BW681" s="88"/>
      <c r="BX681" s="88"/>
      <c r="BY681" s="88"/>
      <c r="BZ681" s="88"/>
      <c r="CA681" s="88"/>
    </row>
    <row r="682" spans="62:79">
      <c r="BJ682" s="88"/>
      <c r="BK682" s="88"/>
      <c r="BL682" s="88"/>
      <c r="BM682" s="88"/>
      <c r="BN682" s="88"/>
      <c r="BO682" s="88"/>
      <c r="BP682" s="88"/>
      <c r="BQ682" s="88"/>
      <c r="BR682" s="88"/>
      <c r="BS682" s="88"/>
      <c r="BT682" s="88"/>
      <c r="BU682" s="88"/>
      <c r="BV682" s="88"/>
      <c r="BW682" s="88"/>
      <c r="BX682" s="88"/>
      <c r="BY682" s="88"/>
      <c r="BZ682" s="88"/>
      <c r="CA682" s="88"/>
    </row>
    <row r="683" spans="62:79">
      <c r="BJ683" s="88"/>
      <c r="BK683" s="88"/>
      <c r="BL683" s="88"/>
      <c r="BM683" s="88"/>
      <c r="BN683" s="88"/>
      <c r="BO683" s="88"/>
      <c r="BP683" s="88"/>
      <c r="BQ683" s="88"/>
      <c r="BR683" s="88"/>
      <c r="BS683" s="88"/>
      <c r="BT683" s="88"/>
      <c r="BU683" s="88"/>
      <c r="BV683" s="88"/>
      <c r="BW683" s="88"/>
      <c r="BX683" s="88"/>
      <c r="BY683" s="88"/>
      <c r="BZ683" s="88"/>
      <c r="CA683" s="88"/>
    </row>
    <row r="684" spans="62:79">
      <c r="BJ684" s="88"/>
      <c r="BK684" s="88"/>
      <c r="BL684" s="88"/>
      <c r="BM684" s="88"/>
      <c r="BN684" s="88"/>
      <c r="BO684" s="88"/>
      <c r="BP684" s="88"/>
      <c r="BQ684" s="88"/>
      <c r="BR684" s="88"/>
      <c r="BS684" s="88"/>
      <c r="BT684" s="88"/>
      <c r="BU684" s="88"/>
      <c r="BV684" s="88"/>
      <c r="BW684" s="88"/>
      <c r="BX684" s="88"/>
      <c r="BY684" s="88"/>
      <c r="BZ684" s="88"/>
      <c r="CA684" s="88"/>
    </row>
    <row r="685" spans="62:79">
      <c r="BJ685" s="88"/>
      <c r="BK685" s="88"/>
      <c r="BL685" s="88"/>
      <c r="BM685" s="88"/>
      <c r="BN685" s="88"/>
      <c r="BO685" s="88"/>
      <c r="BP685" s="88"/>
      <c r="BQ685" s="88"/>
      <c r="BR685" s="88"/>
      <c r="BS685" s="88"/>
      <c r="BT685" s="88"/>
      <c r="BU685" s="88"/>
      <c r="BV685" s="88"/>
      <c r="BW685" s="88"/>
      <c r="BX685" s="88"/>
      <c r="BY685" s="88"/>
      <c r="BZ685" s="88"/>
      <c r="CA685" s="88"/>
    </row>
    <row r="686" spans="62:79">
      <c r="BJ686" s="88"/>
      <c r="BK686" s="88"/>
      <c r="BL686" s="88"/>
      <c r="BM686" s="88"/>
      <c r="BN686" s="88"/>
      <c r="BO686" s="88"/>
      <c r="BP686" s="88"/>
      <c r="BQ686" s="88"/>
      <c r="BR686" s="88"/>
      <c r="BS686" s="88"/>
      <c r="BT686" s="88"/>
      <c r="BU686" s="88"/>
      <c r="BV686" s="88"/>
      <c r="BW686" s="88"/>
      <c r="BX686" s="88"/>
      <c r="BY686" s="88"/>
      <c r="BZ686" s="88"/>
      <c r="CA686" s="88"/>
    </row>
    <row r="687" spans="62:79">
      <c r="BJ687" s="88"/>
      <c r="BK687" s="88"/>
      <c r="BL687" s="88"/>
      <c r="BM687" s="88"/>
      <c r="BN687" s="88"/>
      <c r="BO687" s="88"/>
      <c r="BP687" s="88"/>
      <c r="BQ687" s="88"/>
      <c r="BR687" s="88"/>
      <c r="BS687" s="88"/>
      <c r="BT687" s="88"/>
      <c r="BU687" s="88"/>
      <c r="BV687" s="88"/>
      <c r="BW687" s="88"/>
      <c r="BX687" s="88"/>
      <c r="BY687" s="88"/>
      <c r="BZ687" s="88"/>
      <c r="CA687" s="88"/>
    </row>
    <row r="688" spans="62:79">
      <c r="BJ688" s="88"/>
      <c r="BK688" s="88"/>
      <c r="BL688" s="88"/>
      <c r="BM688" s="88"/>
      <c r="BN688" s="88"/>
      <c r="BO688" s="88"/>
      <c r="BP688" s="88"/>
      <c r="BQ688" s="88"/>
      <c r="BR688" s="88"/>
      <c r="BS688" s="88"/>
      <c r="BT688" s="88"/>
      <c r="BU688" s="88"/>
      <c r="BV688" s="88"/>
      <c r="BW688" s="88"/>
      <c r="BX688" s="88"/>
      <c r="BY688" s="88"/>
      <c r="BZ688" s="88"/>
      <c r="CA688" s="88"/>
    </row>
    <row r="689" spans="62:79">
      <c r="BJ689" s="88"/>
      <c r="BK689" s="88"/>
      <c r="BL689" s="88"/>
      <c r="BM689" s="88"/>
      <c r="BN689" s="88"/>
      <c r="BO689" s="88"/>
      <c r="BP689" s="88"/>
      <c r="BQ689" s="88"/>
      <c r="BR689" s="88"/>
      <c r="BS689" s="88"/>
      <c r="BT689" s="88"/>
      <c r="BU689" s="88"/>
      <c r="BV689" s="88"/>
      <c r="BW689" s="88"/>
      <c r="BX689" s="88"/>
      <c r="BY689" s="88"/>
      <c r="BZ689" s="88"/>
      <c r="CA689" s="88"/>
    </row>
    <row r="690" spans="62:79">
      <c r="BJ690" s="88"/>
      <c r="BK690" s="88"/>
      <c r="BL690" s="88"/>
      <c r="BM690" s="88"/>
      <c r="BN690" s="88"/>
      <c r="BO690" s="88"/>
      <c r="BP690" s="88"/>
      <c r="BQ690" s="88"/>
      <c r="BR690" s="88"/>
      <c r="BS690" s="88"/>
      <c r="BT690" s="88"/>
      <c r="BU690" s="88"/>
      <c r="BV690" s="88"/>
      <c r="BW690" s="88"/>
      <c r="BX690" s="88"/>
      <c r="BY690" s="88"/>
      <c r="BZ690" s="88"/>
      <c r="CA690" s="88"/>
    </row>
    <row r="691" spans="62:79">
      <c r="BJ691" s="88"/>
      <c r="BK691" s="88"/>
      <c r="BL691" s="88"/>
      <c r="BM691" s="88"/>
      <c r="BN691" s="88"/>
      <c r="BO691" s="88"/>
      <c r="BP691" s="88"/>
      <c r="BQ691" s="88"/>
      <c r="BR691" s="88"/>
      <c r="BS691" s="88"/>
      <c r="BT691" s="88"/>
      <c r="BU691" s="88"/>
      <c r="BV691" s="88"/>
      <c r="BW691" s="88"/>
      <c r="BX691" s="88"/>
      <c r="BY691" s="88"/>
      <c r="BZ691" s="88"/>
      <c r="CA691" s="88"/>
    </row>
    <row r="692" spans="62:79">
      <c r="BJ692" s="88"/>
      <c r="BK692" s="88"/>
      <c r="BL692" s="88"/>
      <c r="BM692" s="88"/>
      <c r="BN692" s="88"/>
      <c r="BO692" s="88"/>
      <c r="BP692" s="88"/>
      <c r="BQ692" s="88"/>
      <c r="BR692" s="88"/>
      <c r="BS692" s="88"/>
      <c r="BT692" s="88"/>
      <c r="BU692" s="88"/>
      <c r="BV692" s="88"/>
      <c r="BW692" s="88"/>
      <c r="BX692" s="88"/>
      <c r="BY692" s="88"/>
      <c r="BZ692" s="88"/>
      <c r="CA692" s="88"/>
    </row>
  </sheetData>
  <mergeCells count="7373">
    <mergeCell ref="AC10:AF10"/>
    <mergeCell ref="AG10:AJ10"/>
    <mergeCell ref="AK10:AN10"/>
    <mergeCell ref="AO10:AR10"/>
    <mergeCell ref="AS10:AV10"/>
    <mergeCell ref="AW10:AZ10"/>
    <mergeCell ref="E10:H10"/>
    <mergeCell ref="I10:L10"/>
    <mergeCell ref="M10:P10"/>
    <mergeCell ref="Q10:T10"/>
    <mergeCell ref="U10:X10"/>
    <mergeCell ref="Y10:AB10"/>
    <mergeCell ref="A4:Q4"/>
    <mergeCell ref="R4:W4"/>
    <mergeCell ref="X4:AC4"/>
    <mergeCell ref="AD4:AI4"/>
    <mergeCell ref="AJ4:AZ4"/>
    <mergeCell ref="AT6:AZ6"/>
    <mergeCell ref="AC12:AF12"/>
    <mergeCell ref="AG12:AJ12"/>
    <mergeCell ref="AK12:AN12"/>
    <mergeCell ref="AO12:AR12"/>
    <mergeCell ref="AS12:AV12"/>
    <mergeCell ref="AW12:AZ12"/>
    <mergeCell ref="E12:H12"/>
    <mergeCell ref="I12:L12"/>
    <mergeCell ref="M12:P12"/>
    <mergeCell ref="Q12:T12"/>
    <mergeCell ref="U12:X12"/>
    <mergeCell ref="Y12:AB12"/>
    <mergeCell ref="AC11:AF11"/>
    <mergeCell ref="AG11:AJ11"/>
    <mergeCell ref="AK11:AN11"/>
    <mergeCell ref="AO11:AR11"/>
    <mergeCell ref="AS11:AV11"/>
    <mergeCell ref="AW11:AZ11"/>
    <mergeCell ref="E11:H11"/>
    <mergeCell ref="I11:L11"/>
    <mergeCell ref="M11:P11"/>
    <mergeCell ref="Q11:T11"/>
    <mergeCell ref="U11:X11"/>
    <mergeCell ref="Y11:AB11"/>
    <mergeCell ref="AC14:AF14"/>
    <mergeCell ref="AG14:AJ14"/>
    <mergeCell ref="AK14:AN14"/>
    <mergeCell ref="AO14:AR14"/>
    <mergeCell ref="AS14:AV14"/>
    <mergeCell ref="AW14:AZ14"/>
    <mergeCell ref="E14:H14"/>
    <mergeCell ref="I14:L14"/>
    <mergeCell ref="M14:P14"/>
    <mergeCell ref="Q14:T14"/>
    <mergeCell ref="U14:X14"/>
    <mergeCell ref="Y14:AB14"/>
    <mergeCell ref="AC13:AF13"/>
    <mergeCell ref="AG13:AJ13"/>
    <mergeCell ref="AK13:AN13"/>
    <mergeCell ref="AO13:AR13"/>
    <mergeCell ref="AS13:AV13"/>
    <mergeCell ref="AW13:AZ13"/>
    <mergeCell ref="E13:H13"/>
    <mergeCell ref="I13:L13"/>
    <mergeCell ref="M13:P13"/>
    <mergeCell ref="Q13:T13"/>
    <mergeCell ref="U13:X13"/>
    <mergeCell ref="Y13:AB13"/>
    <mergeCell ref="AW17:AZ17"/>
    <mergeCell ref="E18:H18"/>
    <mergeCell ref="I18:L18"/>
    <mergeCell ref="M18:P18"/>
    <mergeCell ref="Q18:T18"/>
    <mergeCell ref="U18:X18"/>
    <mergeCell ref="Y18:AB18"/>
    <mergeCell ref="AC18:AF18"/>
    <mergeCell ref="AG18:AJ18"/>
    <mergeCell ref="AK18:AN18"/>
    <mergeCell ref="Y17:AB17"/>
    <mergeCell ref="AC17:AF17"/>
    <mergeCell ref="AG17:AJ17"/>
    <mergeCell ref="AK17:AN17"/>
    <mergeCell ref="AO17:AR17"/>
    <mergeCell ref="AS17:AV17"/>
    <mergeCell ref="AG15:AJ15"/>
    <mergeCell ref="AK15:AN15"/>
    <mergeCell ref="AO15:AR15"/>
    <mergeCell ref="AS15:AV15"/>
    <mergeCell ref="AW15:AZ15"/>
    <mergeCell ref="E17:H17"/>
    <mergeCell ref="I17:L17"/>
    <mergeCell ref="M17:P17"/>
    <mergeCell ref="Q17:T17"/>
    <mergeCell ref="U17:X17"/>
    <mergeCell ref="I15:L15"/>
    <mergeCell ref="M15:P15"/>
    <mergeCell ref="Q15:T15"/>
    <mergeCell ref="U15:X15"/>
    <mergeCell ref="Y15:AB15"/>
    <mergeCell ref="AC15:AF15"/>
    <mergeCell ref="AG19:AJ19"/>
    <mergeCell ref="AK19:AN19"/>
    <mergeCell ref="AO19:AR19"/>
    <mergeCell ref="AS19:AV19"/>
    <mergeCell ref="AW19:AZ19"/>
    <mergeCell ref="E20:H20"/>
    <mergeCell ref="I20:L20"/>
    <mergeCell ref="M20:P20"/>
    <mergeCell ref="Q20:T20"/>
    <mergeCell ref="U20:X20"/>
    <mergeCell ref="AO18:AR18"/>
    <mergeCell ref="AS18:AV18"/>
    <mergeCell ref="AW18:AZ18"/>
    <mergeCell ref="E19:H19"/>
    <mergeCell ref="I19:L19"/>
    <mergeCell ref="M19:P19"/>
    <mergeCell ref="Q19:T19"/>
    <mergeCell ref="U19:X19"/>
    <mergeCell ref="Y19:AB19"/>
    <mergeCell ref="AC19:AF19"/>
    <mergeCell ref="AO21:AR21"/>
    <mergeCell ref="AS21:AV21"/>
    <mergeCell ref="AW21:AZ21"/>
    <mergeCell ref="E22:H22"/>
    <mergeCell ref="I22:L22"/>
    <mergeCell ref="M22:P22"/>
    <mergeCell ref="Q22:T22"/>
    <mergeCell ref="U22:X22"/>
    <mergeCell ref="Y22:AB22"/>
    <mergeCell ref="AC22:AF22"/>
    <mergeCell ref="AW20:AZ20"/>
    <mergeCell ref="E21:H21"/>
    <mergeCell ref="I21:L21"/>
    <mergeCell ref="M21:P21"/>
    <mergeCell ref="Q21:T21"/>
    <mergeCell ref="U21:X21"/>
    <mergeCell ref="Y21:AB21"/>
    <mergeCell ref="AC21:AF21"/>
    <mergeCell ref="AG21:AJ21"/>
    <mergeCell ref="AK21:AN21"/>
    <mergeCell ref="Y20:AB20"/>
    <mergeCell ref="AC20:AF20"/>
    <mergeCell ref="AG20:AJ20"/>
    <mergeCell ref="AK20:AN20"/>
    <mergeCell ref="AO20:AR20"/>
    <mergeCell ref="AS20:AV20"/>
    <mergeCell ref="AW23:AZ23"/>
    <mergeCell ref="E24:H24"/>
    <mergeCell ref="I24:L24"/>
    <mergeCell ref="M24:P24"/>
    <mergeCell ref="Q24:T24"/>
    <mergeCell ref="U24:X24"/>
    <mergeCell ref="Y24:AB24"/>
    <mergeCell ref="AC24:AF24"/>
    <mergeCell ref="AG24:AJ24"/>
    <mergeCell ref="AK24:AN24"/>
    <mergeCell ref="Y23:AB23"/>
    <mergeCell ref="AC23:AF23"/>
    <mergeCell ref="AG23:AJ23"/>
    <mergeCell ref="AK23:AN23"/>
    <mergeCell ref="AO23:AR23"/>
    <mergeCell ref="AS23:AV23"/>
    <mergeCell ref="AG22:AJ22"/>
    <mergeCell ref="AK22:AN22"/>
    <mergeCell ref="AO22:AR22"/>
    <mergeCell ref="AS22:AV22"/>
    <mergeCell ref="AW22:AZ22"/>
    <mergeCell ref="E23:H23"/>
    <mergeCell ref="I23:L23"/>
    <mergeCell ref="M23:P23"/>
    <mergeCell ref="Q23:T23"/>
    <mergeCell ref="U23:X23"/>
    <mergeCell ref="AG25:AJ25"/>
    <mergeCell ref="AK25:AN25"/>
    <mergeCell ref="AO25:AR25"/>
    <mergeCell ref="AS25:AV25"/>
    <mergeCell ref="AW25:AZ25"/>
    <mergeCell ref="E26:H26"/>
    <mergeCell ref="I26:L26"/>
    <mergeCell ref="M26:P26"/>
    <mergeCell ref="Q26:T26"/>
    <mergeCell ref="U26:X26"/>
    <mergeCell ref="AO24:AR24"/>
    <mergeCell ref="AS24:AV24"/>
    <mergeCell ref="AW24:AZ24"/>
    <mergeCell ref="E25:H25"/>
    <mergeCell ref="I25:L25"/>
    <mergeCell ref="M25:P25"/>
    <mergeCell ref="Q25:T25"/>
    <mergeCell ref="U25:X25"/>
    <mergeCell ref="Y25:AB25"/>
    <mergeCell ref="AC25:AF25"/>
    <mergeCell ref="AO27:AR27"/>
    <mergeCell ref="AS27:AV27"/>
    <mergeCell ref="AW27:AZ27"/>
    <mergeCell ref="E28:H28"/>
    <mergeCell ref="I28:L28"/>
    <mergeCell ref="M28:P28"/>
    <mergeCell ref="Q28:T28"/>
    <mergeCell ref="U28:X28"/>
    <mergeCell ref="Y28:AB28"/>
    <mergeCell ref="AC28:AF28"/>
    <mergeCell ref="AW26:AZ26"/>
    <mergeCell ref="E27:H27"/>
    <mergeCell ref="I27:L27"/>
    <mergeCell ref="M27:P27"/>
    <mergeCell ref="Q27:T27"/>
    <mergeCell ref="U27:X27"/>
    <mergeCell ref="Y27:AB27"/>
    <mergeCell ref="AC27:AF27"/>
    <mergeCell ref="AG27:AJ27"/>
    <mergeCell ref="AK27:AN27"/>
    <mergeCell ref="Y26:AB26"/>
    <mergeCell ref="AC26:AF26"/>
    <mergeCell ref="AG26:AJ26"/>
    <mergeCell ref="AK26:AN26"/>
    <mergeCell ref="AO26:AR26"/>
    <mergeCell ref="AS26:AV26"/>
    <mergeCell ref="AK29:AN29"/>
    <mergeCell ref="AO29:AR29"/>
    <mergeCell ref="AS29:AV29"/>
    <mergeCell ref="AW29:AZ29"/>
    <mergeCell ref="E30:H30"/>
    <mergeCell ref="I30:L30"/>
    <mergeCell ref="M30:P30"/>
    <mergeCell ref="Q30:T30"/>
    <mergeCell ref="U30:X30"/>
    <mergeCell ref="Y30:AB30"/>
    <mergeCell ref="BP28:BU28"/>
    <mergeCell ref="BV28:CA28"/>
    <mergeCell ref="E29:H29"/>
    <mergeCell ref="I29:L29"/>
    <mergeCell ref="M29:P29"/>
    <mergeCell ref="Q29:T29"/>
    <mergeCell ref="U29:X29"/>
    <mergeCell ref="Y29:AB29"/>
    <mergeCell ref="AC29:AF29"/>
    <mergeCell ref="AG29:AJ29"/>
    <mergeCell ref="AG28:AJ28"/>
    <mergeCell ref="AK28:AN28"/>
    <mergeCell ref="AO28:AR28"/>
    <mergeCell ref="AS28:AV28"/>
    <mergeCell ref="AW28:AZ28"/>
    <mergeCell ref="BL28:BO28"/>
    <mergeCell ref="AC31:AF31"/>
    <mergeCell ref="AG31:AJ31"/>
    <mergeCell ref="AK31:AN31"/>
    <mergeCell ref="AO31:AR31"/>
    <mergeCell ref="AS31:AV31"/>
    <mergeCell ref="AW31:AZ31"/>
    <mergeCell ref="E31:H31"/>
    <mergeCell ref="I31:L31"/>
    <mergeCell ref="M31:P31"/>
    <mergeCell ref="Q31:T31"/>
    <mergeCell ref="U31:X31"/>
    <mergeCell ref="Y31:AB31"/>
    <mergeCell ref="AC30:AF30"/>
    <mergeCell ref="AG30:AJ30"/>
    <mergeCell ref="AK30:AN30"/>
    <mergeCell ref="AO30:AR30"/>
    <mergeCell ref="AS30:AV30"/>
    <mergeCell ref="AW30:AZ30"/>
    <mergeCell ref="AC33:AF33"/>
    <mergeCell ref="AG33:AJ33"/>
    <mergeCell ref="AK33:AN33"/>
    <mergeCell ref="AO33:AR33"/>
    <mergeCell ref="AS33:AV33"/>
    <mergeCell ref="AW33:AZ33"/>
    <mergeCell ref="E33:H33"/>
    <mergeCell ref="I33:L33"/>
    <mergeCell ref="M33:P33"/>
    <mergeCell ref="Q33:T33"/>
    <mergeCell ref="U33:X33"/>
    <mergeCell ref="Y33:AB33"/>
    <mergeCell ref="AC32:AF32"/>
    <mergeCell ref="AG32:AJ32"/>
    <mergeCell ref="AK32:AN32"/>
    <mergeCell ref="AO32:AR32"/>
    <mergeCell ref="AS32:AV32"/>
    <mergeCell ref="AW32:AZ32"/>
    <mergeCell ref="E32:H32"/>
    <mergeCell ref="I32:L32"/>
    <mergeCell ref="M32:P32"/>
    <mergeCell ref="Q32:T32"/>
    <mergeCell ref="U32:X32"/>
    <mergeCell ref="Y32:AB32"/>
    <mergeCell ref="AC35:AF35"/>
    <mergeCell ref="AG35:AJ35"/>
    <mergeCell ref="AK35:AN35"/>
    <mergeCell ref="AO35:AR35"/>
    <mergeCell ref="AS35:AV35"/>
    <mergeCell ref="AW35:AZ35"/>
    <mergeCell ref="E35:H35"/>
    <mergeCell ref="I35:L35"/>
    <mergeCell ref="M35:P35"/>
    <mergeCell ref="Q35:T35"/>
    <mergeCell ref="U35:X35"/>
    <mergeCell ref="Y35:AB35"/>
    <mergeCell ref="AC34:AF34"/>
    <mergeCell ref="AG34:AJ34"/>
    <mergeCell ref="AK34:AN34"/>
    <mergeCell ref="AO34:AR34"/>
    <mergeCell ref="AS34:AV34"/>
    <mergeCell ref="AW34:AZ34"/>
    <mergeCell ref="E34:H34"/>
    <mergeCell ref="I34:L34"/>
    <mergeCell ref="M34:P34"/>
    <mergeCell ref="Q34:T34"/>
    <mergeCell ref="U34:X34"/>
    <mergeCell ref="Y34:AB34"/>
    <mergeCell ref="AC37:AF37"/>
    <mergeCell ref="AG37:AJ37"/>
    <mergeCell ref="AK37:AN37"/>
    <mergeCell ref="AO37:AR37"/>
    <mergeCell ref="AS37:AV37"/>
    <mergeCell ref="AW37:AZ37"/>
    <mergeCell ref="E37:H37"/>
    <mergeCell ref="I37:L37"/>
    <mergeCell ref="M37:P37"/>
    <mergeCell ref="Q37:T37"/>
    <mergeCell ref="U37:X37"/>
    <mergeCell ref="Y37:AB37"/>
    <mergeCell ref="AC36:AF36"/>
    <mergeCell ref="AG36:AJ36"/>
    <mergeCell ref="AK36:AN36"/>
    <mergeCell ref="AO36:AR36"/>
    <mergeCell ref="AS36:AV36"/>
    <mergeCell ref="AW36:AZ36"/>
    <mergeCell ref="E36:H36"/>
    <mergeCell ref="I36:L36"/>
    <mergeCell ref="M36:P36"/>
    <mergeCell ref="Q36:T36"/>
    <mergeCell ref="U36:X36"/>
    <mergeCell ref="Y36:AB36"/>
    <mergeCell ref="AC39:AF39"/>
    <mergeCell ref="AG39:AJ39"/>
    <mergeCell ref="AK39:AN39"/>
    <mergeCell ref="AO39:AR39"/>
    <mergeCell ref="AS39:AV39"/>
    <mergeCell ref="AW39:AZ39"/>
    <mergeCell ref="E39:H39"/>
    <mergeCell ref="I39:L39"/>
    <mergeCell ref="M39:P39"/>
    <mergeCell ref="Q39:T39"/>
    <mergeCell ref="U39:X39"/>
    <mergeCell ref="Y39:AB39"/>
    <mergeCell ref="AC38:AF38"/>
    <mergeCell ref="AG38:AJ38"/>
    <mergeCell ref="AK38:AN38"/>
    <mergeCell ref="AO38:AR38"/>
    <mergeCell ref="AS38:AV38"/>
    <mergeCell ref="AW38:AZ38"/>
    <mergeCell ref="E38:H38"/>
    <mergeCell ref="I38:L38"/>
    <mergeCell ref="M38:P38"/>
    <mergeCell ref="Q38:T38"/>
    <mergeCell ref="U38:X38"/>
    <mergeCell ref="Y38:AB38"/>
    <mergeCell ref="AC41:AF41"/>
    <mergeCell ref="AG41:AJ41"/>
    <mergeCell ref="AK41:AN41"/>
    <mergeCell ref="AO41:AR41"/>
    <mergeCell ref="AS41:AV41"/>
    <mergeCell ref="AW41:AZ41"/>
    <mergeCell ref="E41:H41"/>
    <mergeCell ref="I41:L41"/>
    <mergeCell ref="M41:P41"/>
    <mergeCell ref="Q41:T41"/>
    <mergeCell ref="U41:X41"/>
    <mergeCell ref="Y41:AB41"/>
    <mergeCell ref="AC40:AF40"/>
    <mergeCell ref="AG40:AJ40"/>
    <mergeCell ref="AK40:AN40"/>
    <mergeCell ref="AO40:AR40"/>
    <mergeCell ref="AS40:AV40"/>
    <mergeCell ref="AW40:AZ40"/>
    <mergeCell ref="E40:H40"/>
    <mergeCell ref="I40:L40"/>
    <mergeCell ref="M40:P40"/>
    <mergeCell ref="Q40:T40"/>
    <mergeCell ref="U40:X40"/>
    <mergeCell ref="Y40:AB40"/>
    <mergeCell ref="AC43:AF43"/>
    <mergeCell ref="AG43:AJ43"/>
    <mergeCell ref="AK43:AN43"/>
    <mergeCell ref="AO43:AR43"/>
    <mergeCell ref="AS43:AV43"/>
    <mergeCell ref="AW43:AZ43"/>
    <mergeCell ref="E43:H43"/>
    <mergeCell ref="I43:L43"/>
    <mergeCell ref="M43:P43"/>
    <mergeCell ref="Q43:T43"/>
    <mergeCell ref="U43:X43"/>
    <mergeCell ref="Y43:AB43"/>
    <mergeCell ref="AC42:AF42"/>
    <mergeCell ref="AG42:AJ42"/>
    <mergeCell ref="AK42:AN42"/>
    <mergeCell ref="AO42:AR42"/>
    <mergeCell ref="AS42:AV42"/>
    <mergeCell ref="AW42:AZ42"/>
    <mergeCell ref="E42:H42"/>
    <mergeCell ref="I42:L42"/>
    <mergeCell ref="M42:P42"/>
    <mergeCell ref="Q42:T42"/>
    <mergeCell ref="U42:X42"/>
    <mergeCell ref="Y42:AB42"/>
    <mergeCell ref="AC45:AF45"/>
    <mergeCell ref="AG45:AJ45"/>
    <mergeCell ref="AK45:AN45"/>
    <mergeCell ref="AO45:AR45"/>
    <mergeCell ref="AS45:AV45"/>
    <mergeCell ref="AW45:AZ45"/>
    <mergeCell ref="E45:H45"/>
    <mergeCell ref="I45:L45"/>
    <mergeCell ref="M45:P45"/>
    <mergeCell ref="Q45:T45"/>
    <mergeCell ref="U45:X45"/>
    <mergeCell ref="Y45:AB45"/>
    <mergeCell ref="AC44:AF44"/>
    <mergeCell ref="AG44:AJ44"/>
    <mergeCell ref="AK44:AN44"/>
    <mergeCell ref="AO44:AR44"/>
    <mergeCell ref="AS44:AV44"/>
    <mergeCell ref="AW44:AZ44"/>
    <mergeCell ref="E44:H44"/>
    <mergeCell ref="I44:L44"/>
    <mergeCell ref="M44:P44"/>
    <mergeCell ref="Q44:T44"/>
    <mergeCell ref="U44:X44"/>
    <mergeCell ref="Y44:AB44"/>
    <mergeCell ref="AC47:AF47"/>
    <mergeCell ref="AG47:AJ47"/>
    <mergeCell ref="AK47:AN47"/>
    <mergeCell ref="AO47:AR47"/>
    <mergeCell ref="AS47:AV47"/>
    <mergeCell ref="AW47:AZ47"/>
    <mergeCell ref="E47:H47"/>
    <mergeCell ref="I47:L47"/>
    <mergeCell ref="M47:P47"/>
    <mergeCell ref="Q47:T47"/>
    <mergeCell ref="U47:X47"/>
    <mergeCell ref="Y47:AB47"/>
    <mergeCell ref="AC46:AF46"/>
    <mergeCell ref="AG46:AJ46"/>
    <mergeCell ref="AK46:AN46"/>
    <mergeCell ref="AO46:AR46"/>
    <mergeCell ref="AS46:AV46"/>
    <mergeCell ref="AW46:AZ46"/>
    <mergeCell ref="E46:H46"/>
    <mergeCell ref="I46:L46"/>
    <mergeCell ref="M46:P46"/>
    <mergeCell ref="Q46:T46"/>
    <mergeCell ref="U46:X46"/>
    <mergeCell ref="Y46:AB46"/>
    <mergeCell ref="AC49:AF49"/>
    <mergeCell ref="AG49:AJ49"/>
    <mergeCell ref="AK49:AN49"/>
    <mergeCell ref="AO49:AR49"/>
    <mergeCell ref="AS49:AV49"/>
    <mergeCell ref="AW49:AZ49"/>
    <mergeCell ref="E49:H49"/>
    <mergeCell ref="I49:L49"/>
    <mergeCell ref="M49:P49"/>
    <mergeCell ref="Q49:T49"/>
    <mergeCell ref="U49:X49"/>
    <mergeCell ref="Y49:AB49"/>
    <mergeCell ref="AC48:AF48"/>
    <mergeCell ref="AG48:AJ48"/>
    <mergeCell ref="AK48:AN48"/>
    <mergeCell ref="AO48:AR48"/>
    <mergeCell ref="AS48:AV48"/>
    <mergeCell ref="AW48:AZ48"/>
    <mergeCell ref="E48:H48"/>
    <mergeCell ref="I48:L48"/>
    <mergeCell ref="M48:P48"/>
    <mergeCell ref="Q48:T48"/>
    <mergeCell ref="U48:X48"/>
    <mergeCell ref="Y48:AB48"/>
    <mergeCell ref="AC51:AF51"/>
    <mergeCell ref="AG51:AJ51"/>
    <mergeCell ref="AK51:AN51"/>
    <mergeCell ref="AO51:AR51"/>
    <mergeCell ref="AS51:AV51"/>
    <mergeCell ref="AW51:AZ51"/>
    <mergeCell ref="E51:H51"/>
    <mergeCell ref="I51:L51"/>
    <mergeCell ref="M51:P51"/>
    <mergeCell ref="Q51:T51"/>
    <mergeCell ref="U51:X51"/>
    <mergeCell ref="Y51:AB51"/>
    <mergeCell ref="AC50:AF50"/>
    <mergeCell ref="AG50:AJ50"/>
    <mergeCell ref="AK50:AN50"/>
    <mergeCell ref="AO50:AR50"/>
    <mergeCell ref="AS50:AV50"/>
    <mergeCell ref="AW50:AZ50"/>
    <mergeCell ref="E50:H50"/>
    <mergeCell ref="I50:L50"/>
    <mergeCell ref="M50:P50"/>
    <mergeCell ref="Q50:T50"/>
    <mergeCell ref="U50:X50"/>
    <mergeCell ref="Y50:AB50"/>
    <mergeCell ref="AC53:AF53"/>
    <mergeCell ref="AG53:AJ53"/>
    <mergeCell ref="AK53:AN53"/>
    <mergeCell ref="AO53:AR53"/>
    <mergeCell ref="AS53:AV53"/>
    <mergeCell ref="AW53:AZ53"/>
    <mergeCell ref="E53:H53"/>
    <mergeCell ref="I53:L53"/>
    <mergeCell ref="M53:P53"/>
    <mergeCell ref="Q53:T53"/>
    <mergeCell ref="U53:X53"/>
    <mergeCell ref="Y53:AB53"/>
    <mergeCell ref="AC52:AF52"/>
    <mergeCell ref="AG52:AJ52"/>
    <mergeCell ref="AK52:AN52"/>
    <mergeCell ref="AO52:AR52"/>
    <mergeCell ref="AS52:AV52"/>
    <mergeCell ref="AW52:AZ52"/>
    <mergeCell ref="E52:H52"/>
    <mergeCell ref="I52:L52"/>
    <mergeCell ref="M52:P52"/>
    <mergeCell ref="Q52:T52"/>
    <mergeCell ref="U52:X52"/>
    <mergeCell ref="Y52:AB52"/>
    <mergeCell ref="AC55:AF55"/>
    <mergeCell ref="AG55:AJ55"/>
    <mergeCell ref="AK55:AN55"/>
    <mergeCell ref="AO55:AR55"/>
    <mergeCell ref="AS55:AV55"/>
    <mergeCell ref="AW55:AZ55"/>
    <mergeCell ref="E55:H55"/>
    <mergeCell ref="I55:L55"/>
    <mergeCell ref="M55:P55"/>
    <mergeCell ref="Q55:T55"/>
    <mergeCell ref="U55:X55"/>
    <mergeCell ref="Y55:AB55"/>
    <mergeCell ref="AC54:AF54"/>
    <mergeCell ref="AG54:AJ54"/>
    <mergeCell ref="AK54:AN54"/>
    <mergeCell ref="AO54:AR54"/>
    <mergeCell ref="AS54:AV54"/>
    <mergeCell ref="AW54:AZ54"/>
    <mergeCell ref="E54:H54"/>
    <mergeCell ref="I54:L54"/>
    <mergeCell ref="M54:P54"/>
    <mergeCell ref="Q54:T54"/>
    <mergeCell ref="U54:X54"/>
    <mergeCell ref="Y54:AB54"/>
    <mergeCell ref="AC57:AF57"/>
    <mergeCell ref="AG57:AJ57"/>
    <mergeCell ref="AK57:AN57"/>
    <mergeCell ref="AO57:AR57"/>
    <mergeCell ref="AS57:AV57"/>
    <mergeCell ref="AW57:AZ57"/>
    <mergeCell ref="E57:H57"/>
    <mergeCell ref="I57:L57"/>
    <mergeCell ref="M57:P57"/>
    <mergeCell ref="Q57:T57"/>
    <mergeCell ref="U57:X57"/>
    <mergeCell ref="Y57:AB57"/>
    <mergeCell ref="AC56:AF56"/>
    <mergeCell ref="AG56:AJ56"/>
    <mergeCell ref="AK56:AN56"/>
    <mergeCell ref="AO56:AR56"/>
    <mergeCell ref="AS56:AV56"/>
    <mergeCell ref="AW56:AZ56"/>
    <mergeCell ref="E56:H56"/>
    <mergeCell ref="I56:L56"/>
    <mergeCell ref="M56:P56"/>
    <mergeCell ref="Q56:T56"/>
    <mergeCell ref="U56:X56"/>
    <mergeCell ref="Y56:AB56"/>
    <mergeCell ref="AC59:AF59"/>
    <mergeCell ref="AG59:AJ59"/>
    <mergeCell ref="AK59:AN59"/>
    <mergeCell ref="AO59:AR59"/>
    <mergeCell ref="AS59:AV59"/>
    <mergeCell ref="AW59:AZ59"/>
    <mergeCell ref="E59:H59"/>
    <mergeCell ref="I59:L59"/>
    <mergeCell ref="M59:P59"/>
    <mergeCell ref="Q59:T59"/>
    <mergeCell ref="U59:X59"/>
    <mergeCell ref="Y59:AB59"/>
    <mergeCell ref="AC58:AF58"/>
    <mergeCell ref="AG58:AJ58"/>
    <mergeCell ref="AK58:AN58"/>
    <mergeCell ref="AO58:AR58"/>
    <mergeCell ref="AS58:AV58"/>
    <mergeCell ref="AW58:AZ58"/>
    <mergeCell ref="E58:H58"/>
    <mergeCell ref="I58:L58"/>
    <mergeCell ref="M58:P58"/>
    <mergeCell ref="Q58:T58"/>
    <mergeCell ref="U58:X58"/>
    <mergeCell ref="Y58:AB58"/>
    <mergeCell ref="AC61:AF61"/>
    <mergeCell ref="AG61:AJ61"/>
    <mergeCell ref="AK61:AN61"/>
    <mergeCell ref="AO61:AR61"/>
    <mergeCell ref="AS61:AV61"/>
    <mergeCell ref="AW61:AZ61"/>
    <mergeCell ref="E61:H61"/>
    <mergeCell ref="I61:L61"/>
    <mergeCell ref="M61:P61"/>
    <mergeCell ref="Q61:T61"/>
    <mergeCell ref="U61:X61"/>
    <mergeCell ref="Y61:AB61"/>
    <mergeCell ref="AC60:AF60"/>
    <mergeCell ref="AG60:AJ60"/>
    <mergeCell ref="AK60:AN60"/>
    <mergeCell ref="AO60:AR60"/>
    <mergeCell ref="AS60:AV60"/>
    <mergeCell ref="AW60:AZ60"/>
    <mergeCell ref="E60:H60"/>
    <mergeCell ref="I60:L60"/>
    <mergeCell ref="M60:P60"/>
    <mergeCell ref="Q60:T60"/>
    <mergeCell ref="U60:X60"/>
    <mergeCell ref="Y60:AB60"/>
    <mergeCell ref="AC63:AF63"/>
    <mergeCell ref="AG63:AJ63"/>
    <mergeCell ref="AK63:AN63"/>
    <mergeCell ref="AO63:AR63"/>
    <mergeCell ref="AS63:AV63"/>
    <mergeCell ref="AW63:AZ63"/>
    <mergeCell ref="E63:H63"/>
    <mergeCell ref="I63:L63"/>
    <mergeCell ref="M63:P63"/>
    <mergeCell ref="Q63:T63"/>
    <mergeCell ref="U63:X63"/>
    <mergeCell ref="Y63:AB63"/>
    <mergeCell ref="AC62:AF62"/>
    <mergeCell ref="AG62:AJ62"/>
    <mergeCell ref="AK62:AN62"/>
    <mergeCell ref="AO62:AR62"/>
    <mergeCell ref="AS62:AV62"/>
    <mergeCell ref="AW62:AZ62"/>
    <mergeCell ref="E62:H62"/>
    <mergeCell ref="I62:L62"/>
    <mergeCell ref="M62:P62"/>
    <mergeCell ref="Q62:T62"/>
    <mergeCell ref="U62:X62"/>
    <mergeCell ref="Y62:AB62"/>
    <mergeCell ref="AC65:AF65"/>
    <mergeCell ref="AG65:AJ65"/>
    <mergeCell ref="AK65:AN65"/>
    <mergeCell ref="AO65:AR65"/>
    <mergeCell ref="AS65:AV65"/>
    <mergeCell ref="AW65:AZ65"/>
    <mergeCell ref="E65:H65"/>
    <mergeCell ref="I65:L65"/>
    <mergeCell ref="M65:P65"/>
    <mergeCell ref="Q65:T65"/>
    <mergeCell ref="U65:X65"/>
    <mergeCell ref="Y65:AB65"/>
    <mergeCell ref="AC64:AF64"/>
    <mergeCell ref="AG64:AJ64"/>
    <mergeCell ref="AK64:AN64"/>
    <mergeCell ref="AO64:AR64"/>
    <mergeCell ref="AS64:AV64"/>
    <mergeCell ref="AW64:AZ64"/>
    <mergeCell ref="E64:H64"/>
    <mergeCell ref="I64:L64"/>
    <mergeCell ref="M64:P64"/>
    <mergeCell ref="Q64:T64"/>
    <mergeCell ref="U64:X64"/>
    <mergeCell ref="Y64:AB64"/>
    <mergeCell ref="AC67:AF67"/>
    <mergeCell ref="AG67:AJ67"/>
    <mergeCell ref="AK67:AN67"/>
    <mergeCell ref="AO67:AR67"/>
    <mergeCell ref="AS67:AV67"/>
    <mergeCell ref="AW67:AZ67"/>
    <mergeCell ref="E67:H67"/>
    <mergeCell ref="I67:L67"/>
    <mergeCell ref="M67:P67"/>
    <mergeCell ref="Q67:T67"/>
    <mergeCell ref="U67:X67"/>
    <mergeCell ref="Y67:AB67"/>
    <mergeCell ref="AC66:AF66"/>
    <mergeCell ref="AG66:AJ66"/>
    <mergeCell ref="AK66:AN66"/>
    <mergeCell ref="AO66:AR66"/>
    <mergeCell ref="AS66:AV66"/>
    <mergeCell ref="AW66:AZ66"/>
    <mergeCell ref="E66:H66"/>
    <mergeCell ref="I66:L66"/>
    <mergeCell ref="M66:P66"/>
    <mergeCell ref="Q66:T66"/>
    <mergeCell ref="U66:X66"/>
    <mergeCell ref="Y66:AB66"/>
    <mergeCell ref="AC69:AF69"/>
    <mergeCell ref="AG69:AJ69"/>
    <mergeCell ref="AK69:AN69"/>
    <mergeCell ref="AO69:AR69"/>
    <mergeCell ref="AS69:AV69"/>
    <mergeCell ref="AW69:AZ69"/>
    <mergeCell ref="E69:H69"/>
    <mergeCell ref="I69:L69"/>
    <mergeCell ref="M69:P69"/>
    <mergeCell ref="Q69:T69"/>
    <mergeCell ref="U69:X69"/>
    <mergeCell ref="Y69:AB69"/>
    <mergeCell ref="AC68:AF68"/>
    <mergeCell ref="AG68:AJ68"/>
    <mergeCell ref="AK68:AN68"/>
    <mergeCell ref="AO68:AR68"/>
    <mergeCell ref="AS68:AV68"/>
    <mergeCell ref="AW68:AZ68"/>
    <mergeCell ref="E68:H68"/>
    <mergeCell ref="I68:L68"/>
    <mergeCell ref="M68:P68"/>
    <mergeCell ref="Q68:T68"/>
    <mergeCell ref="U68:X68"/>
    <mergeCell ref="Y68:AB68"/>
    <mergeCell ref="AC71:AF71"/>
    <mergeCell ref="AG71:AJ71"/>
    <mergeCell ref="AK71:AN71"/>
    <mergeCell ref="AO71:AR71"/>
    <mergeCell ref="AS71:AV71"/>
    <mergeCell ref="AW71:AZ71"/>
    <mergeCell ref="E71:H71"/>
    <mergeCell ref="I71:L71"/>
    <mergeCell ref="M71:P71"/>
    <mergeCell ref="Q71:T71"/>
    <mergeCell ref="U71:X71"/>
    <mergeCell ref="Y71:AB71"/>
    <mergeCell ref="AC70:AF70"/>
    <mergeCell ref="AG70:AJ70"/>
    <mergeCell ref="AK70:AN70"/>
    <mergeCell ref="AO70:AR70"/>
    <mergeCell ref="AS70:AV70"/>
    <mergeCell ref="AW70:AZ70"/>
    <mergeCell ref="E70:H70"/>
    <mergeCell ref="I70:L70"/>
    <mergeCell ref="M70:P70"/>
    <mergeCell ref="Q70:T70"/>
    <mergeCell ref="U70:X70"/>
    <mergeCell ref="Y70:AB70"/>
    <mergeCell ref="AC73:AF73"/>
    <mergeCell ref="AG73:AJ73"/>
    <mergeCell ref="AK73:AN73"/>
    <mergeCell ref="AO73:AR73"/>
    <mergeCell ref="AS73:AV73"/>
    <mergeCell ref="AW73:AZ73"/>
    <mergeCell ref="E73:H73"/>
    <mergeCell ref="I73:L73"/>
    <mergeCell ref="M73:P73"/>
    <mergeCell ref="Q73:T73"/>
    <mergeCell ref="U73:X73"/>
    <mergeCell ref="Y73:AB73"/>
    <mergeCell ref="AC72:AF72"/>
    <mergeCell ref="AG72:AJ72"/>
    <mergeCell ref="AK72:AN72"/>
    <mergeCell ref="AO72:AR72"/>
    <mergeCell ref="AS72:AV72"/>
    <mergeCell ref="AW72:AZ72"/>
    <mergeCell ref="E72:H72"/>
    <mergeCell ref="I72:L72"/>
    <mergeCell ref="M72:P72"/>
    <mergeCell ref="Q72:T72"/>
    <mergeCell ref="U72:X72"/>
    <mergeCell ref="Y72:AB72"/>
    <mergeCell ref="AC75:AF75"/>
    <mergeCell ref="AG75:AJ75"/>
    <mergeCell ref="AK75:AN75"/>
    <mergeCell ref="AO75:AR75"/>
    <mergeCell ref="AS75:AV75"/>
    <mergeCell ref="AW75:AZ75"/>
    <mergeCell ref="E75:H75"/>
    <mergeCell ref="I75:L75"/>
    <mergeCell ref="M75:P75"/>
    <mergeCell ref="Q75:T75"/>
    <mergeCell ref="U75:X75"/>
    <mergeCell ref="Y75:AB75"/>
    <mergeCell ref="AC74:AF74"/>
    <mergeCell ref="AG74:AJ74"/>
    <mergeCell ref="AK74:AN74"/>
    <mergeCell ref="AO74:AR74"/>
    <mergeCell ref="AS74:AV74"/>
    <mergeCell ref="AW74:AZ74"/>
    <mergeCell ref="E74:H74"/>
    <mergeCell ref="I74:L74"/>
    <mergeCell ref="M74:P74"/>
    <mergeCell ref="Q74:T74"/>
    <mergeCell ref="U74:X74"/>
    <mergeCell ref="Y74:AB74"/>
    <mergeCell ref="AC77:AF77"/>
    <mergeCell ref="AG77:AJ77"/>
    <mergeCell ref="AK77:AN77"/>
    <mergeCell ref="AO77:AR77"/>
    <mergeCell ref="AS77:AV77"/>
    <mergeCell ref="AW77:AZ77"/>
    <mergeCell ref="E77:H77"/>
    <mergeCell ref="I77:L77"/>
    <mergeCell ref="M77:P77"/>
    <mergeCell ref="Q77:T77"/>
    <mergeCell ref="U77:X77"/>
    <mergeCell ref="Y77:AB77"/>
    <mergeCell ref="AC76:AF76"/>
    <mergeCell ref="AG76:AJ76"/>
    <mergeCell ref="AK76:AN76"/>
    <mergeCell ref="AO76:AR76"/>
    <mergeCell ref="AS76:AV76"/>
    <mergeCell ref="AW76:AZ76"/>
    <mergeCell ref="E76:H76"/>
    <mergeCell ref="I76:L76"/>
    <mergeCell ref="M76:P76"/>
    <mergeCell ref="Q76:T76"/>
    <mergeCell ref="U76:X76"/>
    <mergeCell ref="Y76:AB76"/>
    <mergeCell ref="AC79:AF79"/>
    <mergeCell ref="AG79:AJ79"/>
    <mergeCell ref="AK79:AN79"/>
    <mergeCell ref="AO79:AR79"/>
    <mergeCell ref="AS79:AV79"/>
    <mergeCell ref="AW79:AZ79"/>
    <mergeCell ref="E79:H79"/>
    <mergeCell ref="I79:L79"/>
    <mergeCell ref="M79:P79"/>
    <mergeCell ref="Q79:T79"/>
    <mergeCell ref="U79:X79"/>
    <mergeCell ref="Y79:AB79"/>
    <mergeCell ref="AC78:AF78"/>
    <mergeCell ref="AG78:AJ78"/>
    <mergeCell ref="AK78:AN78"/>
    <mergeCell ref="AO78:AR78"/>
    <mergeCell ref="AS78:AV78"/>
    <mergeCell ref="AW78:AZ78"/>
    <mergeCell ref="E78:H78"/>
    <mergeCell ref="I78:L78"/>
    <mergeCell ref="M78:P78"/>
    <mergeCell ref="Q78:T78"/>
    <mergeCell ref="U78:X78"/>
    <mergeCell ref="Y78:AB78"/>
    <mergeCell ref="AC81:AF81"/>
    <mergeCell ref="AG81:AJ81"/>
    <mergeCell ref="AK81:AN81"/>
    <mergeCell ref="AO81:AR81"/>
    <mergeCell ref="AS81:AV81"/>
    <mergeCell ref="AW81:AZ81"/>
    <mergeCell ref="E81:H81"/>
    <mergeCell ref="I81:L81"/>
    <mergeCell ref="M81:P81"/>
    <mergeCell ref="Q81:T81"/>
    <mergeCell ref="U81:X81"/>
    <mergeCell ref="Y81:AB81"/>
    <mergeCell ref="AC80:AF80"/>
    <mergeCell ref="AG80:AJ80"/>
    <mergeCell ref="AK80:AN80"/>
    <mergeCell ref="AO80:AR80"/>
    <mergeCell ref="AS80:AV80"/>
    <mergeCell ref="AW80:AZ80"/>
    <mergeCell ref="E80:H80"/>
    <mergeCell ref="I80:L80"/>
    <mergeCell ref="M80:P80"/>
    <mergeCell ref="Q80:T80"/>
    <mergeCell ref="U80:X80"/>
    <mergeCell ref="Y80:AB80"/>
    <mergeCell ref="AC83:AF83"/>
    <mergeCell ref="AG83:AJ83"/>
    <mergeCell ref="AK83:AN83"/>
    <mergeCell ref="AO83:AR83"/>
    <mergeCell ref="AS83:AV83"/>
    <mergeCell ref="AW83:AZ83"/>
    <mergeCell ref="E83:H83"/>
    <mergeCell ref="I83:L83"/>
    <mergeCell ref="M83:P83"/>
    <mergeCell ref="Q83:T83"/>
    <mergeCell ref="U83:X83"/>
    <mergeCell ref="Y83:AB83"/>
    <mergeCell ref="AC82:AF82"/>
    <mergeCell ref="AG82:AJ82"/>
    <mergeCell ref="AK82:AN82"/>
    <mergeCell ref="AO82:AR82"/>
    <mergeCell ref="AS82:AV82"/>
    <mergeCell ref="AW82:AZ82"/>
    <mergeCell ref="E82:H82"/>
    <mergeCell ref="I82:L82"/>
    <mergeCell ref="M82:P82"/>
    <mergeCell ref="Q82:T82"/>
    <mergeCell ref="U82:X82"/>
    <mergeCell ref="Y82:AB82"/>
    <mergeCell ref="AC85:AF85"/>
    <mergeCell ref="AG85:AJ85"/>
    <mergeCell ref="AK85:AN85"/>
    <mergeCell ref="AO85:AR85"/>
    <mergeCell ref="AS85:AV85"/>
    <mergeCell ref="AW85:AZ85"/>
    <mergeCell ref="E85:H85"/>
    <mergeCell ref="I85:L85"/>
    <mergeCell ref="M85:P85"/>
    <mergeCell ref="Q85:T85"/>
    <mergeCell ref="U85:X85"/>
    <mergeCell ref="Y85:AB85"/>
    <mergeCell ref="AC84:AF84"/>
    <mergeCell ref="AG84:AJ84"/>
    <mergeCell ref="AK84:AN84"/>
    <mergeCell ref="AO84:AR84"/>
    <mergeCell ref="AS84:AV84"/>
    <mergeCell ref="AW84:AZ84"/>
    <mergeCell ref="E84:H84"/>
    <mergeCell ref="I84:L84"/>
    <mergeCell ref="M84:P84"/>
    <mergeCell ref="Q84:T84"/>
    <mergeCell ref="U84:X84"/>
    <mergeCell ref="Y84:AB84"/>
    <mergeCell ref="AC87:AF87"/>
    <mergeCell ref="AG87:AJ87"/>
    <mergeCell ref="AK87:AN87"/>
    <mergeCell ref="AO87:AR87"/>
    <mergeCell ref="AS87:AV87"/>
    <mergeCell ref="AW87:AZ87"/>
    <mergeCell ref="E87:H87"/>
    <mergeCell ref="I87:L87"/>
    <mergeCell ref="M87:P87"/>
    <mergeCell ref="Q87:T87"/>
    <mergeCell ref="U87:X87"/>
    <mergeCell ref="Y87:AB87"/>
    <mergeCell ref="AC86:AF86"/>
    <mergeCell ref="AG86:AJ86"/>
    <mergeCell ref="AK86:AN86"/>
    <mergeCell ref="AO86:AR86"/>
    <mergeCell ref="AS86:AV86"/>
    <mergeCell ref="AW86:AZ86"/>
    <mergeCell ref="E86:H86"/>
    <mergeCell ref="I86:L86"/>
    <mergeCell ref="M86:P86"/>
    <mergeCell ref="Q86:T86"/>
    <mergeCell ref="U86:X86"/>
    <mergeCell ref="Y86:AB86"/>
    <mergeCell ref="AC89:AF89"/>
    <mergeCell ref="AG89:AJ89"/>
    <mergeCell ref="AK89:AN89"/>
    <mergeCell ref="AO89:AR89"/>
    <mergeCell ref="AS89:AV89"/>
    <mergeCell ref="AW89:AZ89"/>
    <mergeCell ref="E89:H89"/>
    <mergeCell ref="I89:L89"/>
    <mergeCell ref="M89:P89"/>
    <mergeCell ref="Q89:T89"/>
    <mergeCell ref="U89:X89"/>
    <mergeCell ref="Y89:AB89"/>
    <mergeCell ref="AC88:AF88"/>
    <mergeCell ref="AG88:AJ88"/>
    <mergeCell ref="AK88:AN88"/>
    <mergeCell ref="AO88:AR88"/>
    <mergeCell ref="AS88:AV88"/>
    <mergeCell ref="AW88:AZ88"/>
    <mergeCell ref="E88:H88"/>
    <mergeCell ref="I88:L88"/>
    <mergeCell ref="M88:P88"/>
    <mergeCell ref="Q88:T88"/>
    <mergeCell ref="U88:X88"/>
    <mergeCell ref="Y88:AB88"/>
    <mergeCell ref="AC91:AF91"/>
    <mergeCell ref="AG91:AJ91"/>
    <mergeCell ref="AK91:AN91"/>
    <mergeCell ref="AO91:AR91"/>
    <mergeCell ref="AS91:AV91"/>
    <mergeCell ref="AW91:AZ91"/>
    <mergeCell ref="E91:H91"/>
    <mergeCell ref="I91:L91"/>
    <mergeCell ref="M91:P91"/>
    <mergeCell ref="Q91:T91"/>
    <mergeCell ref="U91:X91"/>
    <mergeCell ref="Y91:AB91"/>
    <mergeCell ref="AC90:AF90"/>
    <mergeCell ref="AG90:AJ90"/>
    <mergeCell ref="AK90:AN90"/>
    <mergeCell ref="AO90:AR90"/>
    <mergeCell ref="AS90:AV90"/>
    <mergeCell ref="AW90:AZ90"/>
    <mergeCell ref="E90:H90"/>
    <mergeCell ref="I90:L90"/>
    <mergeCell ref="M90:P90"/>
    <mergeCell ref="Q90:T90"/>
    <mergeCell ref="U90:X90"/>
    <mergeCell ref="Y90:AB90"/>
    <mergeCell ref="AC93:AF93"/>
    <mergeCell ref="AG93:AJ93"/>
    <mergeCell ref="AK93:AN93"/>
    <mergeCell ref="AO93:AR93"/>
    <mergeCell ref="AS93:AV93"/>
    <mergeCell ref="AW93:AZ93"/>
    <mergeCell ref="E93:H93"/>
    <mergeCell ref="I93:L93"/>
    <mergeCell ref="M93:P93"/>
    <mergeCell ref="Q93:T93"/>
    <mergeCell ref="U93:X93"/>
    <mergeCell ref="Y93:AB93"/>
    <mergeCell ref="AC92:AF92"/>
    <mergeCell ref="AG92:AJ92"/>
    <mergeCell ref="AK92:AN92"/>
    <mergeCell ref="AO92:AR92"/>
    <mergeCell ref="AS92:AV92"/>
    <mergeCell ref="AW92:AZ92"/>
    <mergeCell ref="E92:H92"/>
    <mergeCell ref="I92:L92"/>
    <mergeCell ref="M92:P92"/>
    <mergeCell ref="Q92:T92"/>
    <mergeCell ref="U92:X92"/>
    <mergeCell ref="Y92:AB92"/>
    <mergeCell ref="AC95:AF95"/>
    <mergeCell ref="AG95:AJ95"/>
    <mergeCell ref="AK95:AN95"/>
    <mergeCell ref="AO95:AR95"/>
    <mergeCell ref="AS95:AV95"/>
    <mergeCell ref="AW95:AZ95"/>
    <mergeCell ref="E95:H95"/>
    <mergeCell ref="I95:L95"/>
    <mergeCell ref="M95:P95"/>
    <mergeCell ref="Q95:T95"/>
    <mergeCell ref="U95:X95"/>
    <mergeCell ref="Y95:AB95"/>
    <mergeCell ref="AC94:AF94"/>
    <mergeCell ref="AG94:AJ94"/>
    <mergeCell ref="AK94:AN94"/>
    <mergeCell ref="AO94:AR94"/>
    <mergeCell ref="AS94:AV94"/>
    <mergeCell ref="AW94:AZ94"/>
    <mergeCell ref="E94:H94"/>
    <mergeCell ref="I94:L94"/>
    <mergeCell ref="M94:P94"/>
    <mergeCell ref="Q94:T94"/>
    <mergeCell ref="U94:X94"/>
    <mergeCell ref="Y94:AB94"/>
    <mergeCell ref="AC97:AF97"/>
    <mergeCell ref="AG97:AJ97"/>
    <mergeCell ref="AK97:AN97"/>
    <mergeCell ref="AO97:AR97"/>
    <mergeCell ref="AS97:AV97"/>
    <mergeCell ref="AW97:AZ97"/>
    <mergeCell ref="E97:H97"/>
    <mergeCell ref="I97:L97"/>
    <mergeCell ref="M97:P97"/>
    <mergeCell ref="Q97:T97"/>
    <mergeCell ref="U97:X97"/>
    <mergeCell ref="Y97:AB97"/>
    <mergeCell ref="AC96:AF96"/>
    <mergeCell ref="AG96:AJ96"/>
    <mergeCell ref="AK96:AN96"/>
    <mergeCell ref="AO96:AR96"/>
    <mergeCell ref="AS96:AV96"/>
    <mergeCell ref="AW96:AZ96"/>
    <mergeCell ref="E96:H96"/>
    <mergeCell ref="I96:L96"/>
    <mergeCell ref="M96:P96"/>
    <mergeCell ref="Q96:T96"/>
    <mergeCell ref="U96:X96"/>
    <mergeCell ref="Y96:AB96"/>
    <mergeCell ref="AC99:AF99"/>
    <mergeCell ref="AG99:AJ99"/>
    <mergeCell ref="AK99:AN99"/>
    <mergeCell ref="AO99:AR99"/>
    <mergeCell ref="AS99:AV99"/>
    <mergeCell ref="AW99:AZ99"/>
    <mergeCell ref="E99:H99"/>
    <mergeCell ref="I99:L99"/>
    <mergeCell ref="M99:P99"/>
    <mergeCell ref="Q99:T99"/>
    <mergeCell ref="U99:X99"/>
    <mergeCell ref="Y99:AB99"/>
    <mergeCell ref="AC98:AF98"/>
    <mergeCell ref="AG98:AJ98"/>
    <mergeCell ref="AK98:AN98"/>
    <mergeCell ref="AO98:AR98"/>
    <mergeCell ref="AS98:AV98"/>
    <mergeCell ref="AW98:AZ98"/>
    <mergeCell ref="E98:H98"/>
    <mergeCell ref="I98:L98"/>
    <mergeCell ref="M98:P98"/>
    <mergeCell ref="Q98:T98"/>
    <mergeCell ref="U98:X98"/>
    <mergeCell ref="Y98:AB98"/>
    <mergeCell ref="AC101:AF101"/>
    <mergeCell ref="AG101:AJ101"/>
    <mergeCell ref="AK101:AN101"/>
    <mergeCell ref="AO101:AR101"/>
    <mergeCell ref="AS101:AV101"/>
    <mergeCell ref="AW101:AZ101"/>
    <mergeCell ref="E101:H101"/>
    <mergeCell ref="I101:L101"/>
    <mergeCell ref="M101:P101"/>
    <mergeCell ref="Q101:T101"/>
    <mergeCell ref="U101:X101"/>
    <mergeCell ref="Y101:AB101"/>
    <mergeCell ref="AC100:AF100"/>
    <mergeCell ref="AG100:AJ100"/>
    <mergeCell ref="AK100:AN100"/>
    <mergeCell ref="AO100:AR100"/>
    <mergeCell ref="AS100:AV100"/>
    <mergeCell ref="AW100:AZ100"/>
    <mergeCell ref="E100:H100"/>
    <mergeCell ref="I100:L100"/>
    <mergeCell ref="M100:P100"/>
    <mergeCell ref="Q100:T100"/>
    <mergeCell ref="U100:X100"/>
    <mergeCell ref="Y100:AB100"/>
    <mergeCell ref="AC103:AF103"/>
    <mergeCell ref="AG103:AJ103"/>
    <mergeCell ref="AK103:AN103"/>
    <mergeCell ref="AO103:AR103"/>
    <mergeCell ref="AS103:AV103"/>
    <mergeCell ref="AW103:AZ103"/>
    <mergeCell ref="E103:H103"/>
    <mergeCell ref="I103:L103"/>
    <mergeCell ref="M103:P103"/>
    <mergeCell ref="Q103:T103"/>
    <mergeCell ref="U103:X103"/>
    <mergeCell ref="Y103:AB103"/>
    <mergeCell ref="AC102:AF102"/>
    <mergeCell ref="AG102:AJ102"/>
    <mergeCell ref="AK102:AN102"/>
    <mergeCell ref="AO102:AR102"/>
    <mergeCell ref="AS102:AV102"/>
    <mergeCell ref="AW102:AZ102"/>
    <mergeCell ref="E102:H102"/>
    <mergeCell ref="I102:L102"/>
    <mergeCell ref="M102:P102"/>
    <mergeCell ref="Q102:T102"/>
    <mergeCell ref="U102:X102"/>
    <mergeCell ref="Y102:AB102"/>
    <mergeCell ref="AC105:AF105"/>
    <mergeCell ref="AG105:AJ105"/>
    <mergeCell ref="AK105:AN105"/>
    <mergeCell ref="AO105:AR105"/>
    <mergeCell ref="AS105:AV105"/>
    <mergeCell ref="AW105:AZ105"/>
    <mergeCell ref="E105:H105"/>
    <mergeCell ref="I105:L105"/>
    <mergeCell ref="M105:P105"/>
    <mergeCell ref="Q105:T105"/>
    <mergeCell ref="U105:X105"/>
    <mergeCell ref="Y105:AB105"/>
    <mergeCell ref="AC104:AF104"/>
    <mergeCell ref="AG104:AJ104"/>
    <mergeCell ref="AK104:AN104"/>
    <mergeCell ref="AO104:AR104"/>
    <mergeCell ref="AS104:AV104"/>
    <mergeCell ref="AW104:AZ104"/>
    <mergeCell ref="E104:H104"/>
    <mergeCell ref="I104:L104"/>
    <mergeCell ref="M104:P104"/>
    <mergeCell ref="Q104:T104"/>
    <mergeCell ref="U104:X104"/>
    <mergeCell ref="Y104:AB104"/>
    <mergeCell ref="AC107:AF107"/>
    <mergeCell ref="AG107:AJ107"/>
    <mergeCell ref="AK107:AN107"/>
    <mergeCell ref="AO107:AR107"/>
    <mergeCell ref="AS107:AV107"/>
    <mergeCell ref="AW107:AZ107"/>
    <mergeCell ref="E107:H107"/>
    <mergeCell ref="I107:L107"/>
    <mergeCell ref="M107:P107"/>
    <mergeCell ref="Q107:T107"/>
    <mergeCell ref="U107:X107"/>
    <mergeCell ref="Y107:AB107"/>
    <mergeCell ref="AC106:AF106"/>
    <mergeCell ref="AG106:AJ106"/>
    <mergeCell ref="AK106:AN106"/>
    <mergeCell ref="AO106:AR106"/>
    <mergeCell ref="AS106:AV106"/>
    <mergeCell ref="AW106:AZ106"/>
    <mergeCell ref="E106:H106"/>
    <mergeCell ref="I106:L106"/>
    <mergeCell ref="M106:P106"/>
    <mergeCell ref="Q106:T106"/>
    <mergeCell ref="U106:X106"/>
    <mergeCell ref="Y106:AB106"/>
    <mergeCell ref="AC109:AF109"/>
    <mergeCell ref="AG109:AJ109"/>
    <mergeCell ref="AK109:AN109"/>
    <mergeCell ref="AO109:AR109"/>
    <mergeCell ref="AS109:AV109"/>
    <mergeCell ref="AW109:AZ109"/>
    <mergeCell ref="E109:H109"/>
    <mergeCell ref="I109:L109"/>
    <mergeCell ref="M109:P109"/>
    <mergeCell ref="Q109:T109"/>
    <mergeCell ref="U109:X109"/>
    <mergeCell ref="Y109:AB109"/>
    <mergeCell ref="AC108:AF108"/>
    <mergeCell ref="AG108:AJ108"/>
    <mergeCell ref="AK108:AN108"/>
    <mergeCell ref="AO108:AR108"/>
    <mergeCell ref="AS108:AV108"/>
    <mergeCell ref="AW108:AZ108"/>
    <mergeCell ref="E108:H108"/>
    <mergeCell ref="I108:L108"/>
    <mergeCell ref="M108:P108"/>
    <mergeCell ref="Q108:T108"/>
    <mergeCell ref="U108:X108"/>
    <mergeCell ref="Y108:AB108"/>
    <mergeCell ref="AC111:AF111"/>
    <mergeCell ref="AG111:AJ111"/>
    <mergeCell ref="AK111:AN111"/>
    <mergeCell ref="AO111:AR111"/>
    <mergeCell ref="AS111:AV111"/>
    <mergeCell ref="AW111:AZ111"/>
    <mergeCell ref="E111:H111"/>
    <mergeCell ref="I111:L111"/>
    <mergeCell ref="M111:P111"/>
    <mergeCell ref="Q111:T111"/>
    <mergeCell ref="U111:X111"/>
    <mergeCell ref="Y111:AB111"/>
    <mergeCell ref="AC110:AF110"/>
    <mergeCell ref="AG110:AJ110"/>
    <mergeCell ref="AK110:AN110"/>
    <mergeCell ref="AO110:AR110"/>
    <mergeCell ref="AS110:AV110"/>
    <mergeCell ref="AW110:AZ110"/>
    <mergeCell ref="E110:H110"/>
    <mergeCell ref="I110:L110"/>
    <mergeCell ref="M110:P110"/>
    <mergeCell ref="Q110:T110"/>
    <mergeCell ref="U110:X110"/>
    <mergeCell ref="Y110:AB110"/>
    <mergeCell ref="AC113:AF113"/>
    <mergeCell ref="AG113:AJ113"/>
    <mergeCell ref="AK113:AN113"/>
    <mergeCell ref="AO113:AR113"/>
    <mergeCell ref="AS113:AV113"/>
    <mergeCell ref="AW113:AZ113"/>
    <mergeCell ref="E113:H113"/>
    <mergeCell ref="I113:L113"/>
    <mergeCell ref="M113:P113"/>
    <mergeCell ref="Q113:T113"/>
    <mergeCell ref="U113:X113"/>
    <mergeCell ref="Y113:AB113"/>
    <mergeCell ref="AC112:AF112"/>
    <mergeCell ref="AG112:AJ112"/>
    <mergeCell ref="AK112:AN112"/>
    <mergeCell ref="AO112:AR112"/>
    <mergeCell ref="AS112:AV112"/>
    <mergeCell ref="AW112:AZ112"/>
    <mergeCell ref="E112:H112"/>
    <mergeCell ref="I112:L112"/>
    <mergeCell ref="M112:P112"/>
    <mergeCell ref="Q112:T112"/>
    <mergeCell ref="U112:X112"/>
    <mergeCell ref="Y112:AB112"/>
    <mergeCell ref="AC115:AF115"/>
    <mergeCell ref="AG115:AJ115"/>
    <mergeCell ref="AK115:AN115"/>
    <mergeCell ref="AO115:AR115"/>
    <mergeCell ref="AS115:AV115"/>
    <mergeCell ref="AW115:AZ115"/>
    <mergeCell ref="E115:H115"/>
    <mergeCell ref="I115:L115"/>
    <mergeCell ref="M115:P115"/>
    <mergeCell ref="Q115:T115"/>
    <mergeCell ref="U115:X115"/>
    <mergeCell ref="Y115:AB115"/>
    <mergeCell ref="AC114:AF114"/>
    <mergeCell ref="AG114:AJ114"/>
    <mergeCell ref="AK114:AN114"/>
    <mergeCell ref="AO114:AR114"/>
    <mergeCell ref="AS114:AV114"/>
    <mergeCell ref="AW114:AZ114"/>
    <mergeCell ref="E114:H114"/>
    <mergeCell ref="I114:L114"/>
    <mergeCell ref="M114:P114"/>
    <mergeCell ref="Q114:T114"/>
    <mergeCell ref="U114:X114"/>
    <mergeCell ref="Y114:AB114"/>
    <mergeCell ref="AC117:AF117"/>
    <mergeCell ref="AG117:AJ117"/>
    <mergeCell ref="AK117:AN117"/>
    <mergeCell ref="AO117:AR117"/>
    <mergeCell ref="AS117:AV117"/>
    <mergeCell ref="AW117:AZ117"/>
    <mergeCell ref="E117:H117"/>
    <mergeCell ref="I117:L117"/>
    <mergeCell ref="M117:P117"/>
    <mergeCell ref="Q117:T117"/>
    <mergeCell ref="U117:X117"/>
    <mergeCell ref="Y117:AB117"/>
    <mergeCell ref="AC116:AF116"/>
    <mergeCell ref="AG116:AJ116"/>
    <mergeCell ref="AK116:AN116"/>
    <mergeCell ref="AO116:AR116"/>
    <mergeCell ref="AS116:AV116"/>
    <mergeCell ref="AW116:AZ116"/>
    <mergeCell ref="E116:H116"/>
    <mergeCell ref="I116:L116"/>
    <mergeCell ref="M116:P116"/>
    <mergeCell ref="Q116:T116"/>
    <mergeCell ref="U116:X116"/>
    <mergeCell ref="Y116:AB116"/>
    <mergeCell ref="AC119:AF119"/>
    <mergeCell ref="AG119:AJ119"/>
    <mergeCell ref="AK119:AN119"/>
    <mergeCell ref="AO119:AR119"/>
    <mergeCell ref="AS119:AV119"/>
    <mergeCell ref="AW119:AZ119"/>
    <mergeCell ref="E119:H119"/>
    <mergeCell ref="I119:L119"/>
    <mergeCell ref="M119:P119"/>
    <mergeCell ref="Q119:T119"/>
    <mergeCell ref="U119:X119"/>
    <mergeCell ref="Y119:AB119"/>
    <mergeCell ref="AC118:AF118"/>
    <mergeCell ref="AG118:AJ118"/>
    <mergeCell ref="AK118:AN118"/>
    <mergeCell ref="AO118:AR118"/>
    <mergeCell ref="AS118:AV118"/>
    <mergeCell ref="AW118:AZ118"/>
    <mergeCell ref="E118:H118"/>
    <mergeCell ref="I118:L118"/>
    <mergeCell ref="M118:P118"/>
    <mergeCell ref="Q118:T118"/>
    <mergeCell ref="U118:X118"/>
    <mergeCell ref="Y118:AB118"/>
    <mergeCell ref="AC121:AF121"/>
    <mergeCell ref="AG121:AJ121"/>
    <mergeCell ref="AK121:AN121"/>
    <mergeCell ref="AO121:AR121"/>
    <mergeCell ref="AS121:AV121"/>
    <mergeCell ref="AW121:AZ121"/>
    <mergeCell ref="E121:H121"/>
    <mergeCell ref="I121:L121"/>
    <mergeCell ref="M121:P121"/>
    <mergeCell ref="Q121:T121"/>
    <mergeCell ref="U121:X121"/>
    <mergeCell ref="Y121:AB121"/>
    <mergeCell ref="AC120:AF120"/>
    <mergeCell ref="AG120:AJ120"/>
    <mergeCell ref="AK120:AN120"/>
    <mergeCell ref="AO120:AR120"/>
    <mergeCell ref="AS120:AV120"/>
    <mergeCell ref="AW120:AZ120"/>
    <mergeCell ref="E120:H120"/>
    <mergeCell ref="I120:L120"/>
    <mergeCell ref="M120:P120"/>
    <mergeCell ref="Q120:T120"/>
    <mergeCell ref="U120:X120"/>
    <mergeCell ref="Y120:AB120"/>
    <mergeCell ref="AC123:AF123"/>
    <mergeCell ref="AG123:AJ123"/>
    <mergeCell ref="AK123:AN123"/>
    <mergeCell ref="AO123:AR123"/>
    <mergeCell ref="AS123:AV123"/>
    <mergeCell ref="AW123:AZ123"/>
    <mergeCell ref="E123:H123"/>
    <mergeCell ref="I123:L123"/>
    <mergeCell ref="M123:P123"/>
    <mergeCell ref="Q123:T123"/>
    <mergeCell ref="U123:X123"/>
    <mergeCell ref="Y123:AB123"/>
    <mergeCell ref="AC122:AF122"/>
    <mergeCell ref="AG122:AJ122"/>
    <mergeCell ref="AK122:AN122"/>
    <mergeCell ref="AO122:AR122"/>
    <mergeCell ref="AS122:AV122"/>
    <mergeCell ref="AW122:AZ122"/>
    <mergeCell ref="E122:H122"/>
    <mergeCell ref="I122:L122"/>
    <mergeCell ref="M122:P122"/>
    <mergeCell ref="Q122:T122"/>
    <mergeCell ref="U122:X122"/>
    <mergeCell ref="Y122:AB122"/>
    <mergeCell ref="AC125:AF125"/>
    <mergeCell ref="AG125:AJ125"/>
    <mergeCell ref="AK125:AN125"/>
    <mergeCell ref="AO125:AR125"/>
    <mergeCell ref="AS125:AV125"/>
    <mergeCell ref="AW125:AZ125"/>
    <mergeCell ref="E125:H125"/>
    <mergeCell ref="I125:L125"/>
    <mergeCell ref="M125:P125"/>
    <mergeCell ref="Q125:T125"/>
    <mergeCell ref="U125:X125"/>
    <mergeCell ref="Y125:AB125"/>
    <mergeCell ref="AC124:AF124"/>
    <mergeCell ref="AG124:AJ124"/>
    <mergeCell ref="AK124:AN124"/>
    <mergeCell ref="AO124:AR124"/>
    <mergeCell ref="AS124:AV124"/>
    <mergeCell ref="AW124:AZ124"/>
    <mergeCell ref="E124:H124"/>
    <mergeCell ref="I124:L124"/>
    <mergeCell ref="M124:P124"/>
    <mergeCell ref="Q124:T124"/>
    <mergeCell ref="U124:X124"/>
    <mergeCell ref="Y124:AB124"/>
    <mergeCell ref="AC127:AF127"/>
    <mergeCell ref="AG127:AJ127"/>
    <mergeCell ref="AK127:AN127"/>
    <mergeCell ref="AO127:AR127"/>
    <mergeCell ref="AS127:AV127"/>
    <mergeCell ref="AW127:AZ127"/>
    <mergeCell ref="E127:H127"/>
    <mergeCell ref="I127:L127"/>
    <mergeCell ref="M127:P127"/>
    <mergeCell ref="Q127:T127"/>
    <mergeCell ref="U127:X127"/>
    <mergeCell ref="Y127:AB127"/>
    <mergeCell ref="AC126:AF126"/>
    <mergeCell ref="AG126:AJ126"/>
    <mergeCell ref="AK126:AN126"/>
    <mergeCell ref="AO126:AR126"/>
    <mergeCell ref="AS126:AV126"/>
    <mergeCell ref="AW126:AZ126"/>
    <mergeCell ref="E126:H126"/>
    <mergeCell ref="I126:L126"/>
    <mergeCell ref="M126:P126"/>
    <mergeCell ref="Q126:T126"/>
    <mergeCell ref="U126:X126"/>
    <mergeCell ref="Y126:AB126"/>
    <mergeCell ref="AC129:AF129"/>
    <mergeCell ref="AG129:AJ129"/>
    <mergeCell ref="AK129:AN129"/>
    <mergeCell ref="AO129:AR129"/>
    <mergeCell ref="AS129:AV129"/>
    <mergeCell ref="AW129:AZ129"/>
    <mergeCell ref="E129:H129"/>
    <mergeCell ref="I129:L129"/>
    <mergeCell ref="M129:P129"/>
    <mergeCell ref="Q129:T129"/>
    <mergeCell ref="U129:X129"/>
    <mergeCell ref="Y129:AB129"/>
    <mergeCell ref="AC128:AF128"/>
    <mergeCell ref="AG128:AJ128"/>
    <mergeCell ref="AK128:AN128"/>
    <mergeCell ref="AO128:AR128"/>
    <mergeCell ref="AS128:AV128"/>
    <mergeCell ref="AW128:AZ128"/>
    <mergeCell ref="E128:H128"/>
    <mergeCell ref="I128:L128"/>
    <mergeCell ref="M128:P128"/>
    <mergeCell ref="Q128:T128"/>
    <mergeCell ref="U128:X128"/>
    <mergeCell ref="Y128:AB128"/>
    <mergeCell ref="AC131:AF131"/>
    <mergeCell ref="AG131:AJ131"/>
    <mergeCell ref="AK131:AN131"/>
    <mergeCell ref="AO131:AR131"/>
    <mergeCell ref="AS131:AV131"/>
    <mergeCell ref="AW131:AZ131"/>
    <mergeCell ref="E131:H131"/>
    <mergeCell ref="I131:L131"/>
    <mergeCell ref="M131:P131"/>
    <mergeCell ref="Q131:T131"/>
    <mergeCell ref="U131:X131"/>
    <mergeCell ref="Y131:AB131"/>
    <mergeCell ref="AC130:AF130"/>
    <mergeCell ref="AG130:AJ130"/>
    <mergeCell ref="AK130:AN130"/>
    <mergeCell ref="AO130:AR130"/>
    <mergeCell ref="AS130:AV130"/>
    <mergeCell ref="AW130:AZ130"/>
    <mergeCell ref="E130:H130"/>
    <mergeCell ref="I130:L130"/>
    <mergeCell ref="M130:P130"/>
    <mergeCell ref="Q130:T130"/>
    <mergeCell ref="U130:X130"/>
    <mergeCell ref="Y130:AB130"/>
    <mergeCell ref="AC133:AF133"/>
    <mergeCell ref="AG133:AJ133"/>
    <mergeCell ref="AK133:AN133"/>
    <mergeCell ref="AO133:AR133"/>
    <mergeCell ref="AS133:AV133"/>
    <mergeCell ref="AW133:AZ133"/>
    <mergeCell ref="E133:H133"/>
    <mergeCell ref="I133:L133"/>
    <mergeCell ref="M133:P133"/>
    <mergeCell ref="Q133:T133"/>
    <mergeCell ref="U133:X133"/>
    <mergeCell ref="Y133:AB133"/>
    <mergeCell ref="AC132:AF132"/>
    <mergeCell ref="AG132:AJ132"/>
    <mergeCell ref="AK132:AN132"/>
    <mergeCell ref="AO132:AR132"/>
    <mergeCell ref="AS132:AV132"/>
    <mergeCell ref="AW132:AZ132"/>
    <mergeCell ref="E132:H132"/>
    <mergeCell ref="I132:L132"/>
    <mergeCell ref="M132:P132"/>
    <mergeCell ref="Q132:T132"/>
    <mergeCell ref="U132:X132"/>
    <mergeCell ref="Y132:AB132"/>
    <mergeCell ref="AC135:AF135"/>
    <mergeCell ref="AG135:AJ135"/>
    <mergeCell ref="AK135:AN135"/>
    <mergeCell ref="AO135:AR135"/>
    <mergeCell ref="AS135:AV135"/>
    <mergeCell ref="AW135:AZ135"/>
    <mergeCell ref="E135:H135"/>
    <mergeCell ref="I135:L135"/>
    <mergeCell ref="M135:P135"/>
    <mergeCell ref="Q135:T135"/>
    <mergeCell ref="U135:X135"/>
    <mergeCell ref="Y135:AB135"/>
    <mergeCell ref="AC134:AF134"/>
    <mergeCell ref="AG134:AJ134"/>
    <mergeCell ref="AK134:AN134"/>
    <mergeCell ref="AO134:AR134"/>
    <mergeCell ref="AS134:AV134"/>
    <mergeCell ref="AW134:AZ134"/>
    <mergeCell ref="E134:H134"/>
    <mergeCell ref="I134:L134"/>
    <mergeCell ref="M134:P134"/>
    <mergeCell ref="Q134:T134"/>
    <mergeCell ref="U134:X134"/>
    <mergeCell ref="Y134:AB134"/>
    <mergeCell ref="AC137:AF137"/>
    <mergeCell ref="AG137:AJ137"/>
    <mergeCell ref="AK137:AN137"/>
    <mergeCell ref="AO137:AR137"/>
    <mergeCell ref="AS137:AV137"/>
    <mergeCell ref="AW137:AZ137"/>
    <mergeCell ref="E137:H137"/>
    <mergeCell ref="I137:L137"/>
    <mergeCell ref="M137:P137"/>
    <mergeCell ref="Q137:T137"/>
    <mergeCell ref="U137:X137"/>
    <mergeCell ref="Y137:AB137"/>
    <mergeCell ref="AC136:AF136"/>
    <mergeCell ref="AG136:AJ136"/>
    <mergeCell ref="AK136:AN136"/>
    <mergeCell ref="AO136:AR136"/>
    <mergeCell ref="AS136:AV136"/>
    <mergeCell ref="AW136:AZ136"/>
    <mergeCell ref="E136:H136"/>
    <mergeCell ref="I136:L136"/>
    <mergeCell ref="M136:P136"/>
    <mergeCell ref="Q136:T136"/>
    <mergeCell ref="U136:X136"/>
    <mergeCell ref="Y136:AB136"/>
    <mergeCell ref="AC139:AF139"/>
    <mergeCell ref="AG139:AJ139"/>
    <mergeCell ref="AK139:AN139"/>
    <mergeCell ref="AO139:AR139"/>
    <mergeCell ref="AS139:AV139"/>
    <mergeCell ref="AW139:AZ139"/>
    <mergeCell ref="E139:H139"/>
    <mergeCell ref="I139:L139"/>
    <mergeCell ref="M139:P139"/>
    <mergeCell ref="Q139:T139"/>
    <mergeCell ref="U139:X139"/>
    <mergeCell ref="Y139:AB139"/>
    <mergeCell ref="AC138:AF138"/>
    <mergeCell ref="AG138:AJ138"/>
    <mergeCell ref="AK138:AN138"/>
    <mergeCell ref="AO138:AR138"/>
    <mergeCell ref="AS138:AV138"/>
    <mergeCell ref="AW138:AZ138"/>
    <mergeCell ref="E138:H138"/>
    <mergeCell ref="I138:L138"/>
    <mergeCell ref="M138:P138"/>
    <mergeCell ref="Q138:T138"/>
    <mergeCell ref="U138:X138"/>
    <mergeCell ref="Y138:AB138"/>
    <mergeCell ref="AC141:AF141"/>
    <mergeCell ref="AG141:AJ141"/>
    <mergeCell ref="AK141:AN141"/>
    <mergeCell ref="AO141:AR141"/>
    <mergeCell ref="AS141:AV141"/>
    <mergeCell ref="AW141:AZ141"/>
    <mergeCell ref="E141:H141"/>
    <mergeCell ref="I141:L141"/>
    <mergeCell ref="M141:P141"/>
    <mergeCell ref="Q141:T141"/>
    <mergeCell ref="U141:X141"/>
    <mergeCell ref="Y141:AB141"/>
    <mergeCell ref="AC140:AF140"/>
    <mergeCell ref="AG140:AJ140"/>
    <mergeCell ref="AK140:AN140"/>
    <mergeCell ref="AO140:AR140"/>
    <mergeCell ref="AS140:AV140"/>
    <mergeCell ref="AW140:AZ140"/>
    <mergeCell ref="E140:H140"/>
    <mergeCell ref="I140:L140"/>
    <mergeCell ref="M140:P140"/>
    <mergeCell ref="Q140:T140"/>
    <mergeCell ref="U140:X140"/>
    <mergeCell ref="Y140:AB140"/>
    <mergeCell ref="AC143:AF143"/>
    <mergeCell ref="AG143:AJ143"/>
    <mergeCell ref="AK143:AN143"/>
    <mergeCell ref="AO143:AR143"/>
    <mergeCell ref="AS143:AV143"/>
    <mergeCell ref="AW143:AZ143"/>
    <mergeCell ref="E143:H143"/>
    <mergeCell ref="I143:L143"/>
    <mergeCell ref="M143:P143"/>
    <mergeCell ref="Q143:T143"/>
    <mergeCell ref="U143:X143"/>
    <mergeCell ref="Y143:AB143"/>
    <mergeCell ref="AC142:AF142"/>
    <mergeCell ref="AG142:AJ142"/>
    <mergeCell ref="AK142:AN142"/>
    <mergeCell ref="AO142:AR142"/>
    <mergeCell ref="AS142:AV142"/>
    <mergeCell ref="AW142:AZ142"/>
    <mergeCell ref="E142:H142"/>
    <mergeCell ref="I142:L142"/>
    <mergeCell ref="M142:P142"/>
    <mergeCell ref="Q142:T142"/>
    <mergeCell ref="U142:X142"/>
    <mergeCell ref="Y142:AB142"/>
    <mergeCell ref="AC145:AF145"/>
    <mergeCell ref="AG145:AJ145"/>
    <mergeCell ref="AK145:AN145"/>
    <mergeCell ref="AO145:AR145"/>
    <mergeCell ref="AS145:AV145"/>
    <mergeCell ref="AW145:AZ145"/>
    <mergeCell ref="E145:H145"/>
    <mergeCell ref="I145:L145"/>
    <mergeCell ref="M145:P145"/>
    <mergeCell ref="Q145:T145"/>
    <mergeCell ref="U145:X145"/>
    <mergeCell ref="Y145:AB145"/>
    <mergeCell ref="AC144:AF144"/>
    <mergeCell ref="AG144:AJ144"/>
    <mergeCell ref="AK144:AN144"/>
    <mergeCell ref="AO144:AR144"/>
    <mergeCell ref="AS144:AV144"/>
    <mergeCell ref="AW144:AZ144"/>
    <mergeCell ref="E144:H144"/>
    <mergeCell ref="I144:L144"/>
    <mergeCell ref="M144:P144"/>
    <mergeCell ref="Q144:T144"/>
    <mergeCell ref="U144:X144"/>
    <mergeCell ref="Y144:AB144"/>
    <mergeCell ref="AC147:AF147"/>
    <mergeCell ref="AG147:AJ147"/>
    <mergeCell ref="AK147:AN147"/>
    <mergeCell ref="AO147:AR147"/>
    <mergeCell ref="AS147:AV147"/>
    <mergeCell ref="AW147:AZ147"/>
    <mergeCell ref="E147:H147"/>
    <mergeCell ref="I147:L147"/>
    <mergeCell ref="M147:P147"/>
    <mergeCell ref="Q147:T147"/>
    <mergeCell ref="U147:X147"/>
    <mergeCell ref="Y147:AB147"/>
    <mergeCell ref="AC146:AF146"/>
    <mergeCell ref="AG146:AJ146"/>
    <mergeCell ref="AK146:AN146"/>
    <mergeCell ref="AO146:AR146"/>
    <mergeCell ref="AS146:AV146"/>
    <mergeCell ref="AW146:AZ146"/>
    <mergeCell ref="E146:H146"/>
    <mergeCell ref="I146:L146"/>
    <mergeCell ref="M146:P146"/>
    <mergeCell ref="Q146:T146"/>
    <mergeCell ref="U146:X146"/>
    <mergeCell ref="Y146:AB146"/>
    <mergeCell ref="AC149:AF149"/>
    <mergeCell ref="AG149:AJ149"/>
    <mergeCell ref="AK149:AN149"/>
    <mergeCell ref="AO149:AR149"/>
    <mergeCell ref="AS149:AV149"/>
    <mergeCell ref="AW149:AZ149"/>
    <mergeCell ref="E149:H149"/>
    <mergeCell ref="I149:L149"/>
    <mergeCell ref="M149:P149"/>
    <mergeCell ref="Q149:T149"/>
    <mergeCell ref="U149:X149"/>
    <mergeCell ref="Y149:AB149"/>
    <mergeCell ref="AC148:AF148"/>
    <mergeCell ref="AG148:AJ148"/>
    <mergeCell ref="AK148:AN148"/>
    <mergeCell ref="AO148:AR148"/>
    <mergeCell ref="AS148:AV148"/>
    <mergeCell ref="AW148:AZ148"/>
    <mergeCell ref="E148:H148"/>
    <mergeCell ref="I148:L148"/>
    <mergeCell ref="M148:P148"/>
    <mergeCell ref="Q148:T148"/>
    <mergeCell ref="U148:X148"/>
    <mergeCell ref="Y148:AB148"/>
    <mergeCell ref="AC151:AF151"/>
    <mergeCell ref="AG151:AJ151"/>
    <mergeCell ref="AK151:AN151"/>
    <mergeCell ref="AO151:AR151"/>
    <mergeCell ref="AS151:AV151"/>
    <mergeCell ref="AW151:AZ151"/>
    <mergeCell ref="E151:H151"/>
    <mergeCell ref="I151:L151"/>
    <mergeCell ref="M151:P151"/>
    <mergeCell ref="Q151:T151"/>
    <mergeCell ref="U151:X151"/>
    <mergeCell ref="Y151:AB151"/>
    <mergeCell ref="AC150:AF150"/>
    <mergeCell ref="AG150:AJ150"/>
    <mergeCell ref="AK150:AN150"/>
    <mergeCell ref="AO150:AR150"/>
    <mergeCell ref="AS150:AV150"/>
    <mergeCell ref="AW150:AZ150"/>
    <mergeCell ref="E150:H150"/>
    <mergeCell ref="I150:L150"/>
    <mergeCell ref="M150:P150"/>
    <mergeCell ref="Q150:T150"/>
    <mergeCell ref="U150:X150"/>
    <mergeCell ref="Y150:AB150"/>
    <mergeCell ref="AC153:AF153"/>
    <mergeCell ref="AG153:AJ153"/>
    <mergeCell ref="AK153:AN153"/>
    <mergeCell ref="AO153:AR153"/>
    <mergeCell ref="AS153:AV153"/>
    <mergeCell ref="AW153:AZ153"/>
    <mergeCell ref="E153:H153"/>
    <mergeCell ref="I153:L153"/>
    <mergeCell ref="M153:P153"/>
    <mergeCell ref="Q153:T153"/>
    <mergeCell ref="U153:X153"/>
    <mergeCell ref="Y153:AB153"/>
    <mergeCell ref="AC152:AF152"/>
    <mergeCell ref="AG152:AJ152"/>
    <mergeCell ref="AK152:AN152"/>
    <mergeCell ref="AO152:AR152"/>
    <mergeCell ref="AS152:AV152"/>
    <mergeCell ref="AW152:AZ152"/>
    <mergeCell ref="E152:H152"/>
    <mergeCell ref="I152:L152"/>
    <mergeCell ref="M152:P152"/>
    <mergeCell ref="Q152:T152"/>
    <mergeCell ref="U152:X152"/>
    <mergeCell ref="Y152:AB152"/>
    <mergeCell ref="AC155:AF155"/>
    <mergeCell ref="AG155:AJ155"/>
    <mergeCell ref="AK155:AN155"/>
    <mergeCell ref="AO155:AR155"/>
    <mergeCell ref="AS155:AV155"/>
    <mergeCell ref="AW155:AZ155"/>
    <mergeCell ref="E155:H155"/>
    <mergeCell ref="I155:L155"/>
    <mergeCell ref="M155:P155"/>
    <mergeCell ref="Q155:T155"/>
    <mergeCell ref="U155:X155"/>
    <mergeCell ref="Y155:AB155"/>
    <mergeCell ref="AC154:AF154"/>
    <mergeCell ref="AG154:AJ154"/>
    <mergeCell ref="AK154:AN154"/>
    <mergeCell ref="AO154:AR154"/>
    <mergeCell ref="AS154:AV154"/>
    <mergeCell ref="AW154:AZ154"/>
    <mergeCell ref="E154:H154"/>
    <mergeCell ref="I154:L154"/>
    <mergeCell ref="M154:P154"/>
    <mergeCell ref="Q154:T154"/>
    <mergeCell ref="U154:X154"/>
    <mergeCell ref="Y154:AB154"/>
    <mergeCell ref="AC157:AF157"/>
    <mergeCell ref="AG157:AJ157"/>
    <mergeCell ref="AK157:AN157"/>
    <mergeCell ref="AO157:AR157"/>
    <mergeCell ref="AS157:AV157"/>
    <mergeCell ref="AW157:AZ157"/>
    <mergeCell ref="E157:H157"/>
    <mergeCell ref="I157:L157"/>
    <mergeCell ref="M157:P157"/>
    <mergeCell ref="Q157:T157"/>
    <mergeCell ref="U157:X157"/>
    <mergeCell ref="Y157:AB157"/>
    <mergeCell ref="AC156:AF156"/>
    <mergeCell ref="AG156:AJ156"/>
    <mergeCell ref="AK156:AN156"/>
    <mergeCell ref="AO156:AR156"/>
    <mergeCell ref="AS156:AV156"/>
    <mergeCell ref="AW156:AZ156"/>
    <mergeCell ref="E156:H156"/>
    <mergeCell ref="I156:L156"/>
    <mergeCell ref="M156:P156"/>
    <mergeCell ref="Q156:T156"/>
    <mergeCell ref="U156:X156"/>
    <mergeCell ref="Y156:AB156"/>
    <mergeCell ref="AC159:AF159"/>
    <mergeCell ref="AG159:AJ159"/>
    <mergeCell ref="AK159:AN159"/>
    <mergeCell ref="AO159:AR159"/>
    <mergeCell ref="AS159:AV159"/>
    <mergeCell ref="AW159:AZ159"/>
    <mergeCell ref="E159:H159"/>
    <mergeCell ref="I159:L159"/>
    <mergeCell ref="M159:P159"/>
    <mergeCell ref="Q159:T159"/>
    <mergeCell ref="U159:X159"/>
    <mergeCell ref="Y159:AB159"/>
    <mergeCell ref="AC158:AF158"/>
    <mergeCell ref="AG158:AJ158"/>
    <mergeCell ref="AK158:AN158"/>
    <mergeCell ref="AO158:AR158"/>
    <mergeCell ref="AS158:AV158"/>
    <mergeCell ref="AW158:AZ158"/>
    <mergeCell ref="E158:H158"/>
    <mergeCell ref="I158:L158"/>
    <mergeCell ref="M158:P158"/>
    <mergeCell ref="Q158:T158"/>
    <mergeCell ref="U158:X158"/>
    <mergeCell ref="Y158:AB158"/>
    <mergeCell ref="AC161:AF161"/>
    <mergeCell ref="AG161:AJ161"/>
    <mergeCell ref="AK161:AN161"/>
    <mergeCell ref="AO161:AR161"/>
    <mergeCell ref="AS161:AV161"/>
    <mergeCell ref="AW161:AZ161"/>
    <mergeCell ref="E161:H161"/>
    <mergeCell ref="I161:L161"/>
    <mergeCell ref="M161:P161"/>
    <mergeCell ref="Q161:T161"/>
    <mergeCell ref="U161:X161"/>
    <mergeCell ref="Y161:AB161"/>
    <mergeCell ref="AC160:AF160"/>
    <mergeCell ref="AG160:AJ160"/>
    <mergeCell ref="AK160:AN160"/>
    <mergeCell ref="AO160:AR160"/>
    <mergeCell ref="AS160:AV160"/>
    <mergeCell ref="AW160:AZ160"/>
    <mergeCell ref="E160:H160"/>
    <mergeCell ref="I160:L160"/>
    <mergeCell ref="M160:P160"/>
    <mergeCell ref="Q160:T160"/>
    <mergeCell ref="U160:X160"/>
    <mergeCell ref="Y160:AB160"/>
    <mergeCell ref="AC163:AF163"/>
    <mergeCell ref="AG163:AJ163"/>
    <mergeCell ref="AK163:AN163"/>
    <mergeCell ref="AO163:AR163"/>
    <mergeCell ref="AS163:AV163"/>
    <mergeCell ref="AW163:AZ163"/>
    <mergeCell ref="E163:H163"/>
    <mergeCell ref="I163:L163"/>
    <mergeCell ref="M163:P163"/>
    <mergeCell ref="Q163:T163"/>
    <mergeCell ref="U163:X163"/>
    <mergeCell ref="Y163:AB163"/>
    <mergeCell ref="AC162:AF162"/>
    <mergeCell ref="AG162:AJ162"/>
    <mergeCell ref="AK162:AN162"/>
    <mergeCell ref="AO162:AR162"/>
    <mergeCell ref="AS162:AV162"/>
    <mergeCell ref="AW162:AZ162"/>
    <mergeCell ref="E162:H162"/>
    <mergeCell ref="I162:L162"/>
    <mergeCell ref="M162:P162"/>
    <mergeCell ref="Q162:T162"/>
    <mergeCell ref="U162:X162"/>
    <mergeCell ref="Y162:AB162"/>
    <mergeCell ref="AC165:AF165"/>
    <mergeCell ref="AG165:AJ165"/>
    <mergeCell ref="AK165:AN165"/>
    <mergeCell ref="AO165:AR165"/>
    <mergeCell ref="AS165:AV165"/>
    <mergeCell ref="AW165:AZ165"/>
    <mergeCell ref="E165:H165"/>
    <mergeCell ref="I165:L165"/>
    <mergeCell ref="M165:P165"/>
    <mergeCell ref="Q165:T165"/>
    <mergeCell ref="U165:X165"/>
    <mergeCell ref="Y165:AB165"/>
    <mergeCell ref="AC164:AF164"/>
    <mergeCell ref="AG164:AJ164"/>
    <mergeCell ref="AK164:AN164"/>
    <mergeCell ref="AO164:AR164"/>
    <mergeCell ref="AS164:AV164"/>
    <mergeCell ref="AW164:AZ164"/>
    <mergeCell ref="E164:H164"/>
    <mergeCell ref="I164:L164"/>
    <mergeCell ref="M164:P164"/>
    <mergeCell ref="Q164:T164"/>
    <mergeCell ref="U164:X164"/>
    <mergeCell ref="Y164:AB164"/>
    <mergeCell ref="AC167:AF167"/>
    <mergeCell ref="AG167:AJ167"/>
    <mergeCell ref="AK167:AN167"/>
    <mergeCell ref="AO167:AR167"/>
    <mergeCell ref="AS167:AV167"/>
    <mergeCell ref="AW167:AZ167"/>
    <mergeCell ref="E167:H167"/>
    <mergeCell ref="I167:L167"/>
    <mergeCell ref="M167:P167"/>
    <mergeCell ref="Q167:T167"/>
    <mergeCell ref="U167:X167"/>
    <mergeCell ref="Y167:AB167"/>
    <mergeCell ref="AC166:AF166"/>
    <mergeCell ref="AG166:AJ166"/>
    <mergeCell ref="AK166:AN166"/>
    <mergeCell ref="AO166:AR166"/>
    <mergeCell ref="AS166:AV166"/>
    <mergeCell ref="AW166:AZ166"/>
    <mergeCell ref="E166:H166"/>
    <mergeCell ref="I166:L166"/>
    <mergeCell ref="M166:P166"/>
    <mergeCell ref="Q166:T166"/>
    <mergeCell ref="U166:X166"/>
    <mergeCell ref="Y166:AB166"/>
    <mergeCell ref="AC169:AF169"/>
    <mergeCell ref="AG169:AJ169"/>
    <mergeCell ref="AK169:AN169"/>
    <mergeCell ref="AO169:AR169"/>
    <mergeCell ref="AS169:AV169"/>
    <mergeCell ref="AW169:AZ169"/>
    <mergeCell ref="E169:H169"/>
    <mergeCell ref="I169:L169"/>
    <mergeCell ref="M169:P169"/>
    <mergeCell ref="Q169:T169"/>
    <mergeCell ref="U169:X169"/>
    <mergeCell ref="Y169:AB169"/>
    <mergeCell ref="AC168:AF168"/>
    <mergeCell ref="AG168:AJ168"/>
    <mergeCell ref="AK168:AN168"/>
    <mergeCell ref="AO168:AR168"/>
    <mergeCell ref="AS168:AV168"/>
    <mergeCell ref="AW168:AZ168"/>
    <mergeCell ref="E168:H168"/>
    <mergeCell ref="I168:L168"/>
    <mergeCell ref="M168:P168"/>
    <mergeCell ref="Q168:T168"/>
    <mergeCell ref="U168:X168"/>
    <mergeCell ref="Y168:AB168"/>
    <mergeCell ref="AC171:AF171"/>
    <mergeCell ref="AG171:AJ171"/>
    <mergeCell ref="AK171:AN171"/>
    <mergeCell ref="AO171:AR171"/>
    <mergeCell ref="AS171:AV171"/>
    <mergeCell ref="AW171:AZ171"/>
    <mergeCell ref="E171:H171"/>
    <mergeCell ref="I171:L171"/>
    <mergeCell ref="M171:P171"/>
    <mergeCell ref="Q171:T171"/>
    <mergeCell ref="U171:X171"/>
    <mergeCell ref="Y171:AB171"/>
    <mergeCell ref="AC170:AF170"/>
    <mergeCell ref="AG170:AJ170"/>
    <mergeCell ref="AK170:AN170"/>
    <mergeCell ref="AO170:AR170"/>
    <mergeCell ref="AS170:AV170"/>
    <mergeCell ref="AW170:AZ170"/>
    <mergeCell ref="E170:H170"/>
    <mergeCell ref="I170:L170"/>
    <mergeCell ref="M170:P170"/>
    <mergeCell ref="Q170:T170"/>
    <mergeCell ref="U170:X170"/>
    <mergeCell ref="Y170:AB170"/>
    <mergeCell ref="AC173:AF173"/>
    <mergeCell ref="AG173:AJ173"/>
    <mergeCell ref="AK173:AN173"/>
    <mergeCell ref="AO173:AR173"/>
    <mergeCell ref="AS173:AV173"/>
    <mergeCell ref="AW173:AZ173"/>
    <mergeCell ref="E173:H173"/>
    <mergeCell ref="I173:L173"/>
    <mergeCell ref="M173:P173"/>
    <mergeCell ref="Q173:T173"/>
    <mergeCell ref="U173:X173"/>
    <mergeCell ref="Y173:AB173"/>
    <mergeCell ref="AC172:AF172"/>
    <mergeCell ref="AG172:AJ172"/>
    <mergeCell ref="AK172:AN172"/>
    <mergeCell ref="AO172:AR172"/>
    <mergeCell ref="AS172:AV172"/>
    <mergeCell ref="AW172:AZ172"/>
    <mergeCell ref="E172:H172"/>
    <mergeCell ref="I172:L172"/>
    <mergeCell ref="M172:P172"/>
    <mergeCell ref="Q172:T172"/>
    <mergeCell ref="U172:X172"/>
    <mergeCell ref="Y172:AB172"/>
    <mergeCell ref="AC175:AF175"/>
    <mergeCell ref="AG175:AJ175"/>
    <mergeCell ref="AK175:AN175"/>
    <mergeCell ref="AO175:AR175"/>
    <mergeCell ref="AS175:AV175"/>
    <mergeCell ref="AW175:AZ175"/>
    <mergeCell ref="E175:H175"/>
    <mergeCell ref="I175:L175"/>
    <mergeCell ref="M175:P175"/>
    <mergeCell ref="Q175:T175"/>
    <mergeCell ref="U175:X175"/>
    <mergeCell ref="Y175:AB175"/>
    <mergeCell ref="AC174:AF174"/>
    <mergeCell ref="AG174:AJ174"/>
    <mergeCell ref="AK174:AN174"/>
    <mergeCell ref="AO174:AR174"/>
    <mergeCell ref="AS174:AV174"/>
    <mergeCell ref="AW174:AZ174"/>
    <mergeCell ref="E174:H174"/>
    <mergeCell ref="I174:L174"/>
    <mergeCell ref="M174:P174"/>
    <mergeCell ref="Q174:T174"/>
    <mergeCell ref="U174:X174"/>
    <mergeCell ref="Y174:AB174"/>
    <mergeCell ref="AC177:AF177"/>
    <mergeCell ref="AG177:AJ177"/>
    <mergeCell ref="AK177:AN177"/>
    <mergeCell ref="AO177:AR177"/>
    <mergeCell ref="AS177:AV177"/>
    <mergeCell ref="AW177:AZ177"/>
    <mergeCell ref="E177:H177"/>
    <mergeCell ref="I177:L177"/>
    <mergeCell ref="M177:P177"/>
    <mergeCell ref="Q177:T177"/>
    <mergeCell ref="U177:X177"/>
    <mergeCell ref="Y177:AB177"/>
    <mergeCell ref="AC176:AF176"/>
    <mergeCell ref="AG176:AJ176"/>
    <mergeCell ref="AK176:AN176"/>
    <mergeCell ref="AO176:AR176"/>
    <mergeCell ref="AS176:AV176"/>
    <mergeCell ref="AW176:AZ176"/>
    <mergeCell ref="E176:H176"/>
    <mergeCell ref="I176:L176"/>
    <mergeCell ref="M176:P176"/>
    <mergeCell ref="Q176:T176"/>
    <mergeCell ref="U176:X176"/>
    <mergeCell ref="Y176:AB176"/>
    <mergeCell ref="AC179:AF179"/>
    <mergeCell ref="AG179:AJ179"/>
    <mergeCell ref="AK179:AN179"/>
    <mergeCell ref="AO179:AR179"/>
    <mergeCell ref="AS179:AV179"/>
    <mergeCell ref="AW179:AZ179"/>
    <mergeCell ref="E179:H179"/>
    <mergeCell ref="I179:L179"/>
    <mergeCell ref="M179:P179"/>
    <mergeCell ref="Q179:T179"/>
    <mergeCell ref="U179:X179"/>
    <mergeCell ref="Y179:AB179"/>
    <mergeCell ref="AC178:AF178"/>
    <mergeCell ref="AG178:AJ178"/>
    <mergeCell ref="AK178:AN178"/>
    <mergeCell ref="AO178:AR178"/>
    <mergeCell ref="AS178:AV178"/>
    <mergeCell ref="AW178:AZ178"/>
    <mergeCell ref="E178:H178"/>
    <mergeCell ref="I178:L178"/>
    <mergeCell ref="M178:P178"/>
    <mergeCell ref="Q178:T178"/>
    <mergeCell ref="U178:X178"/>
    <mergeCell ref="Y178:AB178"/>
    <mergeCell ref="AC181:AF181"/>
    <mergeCell ref="AG181:AJ181"/>
    <mergeCell ref="AK181:AN181"/>
    <mergeCell ref="AO181:AR181"/>
    <mergeCell ref="AS181:AV181"/>
    <mergeCell ref="AW181:AZ181"/>
    <mergeCell ref="E181:H181"/>
    <mergeCell ref="I181:L181"/>
    <mergeCell ref="M181:P181"/>
    <mergeCell ref="Q181:T181"/>
    <mergeCell ref="U181:X181"/>
    <mergeCell ref="Y181:AB181"/>
    <mergeCell ref="AC180:AF180"/>
    <mergeCell ref="AG180:AJ180"/>
    <mergeCell ref="AK180:AN180"/>
    <mergeCell ref="AO180:AR180"/>
    <mergeCell ref="AS180:AV180"/>
    <mergeCell ref="AW180:AZ180"/>
    <mergeCell ref="E180:H180"/>
    <mergeCell ref="I180:L180"/>
    <mergeCell ref="M180:P180"/>
    <mergeCell ref="Q180:T180"/>
    <mergeCell ref="U180:X180"/>
    <mergeCell ref="Y180:AB180"/>
    <mergeCell ref="AC183:AF183"/>
    <mergeCell ref="AG183:AJ183"/>
    <mergeCell ref="AK183:AN183"/>
    <mergeCell ref="AO183:AR183"/>
    <mergeCell ref="AS183:AV183"/>
    <mergeCell ref="AW183:AZ183"/>
    <mergeCell ref="E183:H183"/>
    <mergeCell ref="I183:L183"/>
    <mergeCell ref="M183:P183"/>
    <mergeCell ref="Q183:T183"/>
    <mergeCell ref="U183:X183"/>
    <mergeCell ref="Y183:AB183"/>
    <mergeCell ref="AC182:AF182"/>
    <mergeCell ref="AG182:AJ182"/>
    <mergeCell ref="AK182:AN182"/>
    <mergeCell ref="AO182:AR182"/>
    <mergeCell ref="AS182:AV182"/>
    <mergeCell ref="AW182:AZ182"/>
    <mergeCell ref="E182:H182"/>
    <mergeCell ref="I182:L182"/>
    <mergeCell ref="M182:P182"/>
    <mergeCell ref="Q182:T182"/>
    <mergeCell ref="U182:X182"/>
    <mergeCell ref="Y182:AB182"/>
    <mergeCell ref="AC185:AF185"/>
    <mergeCell ref="AG185:AJ185"/>
    <mergeCell ref="AK185:AN185"/>
    <mergeCell ref="AO185:AR185"/>
    <mergeCell ref="AS185:AV185"/>
    <mergeCell ref="AW185:AZ185"/>
    <mergeCell ref="E185:H185"/>
    <mergeCell ref="I185:L185"/>
    <mergeCell ref="M185:P185"/>
    <mergeCell ref="Q185:T185"/>
    <mergeCell ref="U185:X185"/>
    <mergeCell ref="Y185:AB185"/>
    <mergeCell ref="AC184:AF184"/>
    <mergeCell ref="AG184:AJ184"/>
    <mergeCell ref="AK184:AN184"/>
    <mergeCell ref="AO184:AR184"/>
    <mergeCell ref="AS184:AV184"/>
    <mergeCell ref="AW184:AZ184"/>
    <mergeCell ref="E184:H184"/>
    <mergeCell ref="I184:L184"/>
    <mergeCell ref="M184:P184"/>
    <mergeCell ref="Q184:T184"/>
    <mergeCell ref="U184:X184"/>
    <mergeCell ref="Y184:AB184"/>
    <mergeCell ref="AC187:AF187"/>
    <mergeCell ref="AG187:AJ187"/>
    <mergeCell ref="AK187:AN187"/>
    <mergeCell ref="AO187:AR187"/>
    <mergeCell ref="AS187:AV187"/>
    <mergeCell ref="AW187:AZ187"/>
    <mergeCell ref="E187:H187"/>
    <mergeCell ref="I187:L187"/>
    <mergeCell ref="M187:P187"/>
    <mergeCell ref="Q187:T187"/>
    <mergeCell ref="U187:X187"/>
    <mergeCell ref="Y187:AB187"/>
    <mergeCell ref="AC186:AF186"/>
    <mergeCell ref="AG186:AJ186"/>
    <mergeCell ref="AK186:AN186"/>
    <mergeCell ref="AO186:AR186"/>
    <mergeCell ref="AS186:AV186"/>
    <mergeCell ref="AW186:AZ186"/>
    <mergeCell ref="E186:H186"/>
    <mergeCell ref="I186:L186"/>
    <mergeCell ref="M186:P186"/>
    <mergeCell ref="Q186:T186"/>
    <mergeCell ref="U186:X186"/>
    <mergeCell ref="Y186:AB186"/>
    <mergeCell ref="AC189:AF189"/>
    <mergeCell ref="AG189:AJ189"/>
    <mergeCell ref="AK189:AN189"/>
    <mergeCell ref="AO189:AR189"/>
    <mergeCell ref="AS189:AV189"/>
    <mergeCell ref="AW189:AZ189"/>
    <mergeCell ref="E189:H189"/>
    <mergeCell ref="I189:L189"/>
    <mergeCell ref="M189:P189"/>
    <mergeCell ref="Q189:T189"/>
    <mergeCell ref="U189:X189"/>
    <mergeCell ref="Y189:AB189"/>
    <mergeCell ref="AC188:AF188"/>
    <mergeCell ref="AG188:AJ188"/>
    <mergeCell ref="AK188:AN188"/>
    <mergeCell ref="AO188:AR188"/>
    <mergeCell ref="AS188:AV188"/>
    <mergeCell ref="AW188:AZ188"/>
    <mergeCell ref="E188:H188"/>
    <mergeCell ref="I188:L188"/>
    <mergeCell ref="M188:P188"/>
    <mergeCell ref="Q188:T188"/>
    <mergeCell ref="U188:X188"/>
    <mergeCell ref="Y188:AB188"/>
    <mergeCell ref="AC191:AF191"/>
    <mergeCell ref="AG191:AJ191"/>
    <mergeCell ref="AK191:AN191"/>
    <mergeCell ref="AO191:AR191"/>
    <mergeCell ref="AS191:AV191"/>
    <mergeCell ref="AW191:AZ191"/>
    <mergeCell ref="E191:H191"/>
    <mergeCell ref="I191:L191"/>
    <mergeCell ref="M191:P191"/>
    <mergeCell ref="Q191:T191"/>
    <mergeCell ref="U191:X191"/>
    <mergeCell ref="Y191:AB191"/>
    <mergeCell ref="AC190:AF190"/>
    <mergeCell ref="AG190:AJ190"/>
    <mergeCell ref="AK190:AN190"/>
    <mergeCell ref="AO190:AR190"/>
    <mergeCell ref="AS190:AV190"/>
    <mergeCell ref="AW190:AZ190"/>
    <mergeCell ref="E190:H190"/>
    <mergeCell ref="I190:L190"/>
    <mergeCell ref="M190:P190"/>
    <mergeCell ref="Q190:T190"/>
    <mergeCell ref="U190:X190"/>
    <mergeCell ref="Y190:AB190"/>
    <mergeCell ref="AC193:AF193"/>
    <mergeCell ref="AG193:AJ193"/>
    <mergeCell ref="AK193:AN193"/>
    <mergeCell ref="AO193:AR193"/>
    <mergeCell ref="AS193:AV193"/>
    <mergeCell ref="AW193:AZ193"/>
    <mergeCell ref="E193:H193"/>
    <mergeCell ref="I193:L193"/>
    <mergeCell ref="M193:P193"/>
    <mergeCell ref="Q193:T193"/>
    <mergeCell ref="U193:X193"/>
    <mergeCell ref="Y193:AB193"/>
    <mergeCell ref="AC192:AF192"/>
    <mergeCell ref="AG192:AJ192"/>
    <mergeCell ref="AK192:AN192"/>
    <mergeCell ref="AO192:AR192"/>
    <mergeCell ref="AS192:AV192"/>
    <mergeCell ref="AW192:AZ192"/>
    <mergeCell ref="E192:H192"/>
    <mergeCell ref="I192:L192"/>
    <mergeCell ref="M192:P192"/>
    <mergeCell ref="Q192:T192"/>
    <mergeCell ref="U192:X192"/>
    <mergeCell ref="Y192:AB192"/>
    <mergeCell ref="AC195:AF195"/>
    <mergeCell ref="AG195:AJ195"/>
    <mergeCell ref="AK195:AN195"/>
    <mergeCell ref="AO195:AR195"/>
    <mergeCell ref="AS195:AV195"/>
    <mergeCell ref="AW195:AZ195"/>
    <mergeCell ref="E195:H195"/>
    <mergeCell ref="I195:L195"/>
    <mergeCell ref="M195:P195"/>
    <mergeCell ref="Q195:T195"/>
    <mergeCell ref="U195:X195"/>
    <mergeCell ref="Y195:AB195"/>
    <mergeCell ref="AC194:AF194"/>
    <mergeCell ref="AG194:AJ194"/>
    <mergeCell ref="AK194:AN194"/>
    <mergeCell ref="AO194:AR194"/>
    <mergeCell ref="AS194:AV194"/>
    <mergeCell ref="AW194:AZ194"/>
    <mergeCell ref="E194:H194"/>
    <mergeCell ref="I194:L194"/>
    <mergeCell ref="M194:P194"/>
    <mergeCell ref="Q194:T194"/>
    <mergeCell ref="U194:X194"/>
    <mergeCell ref="Y194:AB194"/>
    <mergeCell ref="AC197:AF197"/>
    <mergeCell ref="AG197:AJ197"/>
    <mergeCell ref="AK197:AN197"/>
    <mergeCell ref="AO197:AR197"/>
    <mergeCell ref="AS197:AV197"/>
    <mergeCell ref="AW197:AZ197"/>
    <mergeCell ref="E197:H197"/>
    <mergeCell ref="I197:L197"/>
    <mergeCell ref="M197:P197"/>
    <mergeCell ref="Q197:T197"/>
    <mergeCell ref="U197:X197"/>
    <mergeCell ref="Y197:AB197"/>
    <mergeCell ref="AC196:AF196"/>
    <mergeCell ref="AG196:AJ196"/>
    <mergeCell ref="AK196:AN196"/>
    <mergeCell ref="AO196:AR196"/>
    <mergeCell ref="AS196:AV196"/>
    <mergeCell ref="AW196:AZ196"/>
    <mergeCell ref="E196:H196"/>
    <mergeCell ref="I196:L196"/>
    <mergeCell ref="M196:P196"/>
    <mergeCell ref="Q196:T196"/>
    <mergeCell ref="U196:X196"/>
    <mergeCell ref="Y196:AB196"/>
    <mergeCell ref="AC199:AF199"/>
    <mergeCell ref="AG199:AJ199"/>
    <mergeCell ref="AK199:AN199"/>
    <mergeCell ref="AO199:AR199"/>
    <mergeCell ref="AS199:AV199"/>
    <mergeCell ref="AW199:AZ199"/>
    <mergeCell ref="E199:H199"/>
    <mergeCell ref="I199:L199"/>
    <mergeCell ref="M199:P199"/>
    <mergeCell ref="Q199:T199"/>
    <mergeCell ref="U199:X199"/>
    <mergeCell ref="Y199:AB199"/>
    <mergeCell ref="AC198:AF198"/>
    <mergeCell ref="AG198:AJ198"/>
    <mergeCell ref="AK198:AN198"/>
    <mergeCell ref="AO198:AR198"/>
    <mergeCell ref="AS198:AV198"/>
    <mergeCell ref="AW198:AZ198"/>
    <mergeCell ref="E198:H198"/>
    <mergeCell ref="I198:L198"/>
    <mergeCell ref="M198:P198"/>
    <mergeCell ref="Q198:T198"/>
    <mergeCell ref="U198:X198"/>
    <mergeCell ref="Y198:AB198"/>
    <mergeCell ref="AC201:AF201"/>
    <mergeCell ref="AG201:AJ201"/>
    <mergeCell ref="AK201:AN201"/>
    <mergeCell ref="AO201:AR201"/>
    <mergeCell ref="AS201:AV201"/>
    <mergeCell ref="AW201:AZ201"/>
    <mergeCell ref="E201:H201"/>
    <mergeCell ref="I201:L201"/>
    <mergeCell ref="M201:P201"/>
    <mergeCell ref="Q201:T201"/>
    <mergeCell ref="U201:X201"/>
    <mergeCell ref="Y201:AB201"/>
    <mergeCell ref="AC200:AF200"/>
    <mergeCell ref="AG200:AJ200"/>
    <mergeCell ref="AK200:AN200"/>
    <mergeCell ref="AO200:AR200"/>
    <mergeCell ref="AS200:AV200"/>
    <mergeCell ref="AW200:AZ200"/>
    <mergeCell ref="E200:H200"/>
    <mergeCell ref="I200:L200"/>
    <mergeCell ref="M200:P200"/>
    <mergeCell ref="Q200:T200"/>
    <mergeCell ref="U200:X200"/>
    <mergeCell ref="Y200:AB200"/>
    <mergeCell ref="AC203:AF203"/>
    <mergeCell ref="AG203:AJ203"/>
    <mergeCell ref="AK203:AN203"/>
    <mergeCell ref="AO203:AR203"/>
    <mergeCell ref="AS203:AV203"/>
    <mergeCell ref="AW203:AZ203"/>
    <mergeCell ref="E203:H203"/>
    <mergeCell ref="I203:L203"/>
    <mergeCell ref="M203:P203"/>
    <mergeCell ref="Q203:T203"/>
    <mergeCell ref="U203:X203"/>
    <mergeCell ref="Y203:AB203"/>
    <mergeCell ref="AC202:AF202"/>
    <mergeCell ref="AG202:AJ202"/>
    <mergeCell ref="AK202:AN202"/>
    <mergeCell ref="AO202:AR202"/>
    <mergeCell ref="AS202:AV202"/>
    <mergeCell ref="AW202:AZ202"/>
    <mergeCell ref="E202:H202"/>
    <mergeCell ref="I202:L202"/>
    <mergeCell ref="M202:P202"/>
    <mergeCell ref="Q202:T202"/>
    <mergeCell ref="U202:X202"/>
    <mergeCell ref="Y202:AB202"/>
    <mergeCell ref="AC205:AF205"/>
    <mergeCell ref="AG205:AJ205"/>
    <mergeCell ref="AK205:AN205"/>
    <mergeCell ref="AO205:AR205"/>
    <mergeCell ref="AS205:AV205"/>
    <mergeCell ref="AW205:AZ205"/>
    <mergeCell ref="E205:H205"/>
    <mergeCell ref="I205:L205"/>
    <mergeCell ref="M205:P205"/>
    <mergeCell ref="Q205:T205"/>
    <mergeCell ref="U205:X205"/>
    <mergeCell ref="Y205:AB205"/>
    <mergeCell ref="AC204:AF204"/>
    <mergeCell ref="AG204:AJ204"/>
    <mergeCell ref="AK204:AN204"/>
    <mergeCell ref="AO204:AR204"/>
    <mergeCell ref="AS204:AV204"/>
    <mergeCell ref="AW204:AZ204"/>
    <mergeCell ref="E204:H204"/>
    <mergeCell ref="I204:L204"/>
    <mergeCell ref="M204:P204"/>
    <mergeCell ref="Q204:T204"/>
    <mergeCell ref="U204:X204"/>
    <mergeCell ref="Y204:AB204"/>
    <mergeCell ref="AC207:AF207"/>
    <mergeCell ref="AG207:AJ207"/>
    <mergeCell ref="AK207:AN207"/>
    <mergeCell ref="AO207:AR207"/>
    <mergeCell ref="AS207:AV207"/>
    <mergeCell ref="AW207:AZ207"/>
    <mergeCell ref="E207:H207"/>
    <mergeCell ref="I207:L207"/>
    <mergeCell ref="M207:P207"/>
    <mergeCell ref="Q207:T207"/>
    <mergeCell ref="U207:X207"/>
    <mergeCell ref="Y207:AB207"/>
    <mergeCell ref="AC206:AF206"/>
    <mergeCell ref="AG206:AJ206"/>
    <mergeCell ref="AK206:AN206"/>
    <mergeCell ref="AO206:AR206"/>
    <mergeCell ref="AS206:AV206"/>
    <mergeCell ref="AW206:AZ206"/>
    <mergeCell ref="E206:H206"/>
    <mergeCell ref="I206:L206"/>
    <mergeCell ref="M206:P206"/>
    <mergeCell ref="Q206:T206"/>
    <mergeCell ref="U206:X206"/>
    <mergeCell ref="Y206:AB206"/>
    <mergeCell ref="AC209:AF209"/>
    <mergeCell ref="AG209:AJ209"/>
    <mergeCell ref="AK209:AN209"/>
    <mergeCell ref="AO209:AR209"/>
    <mergeCell ref="AS209:AV209"/>
    <mergeCell ref="AW209:AZ209"/>
    <mergeCell ref="E209:H209"/>
    <mergeCell ref="I209:L209"/>
    <mergeCell ref="M209:P209"/>
    <mergeCell ref="Q209:T209"/>
    <mergeCell ref="U209:X209"/>
    <mergeCell ref="Y209:AB209"/>
    <mergeCell ref="AC208:AF208"/>
    <mergeCell ref="AG208:AJ208"/>
    <mergeCell ref="AK208:AN208"/>
    <mergeCell ref="AO208:AR208"/>
    <mergeCell ref="AS208:AV208"/>
    <mergeCell ref="AW208:AZ208"/>
    <mergeCell ref="E208:H208"/>
    <mergeCell ref="I208:L208"/>
    <mergeCell ref="M208:P208"/>
    <mergeCell ref="Q208:T208"/>
    <mergeCell ref="U208:X208"/>
    <mergeCell ref="Y208:AB208"/>
    <mergeCell ref="AC211:AF211"/>
    <mergeCell ref="AG211:AJ211"/>
    <mergeCell ref="AK211:AN211"/>
    <mergeCell ref="AO211:AR211"/>
    <mergeCell ref="AS211:AV211"/>
    <mergeCell ref="AW211:AZ211"/>
    <mergeCell ref="E211:H211"/>
    <mergeCell ref="I211:L211"/>
    <mergeCell ref="M211:P211"/>
    <mergeCell ref="Q211:T211"/>
    <mergeCell ref="U211:X211"/>
    <mergeCell ref="Y211:AB211"/>
    <mergeCell ref="AC210:AF210"/>
    <mergeCell ref="AG210:AJ210"/>
    <mergeCell ref="AK210:AN210"/>
    <mergeCell ref="AO210:AR210"/>
    <mergeCell ref="AS210:AV210"/>
    <mergeCell ref="AW210:AZ210"/>
    <mergeCell ref="E210:H210"/>
    <mergeCell ref="I210:L210"/>
    <mergeCell ref="M210:P210"/>
    <mergeCell ref="Q210:T210"/>
    <mergeCell ref="U210:X210"/>
    <mergeCell ref="Y210:AB210"/>
    <mergeCell ref="AC213:AF213"/>
    <mergeCell ref="AG213:AJ213"/>
    <mergeCell ref="AK213:AN213"/>
    <mergeCell ref="AO213:AR213"/>
    <mergeCell ref="AS213:AV213"/>
    <mergeCell ref="AW213:AZ213"/>
    <mergeCell ref="E213:H213"/>
    <mergeCell ref="I213:L213"/>
    <mergeCell ref="M213:P213"/>
    <mergeCell ref="Q213:T213"/>
    <mergeCell ref="U213:X213"/>
    <mergeCell ref="Y213:AB213"/>
    <mergeCell ref="AC212:AF212"/>
    <mergeCell ref="AG212:AJ212"/>
    <mergeCell ref="AK212:AN212"/>
    <mergeCell ref="AO212:AR212"/>
    <mergeCell ref="AS212:AV212"/>
    <mergeCell ref="AW212:AZ212"/>
    <mergeCell ref="E212:H212"/>
    <mergeCell ref="I212:L212"/>
    <mergeCell ref="M212:P212"/>
    <mergeCell ref="Q212:T212"/>
    <mergeCell ref="U212:X212"/>
    <mergeCell ref="Y212:AB212"/>
    <mergeCell ref="AC215:AF215"/>
    <mergeCell ref="AG215:AJ215"/>
    <mergeCell ref="AK215:AN215"/>
    <mergeCell ref="AO215:AR215"/>
    <mergeCell ref="AS215:AV215"/>
    <mergeCell ref="AW215:AZ215"/>
    <mergeCell ref="E215:H215"/>
    <mergeCell ref="I215:L215"/>
    <mergeCell ref="M215:P215"/>
    <mergeCell ref="Q215:T215"/>
    <mergeCell ref="U215:X215"/>
    <mergeCell ref="Y215:AB215"/>
    <mergeCell ref="AC214:AF214"/>
    <mergeCell ref="AG214:AJ214"/>
    <mergeCell ref="AK214:AN214"/>
    <mergeCell ref="AO214:AR214"/>
    <mergeCell ref="AS214:AV214"/>
    <mergeCell ref="AW214:AZ214"/>
    <mergeCell ref="E214:H214"/>
    <mergeCell ref="I214:L214"/>
    <mergeCell ref="M214:P214"/>
    <mergeCell ref="Q214:T214"/>
    <mergeCell ref="U214:X214"/>
    <mergeCell ref="Y214:AB214"/>
    <mergeCell ref="AC217:AF217"/>
    <mergeCell ref="AG217:AJ217"/>
    <mergeCell ref="AK217:AN217"/>
    <mergeCell ref="AO217:AR217"/>
    <mergeCell ref="AS217:AV217"/>
    <mergeCell ref="AW217:AZ217"/>
    <mergeCell ref="E217:H217"/>
    <mergeCell ref="I217:L217"/>
    <mergeCell ref="M217:P217"/>
    <mergeCell ref="Q217:T217"/>
    <mergeCell ref="U217:X217"/>
    <mergeCell ref="Y217:AB217"/>
    <mergeCell ref="AC216:AF216"/>
    <mergeCell ref="AG216:AJ216"/>
    <mergeCell ref="AK216:AN216"/>
    <mergeCell ref="AO216:AR216"/>
    <mergeCell ref="AS216:AV216"/>
    <mergeCell ref="AW216:AZ216"/>
    <mergeCell ref="E216:H216"/>
    <mergeCell ref="I216:L216"/>
    <mergeCell ref="M216:P216"/>
    <mergeCell ref="Q216:T216"/>
    <mergeCell ref="U216:X216"/>
    <mergeCell ref="Y216:AB216"/>
    <mergeCell ref="AC219:AF219"/>
    <mergeCell ref="AG219:AJ219"/>
    <mergeCell ref="AK219:AN219"/>
    <mergeCell ref="AO219:AR219"/>
    <mergeCell ref="AS219:AV219"/>
    <mergeCell ref="AW219:AZ219"/>
    <mergeCell ref="E219:H219"/>
    <mergeCell ref="I219:L219"/>
    <mergeCell ref="M219:P219"/>
    <mergeCell ref="Q219:T219"/>
    <mergeCell ref="U219:X219"/>
    <mergeCell ref="Y219:AB219"/>
    <mergeCell ref="AC218:AF218"/>
    <mergeCell ref="AG218:AJ218"/>
    <mergeCell ref="AK218:AN218"/>
    <mergeCell ref="AO218:AR218"/>
    <mergeCell ref="AS218:AV218"/>
    <mergeCell ref="AW218:AZ218"/>
    <mergeCell ref="E218:H218"/>
    <mergeCell ref="I218:L218"/>
    <mergeCell ref="M218:P218"/>
    <mergeCell ref="Q218:T218"/>
    <mergeCell ref="U218:X218"/>
    <mergeCell ref="Y218:AB218"/>
    <mergeCell ref="AC221:AF221"/>
    <mergeCell ref="AG221:AJ221"/>
    <mergeCell ref="AK221:AN221"/>
    <mergeCell ref="AO221:AR221"/>
    <mergeCell ref="AS221:AV221"/>
    <mergeCell ref="AW221:AZ221"/>
    <mergeCell ref="E221:H221"/>
    <mergeCell ref="I221:L221"/>
    <mergeCell ref="M221:P221"/>
    <mergeCell ref="Q221:T221"/>
    <mergeCell ref="U221:X221"/>
    <mergeCell ref="Y221:AB221"/>
    <mergeCell ref="AC220:AF220"/>
    <mergeCell ref="AG220:AJ220"/>
    <mergeCell ref="AK220:AN220"/>
    <mergeCell ref="AO220:AR220"/>
    <mergeCell ref="AS220:AV220"/>
    <mergeCell ref="AW220:AZ220"/>
    <mergeCell ref="E220:H220"/>
    <mergeCell ref="I220:L220"/>
    <mergeCell ref="M220:P220"/>
    <mergeCell ref="Q220:T220"/>
    <mergeCell ref="U220:X220"/>
    <mergeCell ref="Y220:AB220"/>
    <mergeCell ref="AC223:AF223"/>
    <mergeCell ref="AG223:AJ223"/>
    <mergeCell ref="AK223:AN223"/>
    <mergeCell ref="AO223:AR223"/>
    <mergeCell ref="AS223:AV223"/>
    <mergeCell ref="AW223:AZ223"/>
    <mergeCell ref="E223:H223"/>
    <mergeCell ref="I223:L223"/>
    <mergeCell ref="M223:P223"/>
    <mergeCell ref="Q223:T223"/>
    <mergeCell ref="U223:X223"/>
    <mergeCell ref="Y223:AB223"/>
    <mergeCell ref="AC222:AF222"/>
    <mergeCell ref="AG222:AJ222"/>
    <mergeCell ref="AK222:AN222"/>
    <mergeCell ref="AO222:AR222"/>
    <mergeCell ref="AS222:AV222"/>
    <mergeCell ref="AW222:AZ222"/>
    <mergeCell ref="E222:H222"/>
    <mergeCell ref="I222:L222"/>
    <mergeCell ref="M222:P222"/>
    <mergeCell ref="Q222:T222"/>
    <mergeCell ref="U222:X222"/>
    <mergeCell ref="Y222:AB222"/>
    <mergeCell ref="AC225:AF225"/>
    <mergeCell ref="AG225:AJ225"/>
    <mergeCell ref="AK225:AN225"/>
    <mergeCell ref="AO225:AR225"/>
    <mergeCell ref="AS225:AV225"/>
    <mergeCell ref="AW225:AZ225"/>
    <mergeCell ref="E225:H225"/>
    <mergeCell ref="I225:L225"/>
    <mergeCell ref="M225:P225"/>
    <mergeCell ref="Q225:T225"/>
    <mergeCell ref="U225:X225"/>
    <mergeCell ref="Y225:AB225"/>
    <mergeCell ref="AC224:AF224"/>
    <mergeCell ref="AG224:AJ224"/>
    <mergeCell ref="AK224:AN224"/>
    <mergeCell ref="AO224:AR224"/>
    <mergeCell ref="AS224:AV224"/>
    <mergeCell ref="AW224:AZ224"/>
    <mergeCell ref="E224:H224"/>
    <mergeCell ref="I224:L224"/>
    <mergeCell ref="M224:P224"/>
    <mergeCell ref="Q224:T224"/>
    <mergeCell ref="U224:X224"/>
    <mergeCell ref="Y224:AB224"/>
    <mergeCell ref="AC227:AF227"/>
    <mergeCell ref="AG227:AJ227"/>
    <mergeCell ref="AK227:AN227"/>
    <mergeCell ref="AO227:AR227"/>
    <mergeCell ref="AS227:AV227"/>
    <mergeCell ref="AW227:AZ227"/>
    <mergeCell ref="E227:H227"/>
    <mergeCell ref="I227:L227"/>
    <mergeCell ref="M227:P227"/>
    <mergeCell ref="Q227:T227"/>
    <mergeCell ref="U227:X227"/>
    <mergeCell ref="Y227:AB227"/>
    <mergeCell ref="AC226:AF226"/>
    <mergeCell ref="AG226:AJ226"/>
    <mergeCell ref="AK226:AN226"/>
    <mergeCell ref="AO226:AR226"/>
    <mergeCell ref="AS226:AV226"/>
    <mergeCell ref="AW226:AZ226"/>
    <mergeCell ref="E226:H226"/>
    <mergeCell ref="I226:L226"/>
    <mergeCell ref="M226:P226"/>
    <mergeCell ref="Q226:T226"/>
    <mergeCell ref="U226:X226"/>
    <mergeCell ref="Y226:AB226"/>
    <mergeCell ref="AC229:AF229"/>
    <mergeCell ref="AG229:AJ229"/>
    <mergeCell ref="AK229:AN229"/>
    <mergeCell ref="AO229:AR229"/>
    <mergeCell ref="AS229:AV229"/>
    <mergeCell ref="AW229:AZ229"/>
    <mergeCell ref="E229:H229"/>
    <mergeCell ref="I229:L229"/>
    <mergeCell ref="M229:P229"/>
    <mergeCell ref="Q229:T229"/>
    <mergeCell ref="U229:X229"/>
    <mergeCell ref="Y229:AB229"/>
    <mergeCell ref="AC228:AF228"/>
    <mergeCell ref="AG228:AJ228"/>
    <mergeCell ref="AK228:AN228"/>
    <mergeCell ref="AO228:AR228"/>
    <mergeCell ref="AS228:AV228"/>
    <mergeCell ref="AW228:AZ228"/>
    <mergeCell ref="E228:H228"/>
    <mergeCell ref="I228:L228"/>
    <mergeCell ref="M228:P228"/>
    <mergeCell ref="Q228:T228"/>
    <mergeCell ref="U228:X228"/>
    <mergeCell ref="Y228:AB228"/>
    <mergeCell ref="AC231:AF231"/>
    <mergeCell ref="AG231:AJ231"/>
    <mergeCell ref="AK231:AN231"/>
    <mergeCell ref="AO231:AR231"/>
    <mergeCell ref="AS231:AV231"/>
    <mergeCell ref="AW231:AZ231"/>
    <mergeCell ref="E231:H231"/>
    <mergeCell ref="I231:L231"/>
    <mergeCell ref="M231:P231"/>
    <mergeCell ref="Q231:T231"/>
    <mergeCell ref="U231:X231"/>
    <mergeCell ref="Y231:AB231"/>
    <mergeCell ref="AC230:AF230"/>
    <mergeCell ref="AG230:AJ230"/>
    <mergeCell ref="AK230:AN230"/>
    <mergeCell ref="AO230:AR230"/>
    <mergeCell ref="AS230:AV230"/>
    <mergeCell ref="AW230:AZ230"/>
    <mergeCell ref="E230:H230"/>
    <mergeCell ref="I230:L230"/>
    <mergeCell ref="M230:P230"/>
    <mergeCell ref="Q230:T230"/>
    <mergeCell ref="U230:X230"/>
    <mergeCell ref="Y230:AB230"/>
    <mergeCell ref="AC233:AF233"/>
    <mergeCell ref="AG233:AJ233"/>
    <mergeCell ref="AK233:AN233"/>
    <mergeCell ref="AO233:AR233"/>
    <mergeCell ref="AS233:AV233"/>
    <mergeCell ref="AW233:AZ233"/>
    <mergeCell ref="E233:H233"/>
    <mergeCell ref="I233:L233"/>
    <mergeCell ref="M233:P233"/>
    <mergeCell ref="Q233:T233"/>
    <mergeCell ref="U233:X233"/>
    <mergeCell ref="Y233:AB233"/>
    <mergeCell ref="AC232:AF232"/>
    <mergeCell ref="AG232:AJ232"/>
    <mergeCell ref="AK232:AN232"/>
    <mergeCell ref="AO232:AR232"/>
    <mergeCell ref="AS232:AV232"/>
    <mergeCell ref="AW232:AZ232"/>
    <mergeCell ref="E232:H232"/>
    <mergeCell ref="I232:L232"/>
    <mergeCell ref="M232:P232"/>
    <mergeCell ref="Q232:T232"/>
    <mergeCell ref="U232:X232"/>
    <mergeCell ref="Y232:AB232"/>
    <mergeCell ref="AC235:AF235"/>
    <mergeCell ref="AG235:AJ235"/>
    <mergeCell ref="AK235:AN235"/>
    <mergeCell ref="AO235:AR235"/>
    <mergeCell ref="AS235:AV235"/>
    <mergeCell ref="AW235:AZ235"/>
    <mergeCell ref="E235:H235"/>
    <mergeCell ref="I235:L235"/>
    <mergeCell ref="M235:P235"/>
    <mergeCell ref="Q235:T235"/>
    <mergeCell ref="U235:X235"/>
    <mergeCell ref="Y235:AB235"/>
    <mergeCell ref="AC234:AF234"/>
    <mergeCell ref="AG234:AJ234"/>
    <mergeCell ref="AK234:AN234"/>
    <mergeCell ref="AO234:AR234"/>
    <mergeCell ref="AS234:AV234"/>
    <mergeCell ref="AW234:AZ234"/>
    <mergeCell ref="E234:H234"/>
    <mergeCell ref="I234:L234"/>
    <mergeCell ref="M234:P234"/>
    <mergeCell ref="Q234:T234"/>
    <mergeCell ref="U234:X234"/>
    <mergeCell ref="Y234:AB234"/>
    <mergeCell ref="AC237:AF237"/>
    <mergeCell ref="AG237:AJ237"/>
    <mergeCell ref="AK237:AN237"/>
    <mergeCell ref="AO237:AR237"/>
    <mergeCell ref="AS237:AV237"/>
    <mergeCell ref="AW237:AZ237"/>
    <mergeCell ref="E237:H237"/>
    <mergeCell ref="I237:L237"/>
    <mergeCell ref="M237:P237"/>
    <mergeCell ref="Q237:T237"/>
    <mergeCell ref="U237:X237"/>
    <mergeCell ref="Y237:AB237"/>
    <mergeCell ref="AC236:AF236"/>
    <mergeCell ref="AG236:AJ236"/>
    <mergeCell ref="AK236:AN236"/>
    <mergeCell ref="AO236:AR236"/>
    <mergeCell ref="AS236:AV236"/>
    <mergeCell ref="AW236:AZ236"/>
    <mergeCell ref="E236:H236"/>
    <mergeCell ref="I236:L236"/>
    <mergeCell ref="M236:P236"/>
    <mergeCell ref="Q236:T236"/>
    <mergeCell ref="U236:X236"/>
    <mergeCell ref="Y236:AB236"/>
    <mergeCell ref="AC239:AF239"/>
    <mergeCell ref="AG239:AJ239"/>
    <mergeCell ref="AK239:AN239"/>
    <mergeCell ref="AO239:AR239"/>
    <mergeCell ref="AS239:AV239"/>
    <mergeCell ref="AW239:AZ239"/>
    <mergeCell ref="E239:H239"/>
    <mergeCell ref="I239:L239"/>
    <mergeCell ref="M239:P239"/>
    <mergeCell ref="Q239:T239"/>
    <mergeCell ref="U239:X239"/>
    <mergeCell ref="Y239:AB239"/>
    <mergeCell ref="AC238:AF238"/>
    <mergeCell ref="AG238:AJ238"/>
    <mergeCell ref="AK238:AN238"/>
    <mergeCell ref="AO238:AR238"/>
    <mergeCell ref="AS238:AV238"/>
    <mergeCell ref="AW238:AZ238"/>
    <mergeCell ref="E238:H238"/>
    <mergeCell ref="I238:L238"/>
    <mergeCell ref="M238:P238"/>
    <mergeCell ref="Q238:T238"/>
    <mergeCell ref="U238:X238"/>
    <mergeCell ref="Y238:AB238"/>
    <mergeCell ref="AC241:AF241"/>
    <mergeCell ref="AG241:AJ241"/>
    <mergeCell ref="AK241:AN241"/>
    <mergeCell ref="AO241:AR241"/>
    <mergeCell ref="AS241:AV241"/>
    <mergeCell ref="AW241:AZ241"/>
    <mergeCell ref="E241:H241"/>
    <mergeCell ref="I241:L241"/>
    <mergeCell ref="M241:P241"/>
    <mergeCell ref="Q241:T241"/>
    <mergeCell ref="U241:X241"/>
    <mergeCell ref="Y241:AB241"/>
    <mergeCell ref="AC240:AF240"/>
    <mergeCell ref="AG240:AJ240"/>
    <mergeCell ref="AK240:AN240"/>
    <mergeCell ref="AO240:AR240"/>
    <mergeCell ref="AS240:AV240"/>
    <mergeCell ref="AW240:AZ240"/>
    <mergeCell ref="E240:H240"/>
    <mergeCell ref="I240:L240"/>
    <mergeCell ref="M240:P240"/>
    <mergeCell ref="Q240:T240"/>
    <mergeCell ref="U240:X240"/>
    <mergeCell ref="Y240:AB240"/>
    <mergeCell ref="AC243:AF243"/>
    <mergeCell ref="AG243:AJ243"/>
    <mergeCell ref="AK243:AN243"/>
    <mergeCell ref="AO243:AR243"/>
    <mergeCell ref="AS243:AV243"/>
    <mergeCell ref="AW243:AZ243"/>
    <mergeCell ref="E243:H243"/>
    <mergeCell ref="I243:L243"/>
    <mergeCell ref="M243:P243"/>
    <mergeCell ref="Q243:T243"/>
    <mergeCell ref="U243:X243"/>
    <mergeCell ref="Y243:AB243"/>
    <mergeCell ref="AC242:AF242"/>
    <mergeCell ref="AG242:AJ242"/>
    <mergeCell ref="AK242:AN242"/>
    <mergeCell ref="AO242:AR242"/>
    <mergeCell ref="AS242:AV242"/>
    <mergeCell ref="AW242:AZ242"/>
    <mergeCell ref="E242:H242"/>
    <mergeCell ref="I242:L242"/>
    <mergeCell ref="M242:P242"/>
    <mergeCell ref="Q242:T242"/>
    <mergeCell ref="U242:X242"/>
    <mergeCell ref="Y242:AB242"/>
    <mergeCell ref="AC245:AF245"/>
    <mergeCell ref="AG245:AJ245"/>
    <mergeCell ref="AK245:AN245"/>
    <mergeCell ref="AO245:AR245"/>
    <mergeCell ref="AS245:AV245"/>
    <mergeCell ref="AW245:AZ245"/>
    <mergeCell ref="E245:H245"/>
    <mergeCell ref="I245:L245"/>
    <mergeCell ref="M245:P245"/>
    <mergeCell ref="Q245:T245"/>
    <mergeCell ref="U245:X245"/>
    <mergeCell ref="Y245:AB245"/>
    <mergeCell ref="AC244:AF244"/>
    <mergeCell ref="AG244:AJ244"/>
    <mergeCell ref="AK244:AN244"/>
    <mergeCell ref="AO244:AR244"/>
    <mergeCell ref="AS244:AV244"/>
    <mergeCell ref="AW244:AZ244"/>
    <mergeCell ref="E244:H244"/>
    <mergeCell ref="I244:L244"/>
    <mergeCell ref="M244:P244"/>
    <mergeCell ref="Q244:T244"/>
    <mergeCell ref="U244:X244"/>
    <mergeCell ref="Y244:AB244"/>
    <mergeCell ref="AC247:AF247"/>
    <mergeCell ref="AG247:AJ247"/>
    <mergeCell ref="AK247:AN247"/>
    <mergeCell ref="AO247:AR247"/>
    <mergeCell ref="AS247:AV247"/>
    <mergeCell ref="AW247:AZ247"/>
    <mergeCell ref="E247:H247"/>
    <mergeCell ref="I247:L247"/>
    <mergeCell ref="M247:P247"/>
    <mergeCell ref="Q247:T247"/>
    <mergeCell ref="U247:X247"/>
    <mergeCell ref="Y247:AB247"/>
    <mergeCell ref="AC246:AF246"/>
    <mergeCell ref="AG246:AJ246"/>
    <mergeCell ref="AK246:AN246"/>
    <mergeCell ref="AO246:AR246"/>
    <mergeCell ref="AS246:AV246"/>
    <mergeCell ref="AW246:AZ246"/>
    <mergeCell ref="E246:H246"/>
    <mergeCell ref="I246:L246"/>
    <mergeCell ref="M246:P246"/>
    <mergeCell ref="Q246:T246"/>
    <mergeCell ref="U246:X246"/>
    <mergeCell ref="Y246:AB246"/>
    <mergeCell ref="AC249:AF249"/>
    <mergeCell ref="AG249:AJ249"/>
    <mergeCell ref="AK249:AN249"/>
    <mergeCell ref="AO249:AR249"/>
    <mergeCell ref="AS249:AV249"/>
    <mergeCell ref="AW249:AZ249"/>
    <mergeCell ref="E249:H249"/>
    <mergeCell ref="I249:L249"/>
    <mergeCell ref="M249:P249"/>
    <mergeCell ref="Q249:T249"/>
    <mergeCell ref="U249:X249"/>
    <mergeCell ref="Y249:AB249"/>
    <mergeCell ref="AC248:AF248"/>
    <mergeCell ref="AG248:AJ248"/>
    <mergeCell ref="AK248:AN248"/>
    <mergeCell ref="AO248:AR248"/>
    <mergeCell ref="AS248:AV248"/>
    <mergeCell ref="AW248:AZ248"/>
    <mergeCell ref="E248:H248"/>
    <mergeCell ref="I248:L248"/>
    <mergeCell ref="M248:P248"/>
    <mergeCell ref="Q248:T248"/>
    <mergeCell ref="U248:X248"/>
    <mergeCell ref="Y248:AB248"/>
    <mergeCell ref="AC251:AF251"/>
    <mergeCell ref="AG251:AJ251"/>
    <mergeCell ref="AK251:AN251"/>
    <mergeCell ref="AO251:AR251"/>
    <mergeCell ref="AS251:AV251"/>
    <mergeCell ref="AW251:AZ251"/>
    <mergeCell ref="E251:H251"/>
    <mergeCell ref="I251:L251"/>
    <mergeCell ref="M251:P251"/>
    <mergeCell ref="Q251:T251"/>
    <mergeCell ref="U251:X251"/>
    <mergeCell ref="Y251:AB251"/>
    <mergeCell ref="AC250:AF250"/>
    <mergeCell ref="AG250:AJ250"/>
    <mergeCell ref="AK250:AN250"/>
    <mergeCell ref="AO250:AR250"/>
    <mergeCell ref="AS250:AV250"/>
    <mergeCell ref="AW250:AZ250"/>
    <mergeCell ref="E250:H250"/>
    <mergeCell ref="I250:L250"/>
    <mergeCell ref="M250:P250"/>
    <mergeCell ref="Q250:T250"/>
    <mergeCell ref="U250:X250"/>
    <mergeCell ref="Y250:AB250"/>
    <mergeCell ref="AC253:AF253"/>
    <mergeCell ref="AG253:AJ253"/>
    <mergeCell ref="AK253:AN253"/>
    <mergeCell ref="AO253:AR253"/>
    <mergeCell ref="AS253:AV253"/>
    <mergeCell ref="AW253:AZ253"/>
    <mergeCell ref="E253:H253"/>
    <mergeCell ref="I253:L253"/>
    <mergeCell ref="M253:P253"/>
    <mergeCell ref="Q253:T253"/>
    <mergeCell ref="U253:X253"/>
    <mergeCell ref="Y253:AB253"/>
    <mergeCell ref="AC252:AF252"/>
    <mergeCell ref="AG252:AJ252"/>
    <mergeCell ref="AK252:AN252"/>
    <mergeCell ref="AO252:AR252"/>
    <mergeCell ref="AS252:AV252"/>
    <mergeCell ref="AW252:AZ252"/>
    <mergeCell ref="E252:H252"/>
    <mergeCell ref="I252:L252"/>
    <mergeCell ref="M252:P252"/>
    <mergeCell ref="Q252:T252"/>
    <mergeCell ref="U252:X252"/>
    <mergeCell ref="Y252:AB252"/>
    <mergeCell ref="AC255:AF255"/>
    <mergeCell ref="AG255:AJ255"/>
    <mergeCell ref="AK255:AN255"/>
    <mergeCell ref="AO255:AR255"/>
    <mergeCell ref="AS255:AV255"/>
    <mergeCell ref="AW255:AZ255"/>
    <mergeCell ref="E255:H255"/>
    <mergeCell ref="I255:L255"/>
    <mergeCell ref="M255:P255"/>
    <mergeCell ref="Q255:T255"/>
    <mergeCell ref="U255:X255"/>
    <mergeCell ref="Y255:AB255"/>
    <mergeCell ref="AC254:AF254"/>
    <mergeCell ref="AG254:AJ254"/>
    <mergeCell ref="AK254:AN254"/>
    <mergeCell ref="AO254:AR254"/>
    <mergeCell ref="AS254:AV254"/>
    <mergeCell ref="AW254:AZ254"/>
    <mergeCell ref="E254:H254"/>
    <mergeCell ref="I254:L254"/>
    <mergeCell ref="M254:P254"/>
    <mergeCell ref="Q254:T254"/>
    <mergeCell ref="U254:X254"/>
    <mergeCell ref="Y254:AB254"/>
    <mergeCell ref="AC257:AF257"/>
    <mergeCell ref="AG257:AJ257"/>
    <mergeCell ref="AK257:AN257"/>
    <mergeCell ref="AO257:AR257"/>
    <mergeCell ref="AS257:AV257"/>
    <mergeCell ref="AW257:AZ257"/>
    <mergeCell ref="E257:H257"/>
    <mergeCell ref="I257:L257"/>
    <mergeCell ref="M257:P257"/>
    <mergeCell ref="Q257:T257"/>
    <mergeCell ref="U257:X257"/>
    <mergeCell ref="Y257:AB257"/>
    <mergeCell ref="AC256:AF256"/>
    <mergeCell ref="AG256:AJ256"/>
    <mergeCell ref="AK256:AN256"/>
    <mergeCell ref="AO256:AR256"/>
    <mergeCell ref="AS256:AV256"/>
    <mergeCell ref="AW256:AZ256"/>
    <mergeCell ref="E256:H256"/>
    <mergeCell ref="I256:L256"/>
    <mergeCell ref="M256:P256"/>
    <mergeCell ref="Q256:T256"/>
    <mergeCell ref="U256:X256"/>
    <mergeCell ref="Y256:AB256"/>
    <mergeCell ref="AC259:AF259"/>
    <mergeCell ref="AG259:AJ259"/>
    <mergeCell ref="AK259:AN259"/>
    <mergeCell ref="AO259:AR259"/>
    <mergeCell ref="AS259:AV259"/>
    <mergeCell ref="AW259:AZ259"/>
    <mergeCell ref="E259:H259"/>
    <mergeCell ref="I259:L259"/>
    <mergeCell ref="M259:P259"/>
    <mergeCell ref="Q259:T259"/>
    <mergeCell ref="U259:X259"/>
    <mergeCell ref="Y259:AB259"/>
    <mergeCell ref="AC258:AF258"/>
    <mergeCell ref="AG258:AJ258"/>
    <mergeCell ref="AK258:AN258"/>
    <mergeCell ref="AO258:AR258"/>
    <mergeCell ref="AS258:AV258"/>
    <mergeCell ref="AW258:AZ258"/>
    <mergeCell ref="E258:H258"/>
    <mergeCell ref="I258:L258"/>
    <mergeCell ref="M258:P258"/>
    <mergeCell ref="Q258:T258"/>
    <mergeCell ref="U258:X258"/>
    <mergeCell ref="Y258:AB258"/>
    <mergeCell ref="AC261:AF261"/>
    <mergeCell ref="AG261:AJ261"/>
    <mergeCell ref="AK261:AN261"/>
    <mergeCell ref="AO261:AR261"/>
    <mergeCell ref="AS261:AV261"/>
    <mergeCell ref="AW261:AZ261"/>
    <mergeCell ref="E261:H261"/>
    <mergeCell ref="I261:L261"/>
    <mergeCell ref="M261:P261"/>
    <mergeCell ref="Q261:T261"/>
    <mergeCell ref="U261:X261"/>
    <mergeCell ref="Y261:AB261"/>
    <mergeCell ref="AC260:AF260"/>
    <mergeCell ref="AG260:AJ260"/>
    <mergeCell ref="AK260:AN260"/>
    <mergeCell ref="AO260:AR260"/>
    <mergeCell ref="AS260:AV260"/>
    <mergeCell ref="AW260:AZ260"/>
    <mergeCell ref="E260:H260"/>
    <mergeCell ref="I260:L260"/>
    <mergeCell ref="M260:P260"/>
    <mergeCell ref="Q260:T260"/>
    <mergeCell ref="U260:X260"/>
    <mergeCell ref="Y260:AB260"/>
    <mergeCell ref="AC263:AF263"/>
    <mergeCell ref="AG263:AJ263"/>
    <mergeCell ref="AK263:AN263"/>
    <mergeCell ref="AO263:AR263"/>
    <mergeCell ref="AS263:AV263"/>
    <mergeCell ref="AW263:AZ263"/>
    <mergeCell ref="E263:H263"/>
    <mergeCell ref="I263:L263"/>
    <mergeCell ref="M263:P263"/>
    <mergeCell ref="Q263:T263"/>
    <mergeCell ref="U263:X263"/>
    <mergeCell ref="Y263:AB263"/>
    <mergeCell ref="AC262:AF262"/>
    <mergeCell ref="AG262:AJ262"/>
    <mergeCell ref="AK262:AN262"/>
    <mergeCell ref="AO262:AR262"/>
    <mergeCell ref="AS262:AV262"/>
    <mergeCell ref="AW262:AZ262"/>
    <mergeCell ref="E262:H262"/>
    <mergeCell ref="I262:L262"/>
    <mergeCell ref="M262:P262"/>
    <mergeCell ref="Q262:T262"/>
    <mergeCell ref="U262:X262"/>
    <mergeCell ref="Y262:AB262"/>
    <mergeCell ref="AC265:AF265"/>
    <mergeCell ref="AG265:AJ265"/>
    <mergeCell ref="AK265:AN265"/>
    <mergeCell ref="AO265:AR265"/>
    <mergeCell ref="AS265:AV265"/>
    <mergeCell ref="AW265:AZ265"/>
    <mergeCell ref="E265:H265"/>
    <mergeCell ref="I265:L265"/>
    <mergeCell ref="M265:P265"/>
    <mergeCell ref="Q265:T265"/>
    <mergeCell ref="U265:X265"/>
    <mergeCell ref="Y265:AB265"/>
    <mergeCell ref="AC264:AF264"/>
    <mergeCell ref="AG264:AJ264"/>
    <mergeCell ref="AK264:AN264"/>
    <mergeCell ref="AO264:AR264"/>
    <mergeCell ref="AS264:AV264"/>
    <mergeCell ref="AW264:AZ264"/>
    <mergeCell ref="E264:H264"/>
    <mergeCell ref="I264:L264"/>
    <mergeCell ref="M264:P264"/>
    <mergeCell ref="Q264:T264"/>
    <mergeCell ref="U264:X264"/>
    <mergeCell ref="Y264:AB264"/>
    <mergeCell ref="AC267:AF267"/>
    <mergeCell ref="AG267:AJ267"/>
    <mergeCell ref="AK267:AN267"/>
    <mergeCell ref="AO267:AR267"/>
    <mergeCell ref="AS267:AV267"/>
    <mergeCell ref="AW267:AZ267"/>
    <mergeCell ref="E267:H267"/>
    <mergeCell ref="I267:L267"/>
    <mergeCell ref="M267:P267"/>
    <mergeCell ref="Q267:T267"/>
    <mergeCell ref="U267:X267"/>
    <mergeCell ref="Y267:AB267"/>
    <mergeCell ref="AC266:AF266"/>
    <mergeCell ref="AG266:AJ266"/>
    <mergeCell ref="AK266:AN266"/>
    <mergeCell ref="AO266:AR266"/>
    <mergeCell ref="AS266:AV266"/>
    <mergeCell ref="AW266:AZ266"/>
    <mergeCell ref="E266:H266"/>
    <mergeCell ref="I266:L266"/>
    <mergeCell ref="M266:P266"/>
    <mergeCell ref="Q266:T266"/>
    <mergeCell ref="U266:X266"/>
    <mergeCell ref="Y266:AB266"/>
    <mergeCell ref="AC269:AF269"/>
    <mergeCell ref="AG269:AJ269"/>
    <mergeCell ref="AK269:AN269"/>
    <mergeCell ref="AO269:AR269"/>
    <mergeCell ref="AS269:AV269"/>
    <mergeCell ref="AW269:AZ269"/>
    <mergeCell ref="E269:H269"/>
    <mergeCell ref="I269:L269"/>
    <mergeCell ref="M269:P269"/>
    <mergeCell ref="Q269:T269"/>
    <mergeCell ref="U269:X269"/>
    <mergeCell ref="Y269:AB269"/>
    <mergeCell ref="AC268:AF268"/>
    <mergeCell ref="AG268:AJ268"/>
    <mergeCell ref="AK268:AN268"/>
    <mergeCell ref="AO268:AR268"/>
    <mergeCell ref="AS268:AV268"/>
    <mergeCell ref="AW268:AZ268"/>
    <mergeCell ref="E268:H268"/>
    <mergeCell ref="I268:L268"/>
    <mergeCell ref="M268:P268"/>
    <mergeCell ref="Q268:T268"/>
    <mergeCell ref="U268:X268"/>
    <mergeCell ref="Y268:AB268"/>
    <mergeCell ref="AC271:AF271"/>
    <mergeCell ref="AG271:AJ271"/>
    <mergeCell ref="AK271:AN271"/>
    <mergeCell ref="AO271:AR271"/>
    <mergeCell ref="AS271:AV271"/>
    <mergeCell ref="AW271:AZ271"/>
    <mergeCell ref="E271:H271"/>
    <mergeCell ref="I271:L271"/>
    <mergeCell ref="M271:P271"/>
    <mergeCell ref="Q271:T271"/>
    <mergeCell ref="U271:X271"/>
    <mergeCell ref="Y271:AB271"/>
    <mergeCell ref="AC270:AF270"/>
    <mergeCell ref="AG270:AJ270"/>
    <mergeCell ref="AK270:AN270"/>
    <mergeCell ref="AO270:AR270"/>
    <mergeCell ref="AS270:AV270"/>
    <mergeCell ref="AW270:AZ270"/>
    <mergeCell ref="E270:H270"/>
    <mergeCell ref="I270:L270"/>
    <mergeCell ref="M270:P270"/>
    <mergeCell ref="Q270:T270"/>
    <mergeCell ref="U270:X270"/>
    <mergeCell ref="Y270:AB270"/>
    <mergeCell ref="AC273:AF273"/>
    <mergeCell ref="AG273:AJ273"/>
    <mergeCell ref="AK273:AN273"/>
    <mergeCell ref="AO273:AR273"/>
    <mergeCell ref="AS273:AV273"/>
    <mergeCell ref="AW273:AZ273"/>
    <mergeCell ref="E273:H273"/>
    <mergeCell ref="I273:L273"/>
    <mergeCell ref="M273:P273"/>
    <mergeCell ref="Q273:T273"/>
    <mergeCell ref="U273:X273"/>
    <mergeCell ref="Y273:AB273"/>
    <mergeCell ref="AC272:AF272"/>
    <mergeCell ref="AG272:AJ272"/>
    <mergeCell ref="AK272:AN272"/>
    <mergeCell ref="AO272:AR272"/>
    <mergeCell ref="AS272:AV272"/>
    <mergeCell ref="AW272:AZ272"/>
    <mergeCell ref="E272:H272"/>
    <mergeCell ref="I272:L272"/>
    <mergeCell ref="M272:P272"/>
    <mergeCell ref="Q272:T272"/>
    <mergeCell ref="U272:X272"/>
    <mergeCell ref="Y272:AB272"/>
    <mergeCell ref="AC275:AF275"/>
    <mergeCell ref="AG275:AJ275"/>
    <mergeCell ref="AK275:AN275"/>
    <mergeCell ref="AO275:AR275"/>
    <mergeCell ref="AS275:AV275"/>
    <mergeCell ref="AW275:AZ275"/>
    <mergeCell ref="E275:H275"/>
    <mergeCell ref="I275:L275"/>
    <mergeCell ref="M275:P275"/>
    <mergeCell ref="Q275:T275"/>
    <mergeCell ref="U275:X275"/>
    <mergeCell ref="Y275:AB275"/>
    <mergeCell ref="AC274:AF274"/>
    <mergeCell ref="AG274:AJ274"/>
    <mergeCell ref="AK274:AN274"/>
    <mergeCell ref="AO274:AR274"/>
    <mergeCell ref="AS274:AV274"/>
    <mergeCell ref="AW274:AZ274"/>
    <mergeCell ref="E274:H274"/>
    <mergeCell ref="I274:L274"/>
    <mergeCell ref="M274:P274"/>
    <mergeCell ref="Q274:T274"/>
    <mergeCell ref="U274:X274"/>
    <mergeCell ref="Y274:AB274"/>
    <mergeCell ref="AC277:AF277"/>
    <mergeCell ref="AG277:AJ277"/>
    <mergeCell ref="AK277:AN277"/>
    <mergeCell ref="AO277:AR277"/>
    <mergeCell ref="AS277:AV277"/>
    <mergeCell ref="AW277:AZ277"/>
    <mergeCell ref="E277:H277"/>
    <mergeCell ref="I277:L277"/>
    <mergeCell ref="M277:P277"/>
    <mergeCell ref="Q277:T277"/>
    <mergeCell ref="U277:X277"/>
    <mergeCell ref="Y277:AB277"/>
    <mergeCell ref="AC276:AF276"/>
    <mergeCell ref="AG276:AJ276"/>
    <mergeCell ref="AK276:AN276"/>
    <mergeCell ref="AO276:AR276"/>
    <mergeCell ref="AS276:AV276"/>
    <mergeCell ref="AW276:AZ276"/>
    <mergeCell ref="E276:H276"/>
    <mergeCell ref="I276:L276"/>
    <mergeCell ref="M276:P276"/>
    <mergeCell ref="Q276:T276"/>
    <mergeCell ref="U276:X276"/>
    <mergeCell ref="Y276:AB276"/>
    <mergeCell ref="AC279:AF279"/>
    <mergeCell ref="AG279:AJ279"/>
    <mergeCell ref="AK279:AN279"/>
    <mergeCell ref="AO279:AR279"/>
    <mergeCell ref="AS279:AV279"/>
    <mergeCell ref="AW279:AZ279"/>
    <mergeCell ref="E279:H279"/>
    <mergeCell ref="I279:L279"/>
    <mergeCell ref="M279:P279"/>
    <mergeCell ref="Q279:T279"/>
    <mergeCell ref="U279:X279"/>
    <mergeCell ref="Y279:AB279"/>
    <mergeCell ref="AC278:AF278"/>
    <mergeCell ref="AG278:AJ278"/>
    <mergeCell ref="AK278:AN278"/>
    <mergeCell ref="AO278:AR278"/>
    <mergeCell ref="AS278:AV278"/>
    <mergeCell ref="AW278:AZ278"/>
    <mergeCell ref="E278:H278"/>
    <mergeCell ref="I278:L278"/>
    <mergeCell ref="M278:P278"/>
    <mergeCell ref="Q278:T278"/>
    <mergeCell ref="U278:X278"/>
    <mergeCell ref="Y278:AB278"/>
    <mergeCell ref="AC281:AF281"/>
    <mergeCell ref="AG281:AJ281"/>
    <mergeCell ref="AK281:AN281"/>
    <mergeCell ref="AO281:AR281"/>
    <mergeCell ref="AS281:AV281"/>
    <mergeCell ref="AW281:AZ281"/>
    <mergeCell ref="E281:H281"/>
    <mergeCell ref="I281:L281"/>
    <mergeCell ref="M281:P281"/>
    <mergeCell ref="Q281:T281"/>
    <mergeCell ref="U281:X281"/>
    <mergeCell ref="Y281:AB281"/>
    <mergeCell ref="AC280:AF280"/>
    <mergeCell ref="AG280:AJ280"/>
    <mergeCell ref="AK280:AN280"/>
    <mergeCell ref="AO280:AR280"/>
    <mergeCell ref="AS280:AV280"/>
    <mergeCell ref="AW280:AZ280"/>
    <mergeCell ref="E280:H280"/>
    <mergeCell ref="I280:L280"/>
    <mergeCell ref="M280:P280"/>
    <mergeCell ref="Q280:T280"/>
    <mergeCell ref="U280:X280"/>
    <mergeCell ref="Y280:AB280"/>
    <mergeCell ref="AC283:AF283"/>
    <mergeCell ref="AG283:AJ283"/>
    <mergeCell ref="AK283:AN283"/>
    <mergeCell ref="AO283:AR283"/>
    <mergeCell ref="AS283:AV283"/>
    <mergeCell ref="AW283:AZ283"/>
    <mergeCell ref="E283:H283"/>
    <mergeCell ref="I283:L283"/>
    <mergeCell ref="M283:P283"/>
    <mergeCell ref="Q283:T283"/>
    <mergeCell ref="U283:X283"/>
    <mergeCell ref="Y283:AB283"/>
    <mergeCell ref="AC282:AF282"/>
    <mergeCell ref="AG282:AJ282"/>
    <mergeCell ref="AK282:AN282"/>
    <mergeCell ref="AO282:AR282"/>
    <mergeCell ref="AS282:AV282"/>
    <mergeCell ref="AW282:AZ282"/>
    <mergeCell ref="E282:H282"/>
    <mergeCell ref="I282:L282"/>
    <mergeCell ref="M282:P282"/>
    <mergeCell ref="Q282:T282"/>
    <mergeCell ref="U282:X282"/>
    <mergeCell ref="Y282:AB282"/>
    <mergeCell ref="AC285:AF285"/>
    <mergeCell ref="AG285:AJ285"/>
    <mergeCell ref="AK285:AN285"/>
    <mergeCell ref="AO285:AR285"/>
    <mergeCell ref="AS285:AV285"/>
    <mergeCell ref="AW285:AZ285"/>
    <mergeCell ref="E285:H285"/>
    <mergeCell ref="I285:L285"/>
    <mergeCell ref="M285:P285"/>
    <mergeCell ref="Q285:T285"/>
    <mergeCell ref="U285:X285"/>
    <mergeCell ref="Y285:AB285"/>
    <mergeCell ref="AC284:AF284"/>
    <mergeCell ref="AG284:AJ284"/>
    <mergeCell ref="AK284:AN284"/>
    <mergeCell ref="AO284:AR284"/>
    <mergeCell ref="AS284:AV284"/>
    <mergeCell ref="AW284:AZ284"/>
    <mergeCell ref="E284:H284"/>
    <mergeCell ref="I284:L284"/>
    <mergeCell ref="M284:P284"/>
    <mergeCell ref="Q284:T284"/>
    <mergeCell ref="U284:X284"/>
    <mergeCell ref="Y284:AB284"/>
    <mergeCell ref="AC287:AF287"/>
    <mergeCell ref="AG287:AJ287"/>
    <mergeCell ref="AK287:AN287"/>
    <mergeCell ref="AO287:AR287"/>
    <mergeCell ref="AS287:AV287"/>
    <mergeCell ref="AW287:AZ287"/>
    <mergeCell ref="E287:H287"/>
    <mergeCell ref="I287:L287"/>
    <mergeCell ref="M287:P287"/>
    <mergeCell ref="Q287:T287"/>
    <mergeCell ref="U287:X287"/>
    <mergeCell ref="Y287:AB287"/>
    <mergeCell ref="AC286:AF286"/>
    <mergeCell ref="AG286:AJ286"/>
    <mergeCell ref="AK286:AN286"/>
    <mergeCell ref="AO286:AR286"/>
    <mergeCell ref="AS286:AV286"/>
    <mergeCell ref="AW286:AZ286"/>
    <mergeCell ref="E286:H286"/>
    <mergeCell ref="I286:L286"/>
    <mergeCell ref="M286:P286"/>
    <mergeCell ref="Q286:T286"/>
    <mergeCell ref="U286:X286"/>
    <mergeCell ref="Y286:AB286"/>
    <mergeCell ref="AC289:AF289"/>
    <mergeCell ref="AG289:AJ289"/>
    <mergeCell ref="AK289:AN289"/>
    <mergeCell ref="AO289:AR289"/>
    <mergeCell ref="AS289:AV289"/>
    <mergeCell ref="AW289:AZ289"/>
    <mergeCell ref="E289:H289"/>
    <mergeCell ref="I289:L289"/>
    <mergeCell ref="M289:P289"/>
    <mergeCell ref="Q289:T289"/>
    <mergeCell ref="U289:X289"/>
    <mergeCell ref="Y289:AB289"/>
    <mergeCell ref="AC288:AF288"/>
    <mergeCell ref="AG288:AJ288"/>
    <mergeCell ref="AK288:AN288"/>
    <mergeCell ref="AO288:AR288"/>
    <mergeCell ref="AS288:AV288"/>
    <mergeCell ref="AW288:AZ288"/>
    <mergeCell ref="E288:H288"/>
    <mergeCell ref="I288:L288"/>
    <mergeCell ref="M288:P288"/>
    <mergeCell ref="Q288:T288"/>
    <mergeCell ref="U288:X288"/>
    <mergeCell ref="Y288:AB288"/>
    <mergeCell ref="AC291:AF291"/>
    <mergeCell ref="AG291:AJ291"/>
    <mergeCell ref="AK291:AN291"/>
    <mergeCell ref="AO291:AR291"/>
    <mergeCell ref="AS291:AV291"/>
    <mergeCell ref="AW291:AZ291"/>
    <mergeCell ref="E291:H291"/>
    <mergeCell ref="I291:L291"/>
    <mergeCell ref="M291:P291"/>
    <mergeCell ref="Q291:T291"/>
    <mergeCell ref="U291:X291"/>
    <mergeCell ref="Y291:AB291"/>
    <mergeCell ref="AC290:AF290"/>
    <mergeCell ref="AG290:AJ290"/>
    <mergeCell ref="AK290:AN290"/>
    <mergeCell ref="AO290:AR290"/>
    <mergeCell ref="AS290:AV290"/>
    <mergeCell ref="AW290:AZ290"/>
    <mergeCell ref="E290:H290"/>
    <mergeCell ref="I290:L290"/>
    <mergeCell ref="M290:P290"/>
    <mergeCell ref="Q290:T290"/>
    <mergeCell ref="U290:X290"/>
    <mergeCell ref="Y290:AB290"/>
    <mergeCell ref="AC293:AF293"/>
    <mergeCell ref="AG293:AJ293"/>
    <mergeCell ref="AK293:AN293"/>
    <mergeCell ref="AO293:AR293"/>
    <mergeCell ref="AS293:AV293"/>
    <mergeCell ref="AW293:AZ293"/>
    <mergeCell ref="E293:H293"/>
    <mergeCell ref="I293:L293"/>
    <mergeCell ref="M293:P293"/>
    <mergeCell ref="Q293:T293"/>
    <mergeCell ref="U293:X293"/>
    <mergeCell ref="Y293:AB293"/>
    <mergeCell ref="AC292:AF292"/>
    <mergeCell ref="AG292:AJ292"/>
    <mergeCell ref="AK292:AN292"/>
    <mergeCell ref="AO292:AR292"/>
    <mergeCell ref="AS292:AV292"/>
    <mergeCell ref="AW292:AZ292"/>
    <mergeCell ref="E292:H292"/>
    <mergeCell ref="I292:L292"/>
    <mergeCell ref="M292:P292"/>
    <mergeCell ref="Q292:T292"/>
    <mergeCell ref="U292:X292"/>
    <mergeCell ref="Y292:AB292"/>
    <mergeCell ref="AC295:AF295"/>
    <mergeCell ref="AG295:AJ295"/>
    <mergeCell ref="AK295:AN295"/>
    <mergeCell ref="AO295:AR295"/>
    <mergeCell ref="AS295:AV295"/>
    <mergeCell ref="AW295:AZ295"/>
    <mergeCell ref="E295:H295"/>
    <mergeCell ref="I295:L295"/>
    <mergeCell ref="M295:P295"/>
    <mergeCell ref="Q295:T295"/>
    <mergeCell ref="U295:X295"/>
    <mergeCell ref="Y295:AB295"/>
    <mergeCell ref="AC294:AF294"/>
    <mergeCell ref="AG294:AJ294"/>
    <mergeCell ref="AK294:AN294"/>
    <mergeCell ref="AO294:AR294"/>
    <mergeCell ref="AS294:AV294"/>
    <mergeCell ref="AW294:AZ294"/>
    <mergeCell ref="E294:H294"/>
    <mergeCell ref="I294:L294"/>
    <mergeCell ref="M294:P294"/>
    <mergeCell ref="Q294:T294"/>
    <mergeCell ref="U294:X294"/>
    <mergeCell ref="Y294:AB294"/>
    <mergeCell ref="AC297:AF297"/>
    <mergeCell ref="AG297:AJ297"/>
    <mergeCell ref="AK297:AN297"/>
    <mergeCell ref="AO297:AR297"/>
    <mergeCell ref="AS297:AV297"/>
    <mergeCell ref="AW297:AZ297"/>
    <mergeCell ref="E297:H297"/>
    <mergeCell ref="I297:L297"/>
    <mergeCell ref="M297:P297"/>
    <mergeCell ref="Q297:T297"/>
    <mergeCell ref="U297:X297"/>
    <mergeCell ref="Y297:AB297"/>
    <mergeCell ref="AC296:AF296"/>
    <mergeCell ref="AG296:AJ296"/>
    <mergeCell ref="AK296:AN296"/>
    <mergeCell ref="AO296:AR296"/>
    <mergeCell ref="AS296:AV296"/>
    <mergeCell ref="AW296:AZ296"/>
    <mergeCell ref="E296:H296"/>
    <mergeCell ref="I296:L296"/>
    <mergeCell ref="M296:P296"/>
    <mergeCell ref="Q296:T296"/>
    <mergeCell ref="U296:X296"/>
    <mergeCell ref="Y296:AB296"/>
    <mergeCell ref="AC299:AF299"/>
    <mergeCell ref="AG299:AJ299"/>
    <mergeCell ref="AK299:AN299"/>
    <mergeCell ref="AO299:AR299"/>
    <mergeCell ref="AS299:AV299"/>
    <mergeCell ref="AW299:AZ299"/>
    <mergeCell ref="E299:H299"/>
    <mergeCell ref="I299:L299"/>
    <mergeCell ref="M299:P299"/>
    <mergeCell ref="Q299:T299"/>
    <mergeCell ref="U299:X299"/>
    <mergeCell ref="Y299:AB299"/>
    <mergeCell ref="AC298:AF298"/>
    <mergeCell ref="AG298:AJ298"/>
    <mergeCell ref="AK298:AN298"/>
    <mergeCell ref="AO298:AR298"/>
    <mergeCell ref="AS298:AV298"/>
    <mergeCell ref="AW298:AZ298"/>
    <mergeCell ref="E298:H298"/>
    <mergeCell ref="I298:L298"/>
    <mergeCell ref="M298:P298"/>
    <mergeCell ref="Q298:T298"/>
    <mergeCell ref="U298:X298"/>
    <mergeCell ref="Y298:AB298"/>
    <mergeCell ref="AC301:AF301"/>
    <mergeCell ref="AG301:AJ301"/>
    <mergeCell ref="AK301:AN301"/>
    <mergeCell ref="AO301:AR301"/>
    <mergeCell ref="AS301:AV301"/>
    <mergeCell ref="AW301:AZ301"/>
    <mergeCell ref="E301:H301"/>
    <mergeCell ref="I301:L301"/>
    <mergeCell ref="M301:P301"/>
    <mergeCell ref="Q301:T301"/>
    <mergeCell ref="U301:X301"/>
    <mergeCell ref="Y301:AB301"/>
    <mergeCell ref="AC300:AF300"/>
    <mergeCell ref="AG300:AJ300"/>
    <mergeCell ref="AK300:AN300"/>
    <mergeCell ref="AO300:AR300"/>
    <mergeCell ref="AS300:AV300"/>
    <mergeCell ref="AW300:AZ300"/>
    <mergeCell ref="E300:H300"/>
    <mergeCell ref="I300:L300"/>
    <mergeCell ref="M300:P300"/>
    <mergeCell ref="Q300:T300"/>
    <mergeCell ref="U300:X300"/>
    <mergeCell ref="Y300:AB300"/>
    <mergeCell ref="AC303:AF303"/>
    <mergeCell ref="AG303:AJ303"/>
    <mergeCell ref="AK303:AN303"/>
    <mergeCell ref="AO303:AR303"/>
    <mergeCell ref="AS303:AV303"/>
    <mergeCell ref="AW303:AZ303"/>
    <mergeCell ref="E303:H303"/>
    <mergeCell ref="I303:L303"/>
    <mergeCell ref="M303:P303"/>
    <mergeCell ref="Q303:T303"/>
    <mergeCell ref="U303:X303"/>
    <mergeCell ref="Y303:AB303"/>
    <mergeCell ref="AC302:AF302"/>
    <mergeCell ref="AG302:AJ302"/>
    <mergeCell ref="AK302:AN302"/>
    <mergeCell ref="AO302:AR302"/>
    <mergeCell ref="AS302:AV302"/>
    <mergeCell ref="AW302:AZ302"/>
    <mergeCell ref="E302:H302"/>
    <mergeCell ref="I302:L302"/>
    <mergeCell ref="M302:P302"/>
    <mergeCell ref="Q302:T302"/>
    <mergeCell ref="U302:X302"/>
    <mergeCell ref="Y302:AB302"/>
    <mergeCell ref="AC305:AF305"/>
    <mergeCell ref="AG305:AJ305"/>
    <mergeCell ref="AK305:AN305"/>
    <mergeCell ref="AO305:AR305"/>
    <mergeCell ref="AS305:AV305"/>
    <mergeCell ref="AW305:AZ305"/>
    <mergeCell ref="E305:H305"/>
    <mergeCell ref="I305:L305"/>
    <mergeCell ref="M305:P305"/>
    <mergeCell ref="Q305:T305"/>
    <mergeCell ref="U305:X305"/>
    <mergeCell ref="Y305:AB305"/>
    <mergeCell ref="AC304:AF304"/>
    <mergeCell ref="AG304:AJ304"/>
    <mergeCell ref="AK304:AN304"/>
    <mergeCell ref="AO304:AR304"/>
    <mergeCell ref="AS304:AV304"/>
    <mergeCell ref="AW304:AZ304"/>
    <mergeCell ref="E304:H304"/>
    <mergeCell ref="I304:L304"/>
    <mergeCell ref="M304:P304"/>
    <mergeCell ref="Q304:T304"/>
    <mergeCell ref="U304:X304"/>
    <mergeCell ref="Y304:AB304"/>
    <mergeCell ref="AC307:AF307"/>
    <mergeCell ref="AG307:AJ307"/>
    <mergeCell ref="AK307:AN307"/>
    <mergeCell ref="AO307:AR307"/>
    <mergeCell ref="AS307:AV307"/>
    <mergeCell ref="AW307:AZ307"/>
    <mergeCell ref="E307:H307"/>
    <mergeCell ref="I307:L307"/>
    <mergeCell ref="M307:P307"/>
    <mergeCell ref="Q307:T307"/>
    <mergeCell ref="U307:X307"/>
    <mergeCell ref="Y307:AB307"/>
    <mergeCell ref="AC306:AF306"/>
    <mergeCell ref="AG306:AJ306"/>
    <mergeCell ref="AK306:AN306"/>
    <mergeCell ref="AO306:AR306"/>
    <mergeCell ref="AS306:AV306"/>
    <mergeCell ref="AW306:AZ306"/>
    <mergeCell ref="E306:H306"/>
    <mergeCell ref="I306:L306"/>
    <mergeCell ref="M306:P306"/>
    <mergeCell ref="Q306:T306"/>
    <mergeCell ref="U306:X306"/>
    <mergeCell ref="Y306:AB306"/>
    <mergeCell ref="AC309:AF309"/>
    <mergeCell ref="AG309:AJ309"/>
    <mergeCell ref="AK309:AN309"/>
    <mergeCell ref="AO309:AR309"/>
    <mergeCell ref="AS309:AV309"/>
    <mergeCell ref="AW309:AZ309"/>
    <mergeCell ref="E309:H309"/>
    <mergeCell ref="I309:L309"/>
    <mergeCell ref="M309:P309"/>
    <mergeCell ref="Q309:T309"/>
    <mergeCell ref="U309:X309"/>
    <mergeCell ref="Y309:AB309"/>
    <mergeCell ref="AC308:AF308"/>
    <mergeCell ref="AG308:AJ308"/>
    <mergeCell ref="AK308:AN308"/>
    <mergeCell ref="AO308:AR308"/>
    <mergeCell ref="AS308:AV308"/>
    <mergeCell ref="AW308:AZ308"/>
    <mergeCell ref="E308:H308"/>
    <mergeCell ref="I308:L308"/>
    <mergeCell ref="M308:P308"/>
    <mergeCell ref="Q308:T308"/>
    <mergeCell ref="U308:X308"/>
    <mergeCell ref="Y308:AB308"/>
    <mergeCell ref="AC311:AF311"/>
    <mergeCell ref="AG311:AJ311"/>
    <mergeCell ref="AK311:AN311"/>
    <mergeCell ref="AO311:AR311"/>
    <mergeCell ref="AS311:AV311"/>
    <mergeCell ref="AW311:AZ311"/>
    <mergeCell ref="E311:H311"/>
    <mergeCell ref="I311:L311"/>
    <mergeCell ref="M311:P311"/>
    <mergeCell ref="Q311:T311"/>
    <mergeCell ref="U311:X311"/>
    <mergeCell ref="Y311:AB311"/>
    <mergeCell ref="AC310:AF310"/>
    <mergeCell ref="AG310:AJ310"/>
    <mergeCell ref="AK310:AN310"/>
    <mergeCell ref="AO310:AR310"/>
    <mergeCell ref="AS310:AV310"/>
    <mergeCell ref="AW310:AZ310"/>
    <mergeCell ref="E310:H310"/>
    <mergeCell ref="I310:L310"/>
    <mergeCell ref="M310:P310"/>
    <mergeCell ref="Q310:T310"/>
    <mergeCell ref="U310:X310"/>
    <mergeCell ref="Y310:AB310"/>
    <mergeCell ref="AC313:AF313"/>
    <mergeCell ref="AG313:AJ313"/>
    <mergeCell ref="AK313:AN313"/>
    <mergeCell ref="AO313:AR313"/>
    <mergeCell ref="AS313:AV313"/>
    <mergeCell ref="AW313:AZ313"/>
    <mergeCell ref="E313:H313"/>
    <mergeCell ref="I313:L313"/>
    <mergeCell ref="M313:P313"/>
    <mergeCell ref="Q313:T313"/>
    <mergeCell ref="U313:X313"/>
    <mergeCell ref="Y313:AB313"/>
    <mergeCell ref="AC312:AF312"/>
    <mergeCell ref="AG312:AJ312"/>
    <mergeCell ref="AK312:AN312"/>
    <mergeCell ref="AO312:AR312"/>
    <mergeCell ref="AS312:AV312"/>
    <mergeCell ref="AW312:AZ312"/>
    <mergeCell ref="E312:H312"/>
    <mergeCell ref="I312:L312"/>
    <mergeCell ref="M312:P312"/>
    <mergeCell ref="Q312:T312"/>
    <mergeCell ref="U312:X312"/>
    <mergeCell ref="Y312:AB312"/>
    <mergeCell ref="AC315:AF315"/>
    <mergeCell ref="AG315:AJ315"/>
    <mergeCell ref="AK315:AN315"/>
    <mergeCell ref="AO315:AR315"/>
    <mergeCell ref="AS315:AV315"/>
    <mergeCell ref="AW315:AZ315"/>
    <mergeCell ref="E315:H315"/>
    <mergeCell ref="I315:L315"/>
    <mergeCell ref="M315:P315"/>
    <mergeCell ref="Q315:T315"/>
    <mergeCell ref="U315:X315"/>
    <mergeCell ref="Y315:AB315"/>
    <mergeCell ref="AC314:AF314"/>
    <mergeCell ref="AG314:AJ314"/>
    <mergeCell ref="AK314:AN314"/>
    <mergeCell ref="AO314:AR314"/>
    <mergeCell ref="AS314:AV314"/>
    <mergeCell ref="AW314:AZ314"/>
    <mergeCell ref="E314:H314"/>
    <mergeCell ref="I314:L314"/>
    <mergeCell ref="M314:P314"/>
    <mergeCell ref="Q314:T314"/>
    <mergeCell ref="U314:X314"/>
    <mergeCell ref="Y314:AB314"/>
    <mergeCell ref="AC317:AF317"/>
    <mergeCell ref="AG317:AJ317"/>
    <mergeCell ref="AK317:AN317"/>
    <mergeCell ref="AO317:AR317"/>
    <mergeCell ref="AS317:AV317"/>
    <mergeCell ref="AW317:AZ317"/>
    <mergeCell ref="E317:H317"/>
    <mergeCell ref="I317:L317"/>
    <mergeCell ref="M317:P317"/>
    <mergeCell ref="Q317:T317"/>
    <mergeCell ref="U317:X317"/>
    <mergeCell ref="Y317:AB317"/>
    <mergeCell ref="AC316:AF316"/>
    <mergeCell ref="AG316:AJ316"/>
    <mergeCell ref="AK316:AN316"/>
    <mergeCell ref="AO316:AR316"/>
    <mergeCell ref="AS316:AV316"/>
    <mergeCell ref="AW316:AZ316"/>
    <mergeCell ref="E316:H316"/>
    <mergeCell ref="I316:L316"/>
    <mergeCell ref="M316:P316"/>
    <mergeCell ref="Q316:T316"/>
    <mergeCell ref="U316:X316"/>
    <mergeCell ref="Y316:AB316"/>
    <mergeCell ref="AC319:AF319"/>
    <mergeCell ref="AG319:AJ319"/>
    <mergeCell ref="AK319:AN319"/>
    <mergeCell ref="AO319:AR319"/>
    <mergeCell ref="AS319:AV319"/>
    <mergeCell ref="AW319:AZ319"/>
    <mergeCell ref="E319:H319"/>
    <mergeCell ref="I319:L319"/>
    <mergeCell ref="M319:P319"/>
    <mergeCell ref="Q319:T319"/>
    <mergeCell ref="U319:X319"/>
    <mergeCell ref="Y319:AB319"/>
    <mergeCell ref="AC318:AF318"/>
    <mergeCell ref="AG318:AJ318"/>
    <mergeCell ref="AK318:AN318"/>
    <mergeCell ref="AO318:AR318"/>
    <mergeCell ref="AS318:AV318"/>
    <mergeCell ref="AW318:AZ318"/>
    <mergeCell ref="E318:H318"/>
    <mergeCell ref="I318:L318"/>
    <mergeCell ref="M318:P318"/>
    <mergeCell ref="Q318:T318"/>
    <mergeCell ref="U318:X318"/>
    <mergeCell ref="Y318:AB318"/>
    <mergeCell ref="AC321:AF321"/>
    <mergeCell ref="AG321:AJ321"/>
    <mergeCell ref="AK321:AN321"/>
    <mergeCell ref="AO321:AR321"/>
    <mergeCell ref="AS321:AV321"/>
    <mergeCell ref="AW321:AZ321"/>
    <mergeCell ref="E321:H321"/>
    <mergeCell ref="I321:L321"/>
    <mergeCell ref="M321:P321"/>
    <mergeCell ref="Q321:T321"/>
    <mergeCell ref="U321:X321"/>
    <mergeCell ref="Y321:AB321"/>
    <mergeCell ref="AC320:AF320"/>
    <mergeCell ref="AG320:AJ320"/>
    <mergeCell ref="AK320:AN320"/>
    <mergeCell ref="AO320:AR320"/>
    <mergeCell ref="AS320:AV320"/>
    <mergeCell ref="AW320:AZ320"/>
    <mergeCell ref="E320:H320"/>
    <mergeCell ref="I320:L320"/>
    <mergeCell ref="M320:P320"/>
    <mergeCell ref="Q320:T320"/>
    <mergeCell ref="U320:X320"/>
    <mergeCell ref="Y320:AB320"/>
    <mergeCell ref="AC323:AF323"/>
    <mergeCell ref="AG323:AJ323"/>
    <mergeCell ref="AK323:AN323"/>
    <mergeCell ref="AO323:AR323"/>
    <mergeCell ref="AS323:AV323"/>
    <mergeCell ref="AW323:AZ323"/>
    <mergeCell ref="E323:H323"/>
    <mergeCell ref="I323:L323"/>
    <mergeCell ref="M323:P323"/>
    <mergeCell ref="Q323:T323"/>
    <mergeCell ref="U323:X323"/>
    <mergeCell ref="Y323:AB323"/>
    <mergeCell ref="AC322:AF322"/>
    <mergeCell ref="AG322:AJ322"/>
    <mergeCell ref="AK322:AN322"/>
    <mergeCell ref="AO322:AR322"/>
    <mergeCell ref="AS322:AV322"/>
    <mergeCell ref="AW322:AZ322"/>
    <mergeCell ref="E322:H322"/>
    <mergeCell ref="I322:L322"/>
    <mergeCell ref="M322:P322"/>
    <mergeCell ref="Q322:T322"/>
    <mergeCell ref="U322:X322"/>
    <mergeCell ref="Y322:AB322"/>
    <mergeCell ref="AC325:AF325"/>
    <mergeCell ref="AG325:AJ325"/>
    <mergeCell ref="AK325:AN325"/>
    <mergeCell ref="AO325:AR325"/>
    <mergeCell ref="AS325:AV325"/>
    <mergeCell ref="AW325:AZ325"/>
    <mergeCell ref="E325:H325"/>
    <mergeCell ref="I325:L325"/>
    <mergeCell ref="M325:P325"/>
    <mergeCell ref="Q325:T325"/>
    <mergeCell ref="U325:X325"/>
    <mergeCell ref="Y325:AB325"/>
    <mergeCell ref="AC324:AF324"/>
    <mergeCell ref="AG324:AJ324"/>
    <mergeCell ref="AK324:AN324"/>
    <mergeCell ref="AO324:AR324"/>
    <mergeCell ref="AS324:AV324"/>
    <mergeCell ref="AW324:AZ324"/>
    <mergeCell ref="E324:H324"/>
    <mergeCell ref="I324:L324"/>
    <mergeCell ref="M324:P324"/>
    <mergeCell ref="Q324:T324"/>
    <mergeCell ref="U324:X324"/>
    <mergeCell ref="Y324:AB324"/>
    <mergeCell ref="AC327:AF327"/>
    <mergeCell ref="AG327:AJ327"/>
    <mergeCell ref="AK327:AN327"/>
    <mergeCell ref="AO327:AR327"/>
    <mergeCell ref="AS327:AV327"/>
    <mergeCell ref="AW327:AZ327"/>
    <mergeCell ref="E327:H327"/>
    <mergeCell ref="I327:L327"/>
    <mergeCell ref="M327:P327"/>
    <mergeCell ref="Q327:T327"/>
    <mergeCell ref="U327:X327"/>
    <mergeCell ref="Y327:AB327"/>
    <mergeCell ref="AC326:AF326"/>
    <mergeCell ref="AG326:AJ326"/>
    <mergeCell ref="AK326:AN326"/>
    <mergeCell ref="AO326:AR326"/>
    <mergeCell ref="AS326:AV326"/>
    <mergeCell ref="AW326:AZ326"/>
    <mergeCell ref="E326:H326"/>
    <mergeCell ref="I326:L326"/>
    <mergeCell ref="M326:P326"/>
    <mergeCell ref="Q326:T326"/>
    <mergeCell ref="U326:X326"/>
    <mergeCell ref="Y326:AB326"/>
    <mergeCell ref="AC329:AF329"/>
    <mergeCell ref="AG329:AJ329"/>
    <mergeCell ref="AK329:AN329"/>
    <mergeCell ref="AO329:AR329"/>
    <mergeCell ref="AS329:AV329"/>
    <mergeCell ref="AW329:AZ329"/>
    <mergeCell ref="E329:H329"/>
    <mergeCell ref="I329:L329"/>
    <mergeCell ref="M329:P329"/>
    <mergeCell ref="Q329:T329"/>
    <mergeCell ref="U329:X329"/>
    <mergeCell ref="Y329:AB329"/>
    <mergeCell ref="AC328:AF328"/>
    <mergeCell ref="AG328:AJ328"/>
    <mergeCell ref="AK328:AN328"/>
    <mergeCell ref="AO328:AR328"/>
    <mergeCell ref="AS328:AV328"/>
    <mergeCell ref="AW328:AZ328"/>
    <mergeCell ref="E328:H328"/>
    <mergeCell ref="I328:L328"/>
    <mergeCell ref="M328:P328"/>
    <mergeCell ref="Q328:T328"/>
    <mergeCell ref="U328:X328"/>
    <mergeCell ref="Y328:AB328"/>
    <mergeCell ref="AC331:AF331"/>
    <mergeCell ref="AG331:AJ331"/>
    <mergeCell ref="AK331:AN331"/>
    <mergeCell ref="AO331:AR331"/>
    <mergeCell ref="AS331:AV331"/>
    <mergeCell ref="AW331:AZ331"/>
    <mergeCell ref="E331:H331"/>
    <mergeCell ref="I331:L331"/>
    <mergeCell ref="M331:P331"/>
    <mergeCell ref="Q331:T331"/>
    <mergeCell ref="U331:X331"/>
    <mergeCell ref="Y331:AB331"/>
    <mergeCell ref="AC330:AF330"/>
    <mergeCell ref="AG330:AJ330"/>
    <mergeCell ref="AK330:AN330"/>
    <mergeCell ref="AO330:AR330"/>
    <mergeCell ref="AS330:AV330"/>
    <mergeCell ref="AW330:AZ330"/>
    <mergeCell ref="E330:H330"/>
    <mergeCell ref="I330:L330"/>
    <mergeCell ref="M330:P330"/>
    <mergeCell ref="Q330:T330"/>
    <mergeCell ref="U330:X330"/>
    <mergeCell ref="Y330:AB330"/>
    <mergeCell ref="AC333:AF333"/>
    <mergeCell ref="AG333:AJ333"/>
    <mergeCell ref="AK333:AN333"/>
    <mergeCell ref="AO333:AR333"/>
    <mergeCell ref="AS333:AV333"/>
    <mergeCell ref="AW333:AZ333"/>
    <mergeCell ref="E333:H333"/>
    <mergeCell ref="I333:L333"/>
    <mergeCell ref="M333:P333"/>
    <mergeCell ref="Q333:T333"/>
    <mergeCell ref="U333:X333"/>
    <mergeCell ref="Y333:AB333"/>
    <mergeCell ref="AC332:AF332"/>
    <mergeCell ref="AG332:AJ332"/>
    <mergeCell ref="AK332:AN332"/>
    <mergeCell ref="AO332:AR332"/>
    <mergeCell ref="AS332:AV332"/>
    <mergeCell ref="AW332:AZ332"/>
    <mergeCell ref="E332:H332"/>
    <mergeCell ref="I332:L332"/>
    <mergeCell ref="M332:P332"/>
    <mergeCell ref="Q332:T332"/>
    <mergeCell ref="U332:X332"/>
    <mergeCell ref="Y332:AB332"/>
    <mergeCell ref="AC335:AF335"/>
    <mergeCell ref="AG335:AJ335"/>
    <mergeCell ref="AK335:AN335"/>
    <mergeCell ref="AO335:AR335"/>
    <mergeCell ref="AS335:AV335"/>
    <mergeCell ref="AW335:AZ335"/>
    <mergeCell ref="E335:H335"/>
    <mergeCell ref="I335:L335"/>
    <mergeCell ref="M335:P335"/>
    <mergeCell ref="Q335:T335"/>
    <mergeCell ref="U335:X335"/>
    <mergeCell ref="Y335:AB335"/>
    <mergeCell ref="AC334:AF334"/>
    <mergeCell ref="AG334:AJ334"/>
    <mergeCell ref="AK334:AN334"/>
    <mergeCell ref="AO334:AR334"/>
    <mergeCell ref="AS334:AV334"/>
    <mergeCell ref="AW334:AZ334"/>
    <mergeCell ref="E334:H334"/>
    <mergeCell ref="I334:L334"/>
    <mergeCell ref="M334:P334"/>
    <mergeCell ref="Q334:T334"/>
    <mergeCell ref="U334:X334"/>
    <mergeCell ref="Y334:AB334"/>
    <mergeCell ref="AC337:AF337"/>
    <mergeCell ref="AG337:AJ337"/>
    <mergeCell ref="AK337:AN337"/>
    <mergeCell ref="AO337:AR337"/>
    <mergeCell ref="AS337:AV337"/>
    <mergeCell ref="AW337:AZ337"/>
    <mergeCell ref="E337:H337"/>
    <mergeCell ref="I337:L337"/>
    <mergeCell ref="M337:P337"/>
    <mergeCell ref="Q337:T337"/>
    <mergeCell ref="U337:X337"/>
    <mergeCell ref="Y337:AB337"/>
    <mergeCell ref="AC336:AF336"/>
    <mergeCell ref="AG336:AJ336"/>
    <mergeCell ref="AK336:AN336"/>
    <mergeCell ref="AO336:AR336"/>
    <mergeCell ref="AS336:AV336"/>
    <mergeCell ref="AW336:AZ336"/>
    <mergeCell ref="E336:H336"/>
    <mergeCell ref="I336:L336"/>
    <mergeCell ref="M336:P336"/>
    <mergeCell ref="Q336:T336"/>
    <mergeCell ref="U336:X336"/>
    <mergeCell ref="Y336:AB336"/>
    <mergeCell ref="AC339:AF339"/>
    <mergeCell ref="AG339:AJ339"/>
    <mergeCell ref="AK339:AN339"/>
    <mergeCell ref="AO339:AR339"/>
    <mergeCell ref="AS339:AV339"/>
    <mergeCell ref="AW339:AZ339"/>
    <mergeCell ref="E339:H339"/>
    <mergeCell ref="I339:L339"/>
    <mergeCell ref="M339:P339"/>
    <mergeCell ref="Q339:T339"/>
    <mergeCell ref="U339:X339"/>
    <mergeCell ref="Y339:AB339"/>
    <mergeCell ref="AC338:AF338"/>
    <mergeCell ref="AG338:AJ338"/>
    <mergeCell ref="AK338:AN338"/>
    <mergeCell ref="AO338:AR338"/>
    <mergeCell ref="AS338:AV338"/>
    <mergeCell ref="AW338:AZ338"/>
    <mergeCell ref="E338:H338"/>
    <mergeCell ref="I338:L338"/>
    <mergeCell ref="M338:P338"/>
    <mergeCell ref="Q338:T338"/>
    <mergeCell ref="U338:X338"/>
    <mergeCell ref="Y338:AB338"/>
    <mergeCell ref="AC341:AF341"/>
    <mergeCell ref="AG341:AJ341"/>
    <mergeCell ref="AK341:AN341"/>
    <mergeCell ref="AO341:AR341"/>
    <mergeCell ref="AS341:AV341"/>
    <mergeCell ref="AW341:AZ341"/>
    <mergeCell ref="E341:H341"/>
    <mergeCell ref="I341:L341"/>
    <mergeCell ref="M341:P341"/>
    <mergeCell ref="Q341:T341"/>
    <mergeCell ref="U341:X341"/>
    <mergeCell ref="Y341:AB341"/>
    <mergeCell ref="AC340:AF340"/>
    <mergeCell ref="AG340:AJ340"/>
    <mergeCell ref="AK340:AN340"/>
    <mergeCell ref="AO340:AR340"/>
    <mergeCell ref="AS340:AV340"/>
    <mergeCell ref="AW340:AZ340"/>
    <mergeCell ref="E340:H340"/>
    <mergeCell ref="I340:L340"/>
    <mergeCell ref="M340:P340"/>
    <mergeCell ref="Q340:T340"/>
    <mergeCell ref="U340:X340"/>
    <mergeCell ref="Y340:AB340"/>
    <mergeCell ref="AC343:AF343"/>
    <mergeCell ref="AG343:AJ343"/>
    <mergeCell ref="AK343:AN343"/>
    <mergeCell ref="AO343:AR343"/>
    <mergeCell ref="AS343:AV343"/>
    <mergeCell ref="AW343:AZ343"/>
    <mergeCell ref="E343:H343"/>
    <mergeCell ref="I343:L343"/>
    <mergeCell ref="M343:P343"/>
    <mergeCell ref="Q343:T343"/>
    <mergeCell ref="U343:X343"/>
    <mergeCell ref="Y343:AB343"/>
    <mergeCell ref="AC342:AF342"/>
    <mergeCell ref="AG342:AJ342"/>
    <mergeCell ref="AK342:AN342"/>
    <mergeCell ref="AO342:AR342"/>
    <mergeCell ref="AS342:AV342"/>
    <mergeCell ref="AW342:AZ342"/>
    <mergeCell ref="E342:H342"/>
    <mergeCell ref="I342:L342"/>
    <mergeCell ref="M342:P342"/>
    <mergeCell ref="Q342:T342"/>
    <mergeCell ref="U342:X342"/>
    <mergeCell ref="Y342:AB342"/>
    <mergeCell ref="AC345:AF345"/>
    <mergeCell ref="AG345:AJ345"/>
    <mergeCell ref="AK345:AN345"/>
    <mergeCell ref="AO345:AR345"/>
    <mergeCell ref="AS345:AV345"/>
    <mergeCell ref="AW345:AZ345"/>
    <mergeCell ref="E345:H345"/>
    <mergeCell ref="I345:L345"/>
    <mergeCell ref="M345:P345"/>
    <mergeCell ref="Q345:T345"/>
    <mergeCell ref="U345:X345"/>
    <mergeCell ref="Y345:AB345"/>
    <mergeCell ref="AC344:AF344"/>
    <mergeCell ref="AG344:AJ344"/>
    <mergeCell ref="AK344:AN344"/>
    <mergeCell ref="AO344:AR344"/>
    <mergeCell ref="AS344:AV344"/>
    <mergeCell ref="AW344:AZ344"/>
    <mergeCell ref="E344:H344"/>
    <mergeCell ref="I344:L344"/>
    <mergeCell ref="M344:P344"/>
    <mergeCell ref="Q344:T344"/>
    <mergeCell ref="U344:X344"/>
    <mergeCell ref="Y344:AB344"/>
    <mergeCell ref="AC347:AF347"/>
    <mergeCell ref="AG347:AJ347"/>
    <mergeCell ref="AK347:AN347"/>
    <mergeCell ref="AO347:AR347"/>
    <mergeCell ref="AS347:AV347"/>
    <mergeCell ref="AW347:AZ347"/>
    <mergeCell ref="E347:H347"/>
    <mergeCell ref="I347:L347"/>
    <mergeCell ref="M347:P347"/>
    <mergeCell ref="Q347:T347"/>
    <mergeCell ref="U347:X347"/>
    <mergeCell ref="Y347:AB347"/>
    <mergeCell ref="AC346:AF346"/>
    <mergeCell ref="AG346:AJ346"/>
    <mergeCell ref="AK346:AN346"/>
    <mergeCell ref="AO346:AR346"/>
    <mergeCell ref="AS346:AV346"/>
    <mergeCell ref="AW346:AZ346"/>
    <mergeCell ref="E346:H346"/>
    <mergeCell ref="I346:L346"/>
    <mergeCell ref="M346:P346"/>
    <mergeCell ref="Q346:T346"/>
    <mergeCell ref="U346:X346"/>
    <mergeCell ref="Y346:AB346"/>
    <mergeCell ref="AC349:AF349"/>
    <mergeCell ref="AG349:AJ349"/>
    <mergeCell ref="AK349:AN349"/>
    <mergeCell ref="AO349:AR349"/>
    <mergeCell ref="AS349:AV349"/>
    <mergeCell ref="AW349:AZ349"/>
    <mergeCell ref="E349:H349"/>
    <mergeCell ref="I349:L349"/>
    <mergeCell ref="M349:P349"/>
    <mergeCell ref="Q349:T349"/>
    <mergeCell ref="U349:X349"/>
    <mergeCell ref="Y349:AB349"/>
    <mergeCell ref="AC348:AF348"/>
    <mergeCell ref="AG348:AJ348"/>
    <mergeCell ref="AK348:AN348"/>
    <mergeCell ref="AO348:AR348"/>
    <mergeCell ref="AS348:AV348"/>
    <mergeCell ref="AW348:AZ348"/>
    <mergeCell ref="E348:H348"/>
    <mergeCell ref="I348:L348"/>
    <mergeCell ref="M348:P348"/>
    <mergeCell ref="Q348:T348"/>
    <mergeCell ref="U348:X348"/>
    <mergeCell ref="Y348:AB348"/>
    <mergeCell ref="AC351:AF351"/>
    <mergeCell ref="AG351:AJ351"/>
    <mergeCell ref="AK351:AN351"/>
    <mergeCell ref="AO351:AR351"/>
    <mergeCell ref="AS351:AV351"/>
    <mergeCell ref="AW351:AZ351"/>
    <mergeCell ref="E351:H351"/>
    <mergeCell ref="I351:L351"/>
    <mergeCell ref="M351:P351"/>
    <mergeCell ref="Q351:T351"/>
    <mergeCell ref="U351:X351"/>
    <mergeCell ref="Y351:AB351"/>
    <mergeCell ref="AC350:AF350"/>
    <mergeCell ref="AG350:AJ350"/>
    <mergeCell ref="AK350:AN350"/>
    <mergeCell ref="AO350:AR350"/>
    <mergeCell ref="AS350:AV350"/>
    <mergeCell ref="AW350:AZ350"/>
    <mergeCell ref="E350:H350"/>
    <mergeCell ref="I350:L350"/>
    <mergeCell ref="M350:P350"/>
    <mergeCell ref="Q350:T350"/>
    <mergeCell ref="U350:X350"/>
    <mergeCell ref="Y350:AB350"/>
    <mergeCell ref="AC353:AF353"/>
    <mergeCell ref="AG353:AJ353"/>
    <mergeCell ref="AK353:AN353"/>
    <mergeCell ref="AO353:AR353"/>
    <mergeCell ref="AS353:AV353"/>
    <mergeCell ref="AW353:AZ353"/>
    <mergeCell ref="E353:H353"/>
    <mergeCell ref="I353:L353"/>
    <mergeCell ref="M353:P353"/>
    <mergeCell ref="Q353:T353"/>
    <mergeCell ref="U353:X353"/>
    <mergeCell ref="Y353:AB353"/>
    <mergeCell ref="AC352:AF352"/>
    <mergeCell ref="AG352:AJ352"/>
    <mergeCell ref="AK352:AN352"/>
    <mergeCell ref="AO352:AR352"/>
    <mergeCell ref="AS352:AV352"/>
    <mergeCell ref="AW352:AZ352"/>
    <mergeCell ref="E352:H352"/>
    <mergeCell ref="I352:L352"/>
    <mergeCell ref="M352:P352"/>
    <mergeCell ref="Q352:T352"/>
    <mergeCell ref="U352:X352"/>
    <mergeCell ref="Y352:AB352"/>
    <mergeCell ref="AC355:AF355"/>
    <mergeCell ref="AG355:AJ355"/>
    <mergeCell ref="AK355:AN355"/>
    <mergeCell ref="AO355:AR355"/>
    <mergeCell ref="AS355:AV355"/>
    <mergeCell ref="AW355:AZ355"/>
    <mergeCell ref="E355:H355"/>
    <mergeCell ref="I355:L355"/>
    <mergeCell ref="M355:P355"/>
    <mergeCell ref="Q355:T355"/>
    <mergeCell ref="U355:X355"/>
    <mergeCell ref="Y355:AB355"/>
    <mergeCell ref="AC354:AF354"/>
    <mergeCell ref="AG354:AJ354"/>
    <mergeCell ref="AK354:AN354"/>
    <mergeCell ref="AO354:AR354"/>
    <mergeCell ref="AS354:AV354"/>
    <mergeCell ref="AW354:AZ354"/>
    <mergeCell ref="E354:H354"/>
    <mergeCell ref="I354:L354"/>
    <mergeCell ref="M354:P354"/>
    <mergeCell ref="Q354:T354"/>
    <mergeCell ref="U354:X354"/>
    <mergeCell ref="Y354:AB354"/>
    <mergeCell ref="AC357:AF357"/>
    <mergeCell ref="AG357:AJ357"/>
    <mergeCell ref="AK357:AN357"/>
    <mergeCell ref="AO357:AR357"/>
    <mergeCell ref="AS357:AV357"/>
    <mergeCell ref="AW357:AZ357"/>
    <mergeCell ref="E357:H357"/>
    <mergeCell ref="I357:L357"/>
    <mergeCell ref="M357:P357"/>
    <mergeCell ref="Q357:T357"/>
    <mergeCell ref="U357:X357"/>
    <mergeCell ref="Y357:AB357"/>
    <mergeCell ref="AC356:AF356"/>
    <mergeCell ref="AG356:AJ356"/>
    <mergeCell ref="AK356:AN356"/>
    <mergeCell ref="AO356:AR356"/>
    <mergeCell ref="AS356:AV356"/>
    <mergeCell ref="AW356:AZ356"/>
    <mergeCell ref="E356:H356"/>
    <mergeCell ref="I356:L356"/>
    <mergeCell ref="M356:P356"/>
    <mergeCell ref="Q356:T356"/>
    <mergeCell ref="U356:X356"/>
    <mergeCell ref="Y356:AB356"/>
    <mergeCell ref="AC359:AF359"/>
    <mergeCell ref="AG359:AJ359"/>
    <mergeCell ref="AK359:AN359"/>
    <mergeCell ref="AO359:AR359"/>
    <mergeCell ref="AS359:AV359"/>
    <mergeCell ref="AW359:AZ359"/>
    <mergeCell ref="E359:H359"/>
    <mergeCell ref="I359:L359"/>
    <mergeCell ref="M359:P359"/>
    <mergeCell ref="Q359:T359"/>
    <mergeCell ref="U359:X359"/>
    <mergeCell ref="Y359:AB359"/>
    <mergeCell ref="AC358:AF358"/>
    <mergeCell ref="AG358:AJ358"/>
    <mergeCell ref="AK358:AN358"/>
    <mergeCell ref="AO358:AR358"/>
    <mergeCell ref="AS358:AV358"/>
    <mergeCell ref="AW358:AZ358"/>
    <mergeCell ref="E358:H358"/>
    <mergeCell ref="I358:L358"/>
    <mergeCell ref="M358:P358"/>
    <mergeCell ref="Q358:T358"/>
    <mergeCell ref="U358:X358"/>
    <mergeCell ref="Y358:AB358"/>
    <mergeCell ref="AC361:AF361"/>
    <mergeCell ref="AG361:AJ361"/>
    <mergeCell ref="AK361:AN361"/>
    <mergeCell ref="AO361:AR361"/>
    <mergeCell ref="AS361:AV361"/>
    <mergeCell ref="AW361:AZ361"/>
    <mergeCell ref="E361:H361"/>
    <mergeCell ref="I361:L361"/>
    <mergeCell ref="M361:P361"/>
    <mergeCell ref="Q361:T361"/>
    <mergeCell ref="U361:X361"/>
    <mergeCell ref="Y361:AB361"/>
    <mergeCell ref="AC360:AF360"/>
    <mergeCell ref="AG360:AJ360"/>
    <mergeCell ref="AK360:AN360"/>
    <mergeCell ref="AO360:AR360"/>
    <mergeCell ref="AS360:AV360"/>
    <mergeCell ref="AW360:AZ360"/>
    <mergeCell ref="E360:H360"/>
    <mergeCell ref="I360:L360"/>
    <mergeCell ref="M360:P360"/>
    <mergeCell ref="Q360:T360"/>
    <mergeCell ref="U360:X360"/>
    <mergeCell ref="Y360:AB360"/>
    <mergeCell ref="AC363:AF363"/>
    <mergeCell ref="AG363:AJ363"/>
    <mergeCell ref="AK363:AN363"/>
    <mergeCell ref="AO363:AR363"/>
    <mergeCell ref="AS363:AV363"/>
    <mergeCell ref="AW363:AZ363"/>
    <mergeCell ref="E363:H363"/>
    <mergeCell ref="I363:L363"/>
    <mergeCell ref="M363:P363"/>
    <mergeCell ref="Q363:T363"/>
    <mergeCell ref="U363:X363"/>
    <mergeCell ref="Y363:AB363"/>
    <mergeCell ref="AC362:AF362"/>
    <mergeCell ref="AG362:AJ362"/>
    <mergeCell ref="AK362:AN362"/>
    <mergeCell ref="AO362:AR362"/>
    <mergeCell ref="AS362:AV362"/>
    <mergeCell ref="AW362:AZ362"/>
    <mergeCell ref="E362:H362"/>
    <mergeCell ref="I362:L362"/>
    <mergeCell ref="M362:P362"/>
    <mergeCell ref="Q362:T362"/>
    <mergeCell ref="U362:X362"/>
    <mergeCell ref="Y362:AB362"/>
    <mergeCell ref="AC365:AF365"/>
    <mergeCell ref="AG365:AJ365"/>
    <mergeCell ref="AK365:AN365"/>
    <mergeCell ref="AO365:AR365"/>
    <mergeCell ref="AS365:AV365"/>
    <mergeCell ref="AW365:AZ365"/>
    <mergeCell ref="E365:H365"/>
    <mergeCell ref="I365:L365"/>
    <mergeCell ref="M365:P365"/>
    <mergeCell ref="Q365:T365"/>
    <mergeCell ref="U365:X365"/>
    <mergeCell ref="Y365:AB365"/>
    <mergeCell ref="AC364:AF364"/>
    <mergeCell ref="AG364:AJ364"/>
    <mergeCell ref="AK364:AN364"/>
    <mergeCell ref="AO364:AR364"/>
    <mergeCell ref="AS364:AV364"/>
    <mergeCell ref="AW364:AZ364"/>
    <mergeCell ref="E364:H364"/>
    <mergeCell ref="I364:L364"/>
    <mergeCell ref="M364:P364"/>
    <mergeCell ref="Q364:T364"/>
    <mergeCell ref="U364:X364"/>
    <mergeCell ref="Y364:AB364"/>
    <mergeCell ref="AC367:AF367"/>
    <mergeCell ref="AG367:AJ367"/>
    <mergeCell ref="AK367:AN367"/>
    <mergeCell ref="AO367:AR367"/>
    <mergeCell ref="AS367:AV367"/>
    <mergeCell ref="AW367:AZ367"/>
    <mergeCell ref="E367:H367"/>
    <mergeCell ref="I367:L367"/>
    <mergeCell ref="M367:P367"/>
    <mergeCell ref="Q367:T367"/>
    <mergeCell ref="U367:X367"/>
    <mergeCell ref="Y367:AB367"/>
    <mergeCell ref="AC366:AF366"/>
    <mergeCell ref="AG366:AJ366"/>
    <mergeCell ref="AK366:AN366"/>
    <mergeCell ref="AO366:AR366"/>
    <mergeCell ref="AS366:AV366"/>
    <mergeCell ref="AW366:AZ366"/>
    <mergeCell ref="E366:H366"/>
    <mergeCell ref="I366:L366"/>
    <mergeCell ref="M366:P366"/>
    <mergeCell ref="Q366:T366"/>
    <mergeCell ref="U366:X366"/>
    <mergeCell ref="Y366:AB366"/>
    <mergeCell ref="AC369:AF369"/>
    <mergeCell ref="AG369:AJ369"/>
    <mergeCell ref="AK369:AN369"/>
    <mergeCell ref="AO369:AR369"/>
    <mergeCell ref="AS369:AV369"/>
    <mergeCell ref="AW369:AZ369"/>
    <mergeCell ref="E369:H369"/>
    <mergeCell ref="I369:L369"/>
    <mergeCell ref="M369:P369"/>
    <mergeCell ref="Q369:T369"/>
    <mergeCell ref="U369:X369"/>
    <mergeCell ref="Y369:AB369"/>
    <mergeCell ref="AC368:AF368"/>
    <mergeCell ref="AG368:AJ368"/>
    <mergeCell ref="AK368:AN368"/>
    <mergeCell ref="AO368:AR368"/>
    <mergeCell ref="AS368:AV368"/>
    <mergeCell ref="AW368:AZ368"/>
    <mergeCell ref="E368:H368"/>
    <mergeCell ref="I368:L368"/>
    <mergeCell ref="M368:P368"/>
    <mergeCell ref="Q368:T368"/>
    <mergeCell ref="U368:X368"/>
    <mergeCell ref="Y368:AB368"/>
    <mergeCell ref="AC371:AF371"/>
    <mergeCell ref="AG371:AJ371"/>
    <mergeCell ref="AK371:AN371"/>
    <mergeCell ref="AO371:AR371"/>
    <mergeCell ref="AS371:AV371"/>
    <mergeCell ref="AW371:AZ371"/>
    <mergeCell ref="E371:H371"/>
    <mergeCell ref="I371:L371"/>
    <mergeCell ref="M371:P371"/>
    <mergeCell ref="Q371:T371"/>
    <mergeCell ref="U371:X371"/>
    <mergeCell ref="Y371:AB371"/>
    <mergeCell ref="AC370:AF370"/>
    <mergeCell ref="AG370:AJ370"/>
    <mergeCell ref="AK370:AN370"/>
    <mergeCell ref="AO370:AR370"/>
    <mergeCell ref="AS370:AV370"/>
    <mergeCell ref="AW370:AZ370"/>
    <mergeCell ref="E370:H370"/>
    <mergeCell ref="I370:L370"/>
    <mergeCell ref="M370:P370"/>
    <mergeCell ref="Q370:T370"/>
    <mergeCell ref="U370:X370"/>
    <mergeCell ref="Y370:AB370"/>
    <mergeCell ref="AC373:AF373"/>
    <mergeCell ref="AG373:AJ373"/>
    <mergeCell ref="AK373:AN373"/>
    <mergeCell ref="AO373:AR373"/>
    <mergeCell ref="AS373:AV373"/>
    <mergeCell ref="AW373:AZ373"/>
    <mergeCell ref="E373:H373"/>
    <mergeCell ref="I373:L373"/>
    <mergeCell ref="M373:P373"/>
    <mergeCell ref="Q373:T373"/>
    <mergeCell ref="U373:X373"/>
    <mergeCell ref="Y373:AB373"/>
    <mergeCell ref="AC372:AF372"/>
    <mergeCell ref="AG372:AJ372"/>
    <mergeCell ref="AK372:AN372"/>
    <mergeCell ref="AO372:AR372"/>
    <mergeCell ref="AS372:AV372"/>
    <mergeCell ref="AW372:AZ372"/>
    <mergeCell ref="E372:H372"/>
    <mergeCell ref="I372:L372"/>
    <mergeCell ref="M372:P372"/>
    <mergeCell ref="Q372:T372"/>
    <mergeCell ref="U372:X372"/>
    <mergeCell ref="Y372:AB372"/>
    <mergeCell ref="AC375:AF375"/>
    <mergeCell ref="AG375:AJ375"/>
    <mergeCell ref="AK375:AN375"/>
    <mergeCell ref="AO375:AR375"/>
    <mergeCell ref="AS375:AV375"/>
    <mergeCell ref="AW375:AZ375"/>
    <mergeCell ref="E375:H375"/>
    <mergeCell ref="I375:L375"/>
    <mergeCell ref="M375:P375"/>
    <mergeCell ref="Q375:T375"/>
    <mergeCell ref="U375:X375"/>
    <mergeCell ref="Y375:AB375"/>
    <mergeCell ref="AC374:AF374"/>
    <mergeCell ref="AG374:AJ374"/>
    <mergeCell ref="AK374:AN374"/>
    <mergeCell ref="AO374:AR374"/>
    <mergeCell ref="AS374:AV374"/>
    <mergeCell ref="AW374:AZ374"/>
    <mergeCell ref="E374:H374"/>
    <mergeCell ref="I374:L374"/>
    <mergeCell ref="M374:P374"/>
    <mergeCell ref="Q374:T374"/>
    <mergeCell ref="U374:X374"/>
    <mergeCell ref="Y374:AB374"/>
    <mergeCell ref="AC377:AF377"/>
    <mergeCell ref="AG377:AJ377"/>
    <mergeCell ref="AK377:AN377"/>
    <mergeCell ref="AO377:AR377"/>
    <mergeCell ref="AS377:AV377"/>
    <mergeCell ref="AW377:AZ377"/>
    <mergeCell ref="E377:H377"/>
    <mergeCell ref="I377:L377"/>
    <mergeCell ref="M377:P377"/>
    <mergeCell ref="Q377:T377"/>
    <mergeCell ref="U377:X377"/>
    <mergeCell ref="Y377:AB377"/>
    <mergeCell ref="AC376:AF376"/>
    <mergeCell ref="AG376:AJ376"/>
    <mergeCell ref="AK376:AN376"/>
    <mergeCell ref="AO376:AR376"/>
    <mergeCell ref="AS376:AV376"/>
    <mergeCell ref="AW376:AZ376"/>
    <mergeCell ref="E376:H376"/>
    <mergeCell ref="I376:L376"/>
    <mergeCell ref="M376:P376"/>
    <mergeCell ref="Q376:T376"/>
    <mergeCell ref="U376:X376"/>
    <mergeCell ref="Y376:AB376"/>
    <mergeCell ref="AC379:AF379"/>
    <mergeCell ref="AG379:AJ379"/>
    <mergeCell ref="AK379:AN379"/>
    <mergeCell ref="AO379:AR379"/>
    <mergeCell ref="AS379:AV379"/>
    <mergeCell ref="AW379:AZ379"/>
    <mergeCell ref="E379:H379"/>
    <mergeCell ref="I379:L379"/>
    <mergeCell ref="M379:P379"/>
    <mergeCell ref="Q379:T379"/>
    <mergeCell ref="U379:X379"/>
    <mergeCell ref="Y379:AB379"/>
    <mergeCell ref="AC378:AF378"/>
    <mergeCell ref="AG378:AJ378"/>
    <mergeCell ref="AK378:AN378"/>
    <mergeCell ref="AO378:AR378"/>
    <mergeCell ref="AS378:AV378"/>
    <mergeCell ref="AW378:AZ378"/>
    <mergeCell ref="E378:H378"/>
    <mergeCell ref="I378:L378"/>
    <mergeCell ref="M378:P378"/>
    <mergeCell ref="Q378:T378"/>
    <mergeCell ref="U378:X378"/>
    <mergeCell ref="Y378:AB378"/>
    <mergeCell ref="AC381:AF381"/>
    <mergeCell ref="AG381:AJ381"/>
    <mergeCell ref="AK381:AN381"/>
    <mergeCell ref="AO381:AR381"/>
    <mergeCell ref="AS381:AV381"/>
    <mergeCell ref="AW381:AZ381"/>
    <mergeCell ref="E381:H381"/>
    <mergeCell ref="I381:L381"/>
    <mergeCell ref="M381:P381"/>
    <mergeCell ref="Q381:T381"/>
    <mergeCell ref="U381:X381"/>
    <mergeCell ref="Y381:AB381"/>
    <mergeCell ref="AC380:AF380"/>
    <mergeCell ref="AG380:AJ380"/>
    <mergeCell ref="AK380:AN380"/>
    <mergeCell ref="AO380:AR380"/>
    <mergeCell ref="AS380:AV380"/>
    <mergeCell ref="AW380:AZ380"/>
    <mergeCell ref="E380:H380"/>
    <mergeCell ref="I380:L380"/>
    <mergeCell ref="M380:P380"/>
    <mergeCell ref="Q380:T380"/>
    <mergeCell ref="U380:X380"/>
    <mergeCell ref="Y380:AB380"/>
    <mergeCell ref="AC383:AF383"/>
    <mergeCell ref="AG383:AJ383"/>
    <mergeCell ref="AK383:AN383"/>
    <mergeCell ref="AO383:AR383"/>
    <mergeCell ref="AS383:AV383"/>
    <mergeCell ref="AW383:AZ383"/>
    <mergeCell ref="E383:H383"/>
    <mergeCell ref="I383:L383"/>
    <mergeCell ref="M383:P383"/>
    <mergeCell ref="Q383:T383"/>
    <mergeCell ref="U383:X383"/>
    <mergeCell ref="Y383:AB383"/>
    <mergeCell ref="AC382:AF382"/>
    <mergeCell ref="AG382:AJ382"/>
    <mergeCell ref="AK382:AN382"/>
    <mergeCell ref="AO382:AR382"/>
    <mergeCell ref="AS382:AV382"/>
    <mergeCell ref="AW382:AZ382"/>
    <mergeCell ref="E382:H382"/>
    <mergeCell ref="I382:L382"/>
    <mergeCell ref="M382:P382"/>
    <mergeCell ref="Q382:T382"/>
    <mergeCell ref="U382:X382"/>
    <mergeCell ref="Y382:AB382"/>
    <mergeCell ref="AC385:AF385"/>
    <mergeCell ref="AG385:AJ385"/>
    <mergeCell ref="AK385:AN385"/>
    <mergeCell ref="AO385:AR385"/>
    <mergeCell ref="AS385:AV385"/>
    <mergeCell ref="AW385:AZ385"/>
    <mergeCell ref="E385:H385"/>
    <mergeCell ref="I385:L385"/>
    <mergeCell ref="M385:P385"/>
    <mergeCell ref="Q385:T385"/>
    <mergeCell ref="U385:X385"/>
    <mergeCell ref="Y385:AB385"/>
    <mergeCell ref="AC384:AF384"/>
    <mergeCell ref="AG384:AJ384"/>
    <mergeCell ref="AK384:AN384"/>
    <mergeCell ref="AO384:AR384"/>
    <mergeCell ref="AS384:AV384"/>
    <mergeCell ref="AW384:AZ384"/>
    <mergeCell ref="E384:H384"/>
    <mergeCell ref="I384:L384"/>
    <mergeCell ref="M384:P384"/>
    <mergeCell ref="Q384:T384"/>
    <mergeCell ref="U384:X384"/>
    <mergeCell ref="Y384:AB384"/>
    <mergeCell ref="AC387:AF387"/>
    <mergeCell ref="AG387:AJ387"/>
    <mergeCell ref="AK387:AN387"/>
    <mergeCell ref="AO387:AR387"/>
    <mergeCell ref="AS387:AV387"/>
    <mergeCell ref="AW387:AZ387"/>
    <mergeCell ref="E387:H387"/>
    <mergeCell ref="I387:L387"/>
    <mergeCell ref="M387:P387"/>
    <mergeCell ref="Q387:T387"/>
    <mergeCell ref="U387:X387"/>
    <mergeCell ref="Y387:AB387"/>
    <mergeCell ref="AC386:AF386"/>
    <mergeCell ref="AG386:AJ386"/>
    <mergeCell ref="AK386:AN386"/>
    <mergeCell ref="AO386:AR386"/>
    <mergeCell ref="AS386:AV386"/>
    <mergeCell ref="AW386:AZ386"/>
    <mergeCell ref="E386:H386"/>
    <mergeCell ref="I386:L386"/>
    <mergeCell ref="M386:P386"/>
    <mergeCell ref="Q386:T386"/>
    <mergeCell ref="U386:X386"/>
    <mergeCell ref="Y386:AB386"/>
    <mergeCell ref="AC389:AF389"/>
    <mergeCell ref="AG389:AJ389"/>
    <mergeCell ref="AK389:AN389"/>
    <mergeCell ref="AO389:AR389"/>
    <mergeCell ref="AS389:AV389"/>
    <mergeCell ref="AW389:AZ389"/>
    <mergeCell ref="E389:H389"/>
    <mergeCell ref="I389:L389"/>
    <mergeCell ref="M389:P389"/>
    <mergeCell ref="Q389:T389"/>
    <mergeCell ref="U389:X389"/>
    <mergeCell ref="Y389:AB389"/>
    <mergeCell ref="AC388:AF388"/>
    <mergeCell ref="AG388:AJ388"/>
    <mergeCell ref="AK388:AN388"/>
    <mergeCell ref="AO388:AR388"/>
    <mergeCell ref="AS388:AV388"/>
    <mergeCell ref="AW388:AZ388"/>
    <mergeCell ref="E388:H388"/>
    <mergeCell ref="I388:L388"/>
    <mergeCell ref="M388:P388"/>
    <mergeCell ref="Q388:T388"/>
    <mergeCell ref="U388:X388"/>
    <mergeCell ref="Y388:AB388"/>
    <mergeCell ref="AC391:AF391"/>
    <mergeCell ref="AG391:AJ391"/>
    <mergeCell ref="AK391:AN391"/>
    <mergeCell ref="AO391:AR391"/>
    <mergeCell ref="AS391:AV391"/>
    <mergeCell ref="AW391:AZ391"/>
    <mergeCell ref="E391:H391"/>
    <mergeCell ref="I391:L391"/>
    <mergeCell ref="M391:P391"/>
    <mergeCell ref="Q391:T391"/>
    <mergeCell ref="U391:X391"/>
    <mergeCell ref="Y391:AB391"/>
    <mergeCell ref="AC390:AF390"/>
    <mergeCell ref="AG390:AJ390"/>
    <mergeCell ref="AK390:AN390"/>
    <mergeCell ref="AO390:AR390"/>
    <mergeCell ref="AS390:AV390"/>
    <mergeCell ref="AW390:AZ390"/>
    <mergeCell ref="E390:H390"/>
    <mergeCell ref="I390:L390"/>
    <mergeCell ref="M390:P390"/>
    <mergeCell ref="Q390:T390"/>
    <mergeCell ref="U390:X390"/>
    <mergeCell ref="Y390:AB390"/>
    <mergeCell ref="AC393:AF393"/>
    <mergeCell ref="AG393:AJ393"/>
    <mergeCell ref="AK393:AN393"/>
    <mergeCell ref="AO393:AR393"/>
    <mergeCell ref="AS393:AV393"/>
    <mergeCell ref="AW393:AZ393"/>
    <mergeCell ref="E393:H393"/>
    <mergeCell ref="I393:L393"/>
    <mergeCell ref="M393:P393"/>
    <mergeCell ref="Q393:T393"/>
    <mergeCell ref="U393:X393"/>
    <mergeCell ref="Y393:AB393"/>
    <mergeCell ref="AC392:AF392"/>
    <mergeCell ref="AG392:AJ392"/>
    <mergeCell ref="AK392:AN392"/>
    <mergeCell ref="AO392:AR392"/>
    <mergeCell ref="AS392:AV392"/>
    <mergeCell ref="AW392:AZ392"/>
    <mergeCell ref="E392:H392"/>
    <mergeCell ref="I392:L392"/>
    <mergeCell ref="M392:P392"/>
    <mergeCell ref="Q392:T392"/>
    <mergeCell ref="U392:X392"/>
    <mergeCell ref="Y392:AB392"/>
    <mergeCell ref="AC395:AF395"/>
    <mergeCell ref="AG395:AJ395"/>
    <mergeCell ref="AK395:AN395"/>
    <mergeCell ref="AO395:AR395"/>
    <mergeCell ref="AS395:AV395"/>
    <mergeCell ref="AW395:AZ395"/>
    <mergeCell ref="E395:H395"/>
    <mergeCell ref="I395:L395"/>
    <mergeCell ref="M395:P395"/>
    <mergeCell ref="Q395:T395"/>
    <mergeCell ref="U395:X395"/>
    <mergeCell ref="Y395:AB395"/>
    <mergeCell ref="AC394:AF394"/>
    <mergeCell ref="AG394:AJ394"/>
    <mergeCell ref="AK394:AN394"/>
    <mergeCell ref="AO394:AR394"/>
    <mergeCell ref="AS394:AV394"/>
    <mergeCell ref="AW394:AZ394"/>
    <mergeCell ref="E394:H394"/>
    <mergeCell ref="I394:L394"/>
    <mergeCell ref="M394:P394"/>
    <mergeCell ref="Q394:T394"/>
    <mergeCell ref="U394:X394"/>
    <mergeCell ref="Y394:AB394"/>
    <mergeCell ref="AC397:AF397"/>
    <mergeCell ref="AG397:AJ397"/>
    <mergeCell ref="AK397:AN397"/>
    <mergeCell ref="AO397:AR397"/>
    <mergeCell ref="AS397:AV397"/>
    <mergeCell ref="AW397:AZ397"/>
    <mergeCell ref="E397:H397"/>
    <mergeCell ref="I397:L397"/>
    <mergeCell ref="M397:P397"/>
    <mergeCell ref="Q397:T397"/>
    <mergeCell ref="U397:X397"/>
    <mergeCell ref="Y397:AB397"/>
    <mergeCell ref="AC396:AF396"/>
    <mergeCell ref="AG396:AJ396"/>
    <mergeCell ref="AK396:AN396"/>
    <mergeCell ref="AO396:AR396"/>
    <mergeCell ref="AS396:AV396"/>
    <mergeCell ref="AW396:AZ396"/>
    <mergeCell ref="E396:H396"/>
    <mergeCell ref="I396:L396"/>
    <mergeCell ref="M396:P396"/>
    <mergeCell ref="Q396:T396"/>
    <mergeCell ref="U396:X396"/>
    <mergeCell ref="Y396:AB396"/>
    <mergeCell ref="AC399:AF399"/>
    <mergeCell ref="AG399:AJ399"/>
    <mergeCell ref="AK399:AN399"/>
    <mergeCell ref="AO399:AR399"/>
    <mergeCell ref="AS399:AV399"/>
    <mergeCell ref="AW399:AZ399"/>
    <mergeCell ref="E399:H399"/>
    <mergeCell ref="I399:L399"/>
    <mergeCell ref="M399:P399"/>
    <mergeCell ref="Q399:T399"/>
    <mergeCell ref="U399:X399"/>
    <mergeCell ref="Y399:AB399"/>
    <mergeCell ref="AC398:AF398"/>
    <mergeCell ref="AG398:AJ398"/>
    <mergeCell ref="AK398:AN398"/>
    <mergeCell ref="AO398:AR398"/>
    <mergeCell ref="AS398:AV398"/>
    <mergeCell ref="AW398:AZ398"/>
    <mergeCell ref="E398:H398"/>
    <mergeCell ref="I398:L398"/>
    <mergeCell ref="M398:P398"/>
    <mergeCell ref="Q398:T398"/>
    <mergeCell ref="U398:X398"/>
    <mergeCell ref="Y398:AB398"/>
    <mergeCell ref="AC401:AF401"/>
    <mergeCell ref="AG401:AJ401"/>
    <mergeCell ref="AK401:AN401"/>
    <mergeCell ref="AO401:AR401"/>
    <mergeCell ref="AS401:AV401"/>
    <mergeCell ref="AW401:AZ401"/>
    <mergeCell ref="E401:H401"/>
    <mergeCell ref="I401:L401"/>
    <mergeCell ref="M401:P401"/>
    <mergeCell ref="Q401:T401"/>
    <mergeCell ref="U401:X401"/>
    <mergeCell ref="Y401:AB401"/>
    <mergeCell ref="AC400:AF400"/>
    <mergeCell ref="AG400:AJ400"/>
    <mergeCell ref="AK400:AN400"/>
    <mergeCell ref="AO400:AR400"/>
    <mergeCell ref="AS400:AV400"/>
    <mergeCell ref="AW400:AZ400"/>
    <mergeCell ref="E400:H400"/>
    <mergeCell ref="I400:L400"/>
    <mergeCell ref="M400:P400"/>
    <mergeCell ref="Q400:T400"/>
    <mergeCell ref="U400:X400"/>
    <mergeCell ref="Y400:AB400"/>
    <mergeCell ref="AC403:AF403"/>
    <mergeCell ref="AG403:AJ403"/>
    <mergeCell ref="AK403:AN403"/>
    <mergeCell ref="AO403:AR403"/>
    <mergeCell ref="AS403:AV403"/>
    <mergeCell ref="AW403:AZ403"/>
    <mergeCell ref="E403:H403"/>
    <mergeCell ref="I403:L403"/>
    <mergeCell ref="M403:P403"/>
    <mergeCell ref="Q403:T403"/>
    <mergeCell ref="U403:X403"/>
    <mergeCell ref="Y403:AB403"/>
    <mergeCell ref="AC402:AF402"/>
    <mergeCell ref="AG402:AJ402"/>
    <mergeCell ref="AK402:AN402"/>
    <mergeCell ref="AO402:AR402"/>
    <mergeCell ref="AS402:AV402"/>
    <mergeCell ref="AW402:AZ402"/>
    <mergeCell ref="E402:H402"/>
    <mergeCell ref="I402:L402"/>
    <mergeCell ref="M402:P402"/>
    <mergeCell ref="Q402:T402"/>
    <mergeCell ref="U402:X402"/>
    <mergeCell ref="Y402:AB402"/>
    <mergeCell ref="AC405:AF405"/>
    <mergeCell ref="AG405:AJ405"/>
    <mergeCell ref="AK405:AN405"/>
    <mergeCell ref="AO405:AR405"/>
    <mergeCell ref="AS405:AV405"/>
    <mergeCell ref="AW405:AZ405"/>
    <mergeCell ref="E405:H405"/>
    <mergeCell ref="I405:L405"/>
    <mergeCell ref="M405:P405"/>
    <mergeCell ref="Q405:T405"/>
    <mergeCell ref="U405:X405"/>
    <mergeCell ref="Y405:AB405"/>
    <mergeCell ref="AC404:AF404"/>
    <mergeCell ref="AG404:AJ404"/>
    <mergeCell ref="AK404:AN404"/>
    <mergeCell ref="AO404:AR404"/>
    <mergeCell ref="AS404:AV404"/>
    <mergeCell ref="AW404:AZ404"/>
    <mergeCell ref="E404:H404"/>
    <mergeCell ref="I404:L404"/>
    <mergeCell ref="M404:P404"/>
    <mergeCell ref="Q404:T404"/>
    <mergeCell ref="U404:X404"/>
    <mergeCell ref="Y404:AB404"/>
    <mergeCell ref="AC407:AF407"/>
    <mergeCell ref="AG407:AJ407"/>
    <mergeCell ref="AK407:AN407"/>
    <mergeCell ref="AO407:AR407"/>
    <mergeCell ref="AS407:AV407"/>
    <mergeCell ref="AW407:AZ407"/>
    <mergeCell ref="E407:H407"/>
    <mergeCell ref="I407:L407"/>
    <mergeCell ref="M407:P407"/>
    <mergeCell ref="Q407:T407"/>
    <mergeCell ref="U407:X407"/>
    <mergeCell ref="Y407:AB407"/>
    <mergeCell ref="AC406:AF406"/>
    <mergeCell ref="AG406:AJ406"/>
    <mergeCell ref="AK406:AN406"/>
    <mergeCell ref="AO406:AR406"/>
    <mergeCell ref="AS406:AV406"/>
    <mergeCell ref="AW406:AZ406"/>
    <mergeCell ref="E406:H406"/>
    <mergeCell ref="I406:L406"/>
    <mergeCell ref="M406:P406"/>
    <mergeCell ref="Q406:T406"/>
    <mergeCell ref="U406:X406"/>
    <mergeCell ref="Y406:AB406"/>
    <mergeCell ref="AC409:AF409"/>
    <mergeCell ref="AG409:AJ409"/>
    <mergeCell ref="AK409:AN409"/>
    <mergeCell ref="AO409:AR409"/>
    <mergeCell ref="AS409:AV409"/>
    <mergeCell ref="AW409:AZ409"/>
    <mergeCell ref="E409:H409"/>
    <mergeCell ref="I409:L409"/>
    <mergeCell ref="M409:P409"/>
    <mergeCell ref="Q409:T409"/>
    <mergeCell ref="U409:X409"/>
    <mergeCell ref="Y409:AB409"/>
    <mergeCell ref="AC408:AF408"/>
    <mergeCell ref="AG408:AJ408"/>
    <mergeCell ref="AK408:AN408"/>
    <mergeCell ref="AO408:AR408"/>
    <mergeCell ref="AS408:AV408"/>
    <mergeCell ref="AW408:AZ408"/>
    <mergeCell ref="E408:H408"/>
    <mergeCell ref="I408:L408"/>
    <mergeCell ref="M408:P408"/>
    <mergeCell ref="Q408:T408"/>
    <mergeCell ref="U408:X408"/>
    <mergeCell ref="Y408:AB408"/>
    <mergeCell ref="AC411:AF411"/>
    <mergeCell ref="AG411:AJ411"/>
    <mergeCell ref="AK411:AN411"/>
    <mergeCell ref="AO411:AR411"/>
    <mergeCell ref="AS411:AV411"/>
    <mergeCell ref="AW411:AZ411"/>
    <mergeCell ref="E411:H411"/>
    <mergeCell ref="I411:L411"/>
    <mergeCell ref="M411:P411"/>
    <mergeCell ref="Q411:T411"/>
    <mergeCell ref="U411:X411"/>
    <mergeCell ref="Y411:AB411"/>
    <mergeCell ref="AC410:AF410"/>
    <mergeCell ref="AG410:AJ410"/>
    <mergeCell ref="AK410:AN410"/>
    <mergeCell ref="AO410:AR410"/>
    <mergeCell ref="AS410:AV410"/>
    <mergeCell ref="AW410:AZ410"/>
    <mergeCell ref="E410:H410"/>
    <mergeCell ref="I410:L410"/>
    <mergeCell ref="M410:P410"/>
    <mergeCell ref="Q410:T410"/>
    <mergeCell ref="U410:X410"/>
    <mergeCell ref="Y410:AB410"/>
    <mergeCell ref="AC413:AF413"/>
    <mergeCell ref="AG413:AJ413"/>
    <mergeCell ref="AK413:AN413"/>
    <mergeCell ref="AO413:AR413"/>
    <mergeCell ref="AS413:AV413"/>
    <mergeCell ref="AW413:AZ413"/>
    <mergeCell ref="E413:H413"/>
    <mergeCell ref="I413:L413"/>
    <mergeCell ref="M413:P413"/>
    <mergeCell ref="Q413:T413"/>
    <mergeCell ref="U413:X413"/>
    <mergeCell ref="Y413:AB413"/>
    <mergeCell ref="AC412:AF412"/>
    <mergeCell ref="AG412:AJ412"/>
    <mergeCell ref="AK412:AN412"/>
    <mergeCell ref="AO412:AR412"/>
    <mergeCell ref="AS412:AV412"/>
    <mergeCell ref="AW412:AZ412"/>
    <mergeCell ref="E412:H412"/>
    <mergeCell ref="I412:L412"/>
    <mergeCell ref="M412:P412"/>
    <mergeCell ref="Q412:T412"/>
    <mergeCell ref="U412:X412"/>
    <mergeCell ref="Y412:AB412"/>
    <mergeCell ref="AC415:AF415"/>
    <mergeCell ref="AG415:AJ415"/>
    <mergeCell ref="AK415:AN415"/>
    <mergeCell ref="AO415:AR415"/>
    <mergeCell ref="AS415:AV415"/>
    <mergeCell ref="AW415:AZ415"/>
    <mergeCell ref="E415:H415"/>
    <mergeCell ref="I415:L415"/>
    <mergeCell ref="M415:P415"/>
    <mergeCell ref="Q415:T415"/>
    <mergeCell ref="U415:X415"/>
    <mergeCell ref="Y415:AB415"/>
    <mergeCell ref="AC414:AF414"/>
    <mergeCell ref="AG414:AJ414"/>
    <mergeCell ref="AK414:AN414"/>
    <mergeCell ref="AO414:AR414"/>
    <mergeCell ref="AS414:AV414"/>
    <mergeCell ref="AW414:AZ414"/>
    <mergeCell ref="E414:H414"/>
    <mergeCell ref="I414:L414"/>
    <mergeCell ref="M414:P414"/>
    <mergeCell ref="Q414:T414"/>
    <mergeCell ref="U414:X414"/>
    <mergeCell ref="Y414:AB414"/>
    <mergeCell ref="AC417:AF417"/>
    <mergeCell ref="AG417:AJ417"/>
    <mergeCell ref="AK417:AN417"/>
    <mergeCell ref="AO417:AR417"/>
    <mergeCell ref="AS417:AV417"/>
    <mergeCell ref="AW417:AZ417"/>
    <mergeCell ref="E417:H417"/>
    <mergeCell ref="I417:L417"/>
    <mergeCell ref="M417:P417"/>
    <mergeCell ref="Q417:T417"/>
    <mergeCell ref="U417:X417"/>
    <mergeCell ref="Y417:AB417"/>
    <mergeCell ref="AC416:AF416"/>
    <mergeCell ref="AG416:AJ416"/>
    <mergeCell ref="AK416:AN416"/>
    <mergeCell ref="AO416:AR416"/>
    <mergeCell ref="AS416:AV416"/>
    <mergeCell ref="AW416:AZ416"/>
    <mergeCell ref="E416:H416"/>
    <mergeCell ref="I416:L416"/>
    <mergeCell ref="M416:P416"/>
    <mergeCell ref="Q416:T416"/>
    <mergeCell ref="U416:X416"/>
    <mergeCell ref="Y416:AB416"/>
    <mergeCell ref="AC419:AF419"/>
    <mergeCell ref="AG419:AJ419"/>
    <mergeCell ref="AK419:AN419"/>
    <mergeCell ref="AO419:AR419"/>
    <mergeCell ref="AS419:AV419"/>
    <mergeCell ref="AW419:AZ419"/>
    <mergeCell ref="E419:H419"/>
    <mergeCell ref="I419:L419"/>
    <mergeCell ref="M419:P419"/>
    <mergeCell ref="Q419:T419"/>
    <mergeCell ref="U419:X419"/>
    <mergeCell ref="Y419:AB419"/>
    <mergeCell ref="AC418:AF418"/>
    <mergeCell ref="AG418:AJ418"/>
    <mergeCell ref="AK418:AN418"/>
    <mergeCell ref="AO418:AR418"/>
    <mergeCell ref="AS418:AV418"/>
    <mergeCell ref="AW418:AZ418"/>
    <mergeCell ref="E418:H418"/>
    <mergeCell ref="I418:L418"/>
    <mergeCell ref="M418:P418"/>
    <mergeCell ref="Q418:T418"/>
    <mergeCell ref="U418:X418"/>
    <mergeCell ref="Y418:AB418"/>
    <mergeCell ref="AC421:AF421"/>
    <mergeCell ref="AG421:AJ421"/>
    <mergeCell ref="AK421:AN421"/>
    <mergeCell ref="AO421:AR421"/>
    <mergeCell ref="AS421:AV421"/>
    <mergeCell ref="AW421:AZ421"/>
    <mergeCell ref="E421:H421"/>
    <mergeCell ref="I421:L421"/>
    <mergeCell ref="M421:P421"/>
    <mergeCell ref="Q421:T421"/>
    <mergeCell ref="U421:X421"/>
    <mergeCell ref="Y421:AB421"/>
    <mergeCell ref="AC420:AF420"/>
    <mergeCell ref="AG420:AJ420"/>
    <mergeCell ref="AK420:AN420"/>
    <mergeCell ref="AO420:AR420"/>
    <mergeCell ref="AS420:AV420"/>
    <mergeCell ref="AW420:AZ420"/>
    <mergeCell ref="E420:H420"/>
    <mergeCell ref="I420:L420"/>
    <mergeCell ref="M420:P420"/>
    <mergeCell ref="Q420:T420"/>
    <mergeCell ref="U420:X420"/>
    <mergeCell ref="Y420:AB420"/>
    <mergeCell ref="AC423:AF423"/>
    <mergeCell ref="AG423:AJ423"/>
    <mergeCell ref="AK423:AN423"/>
    <mergeCell ref="AO423:AR423"/>
    <mergeCell ref="AS423:AV423"/>
    <mergeCell ref="AW423:AZ423"/>
    <mergeCell ref="E423:H423"/>
    <mergeCell ref="I423:L423"/>
    <mergeCell ref="M423:P423"/>
    <mergeCell ref="Q423:T423"/>
    <mergeCell ref="U423:X423"/>
    <mergeCell ref="Y423:AB423"/>
    <mergeCell ref="AC422:AF422"/>
    <mergeCell ref="AG422:AJ422"/>
    <mergeCell ref="AK422:AN422"/>
    <mergeCell ref="AO422:AR422"/>
    <mergeCell ref="AS422:AV422"/>
    <mergeCell ref="AW422:AZ422"/>
    <mergeCell ref="E422:H422"/>
    <mergeCell ref="I422:L422"/>
    <mergeCell ref="M422:P422"/>
    <mergeCell ref="Q422:T422"/>
    <mergeCell ref="U422:X422"/>
    <mergeCell ref="Y422:AB422"/>
    <mergeCell ref="AC425:AF425"/>
    <mergeCell ref="AG425:AJ425"/>
    <mergeCell ref="AK425:AN425"/>
    <mergeCell ref="AO425:AR425"/>
    <mergeCell ref="AS425:AV425"/>
    <mergeCell ref="AW425:AZ425"/>
    <mergeCell ref="E425:H425"/>
    <mergeCell ref="I425:L425"/>
    <mergeCell ref="M425:P425"/>
    <mergeCell ref="Q425:T425"/>
    <mergeCell ref="U425:X425"/>
    <mergeCell ref="Y425:AB425"/>
    <mergeCell ref="AC424:AF424"/>
    <mergeCell ref="AG424:AJ424"/>
    <mergeCell ref="AK424:AN424"/>
    <mergeCell ref="AO424:AR424"/>
    <mergeCell ref="AS424:AV424"/>
    <mergeCell ref="AW424:AZ424"/>
    <mergeCell ref="E424:H424"/>
    <mergeCell ref="I424:L424"/>
    <mergeCell ref="M424:P424"/>
    <mergeCell ref="Q424:T424"/>
    <mergeCell ref="U424:X424"/>
    <mergeCell ref="Y424:AB424"/>
    <mergeCell ref="AC427:AF427"/>
    <mergeCell ref="AG427:AJ427"/>
    <mergeCell ref="AK427:AN427"/>
    <mergeCell ref="AO427:AR427"/>
    <mergeCell ref="AS427:AV427"/>
    <mergeCell ref="AW427:AZ427"/>
    <mergeCell ref="E427:H427"/>
    <mergeCell ref="I427:L427"/>
    <mergeCell ref="M427:P427"/>
    <mergeCell ref="Q427:T427"/>
    <mergeCell ref="U427:X427"/>
    <mergeCell ref="Y427:AB427"/>
    <mergeCell ref="AC426:AF426"/>
    <mergeCell ref="AG426:AJ426"/>
    <mergeCell ref="AK426:AN426"/>
    <mergeCell ref="AO426:AR426"/>
    <mergeCell ref="AS426:AV426"/>
    <mergeCell ref="AW426:AZ426"/>
    <mergeCell ref="E426:H426"/>
    <mergeCell ref="I426:L426"/>
    <mergeCell ref="M426:P426"/>
    <mergeCell ref="Q426:T426"/>
    <mergeCell ref="U426:X426"/>
    <mergeCell ref="Y426:AB426"/>
    <mergeCell ref="AC429:AF429"/>
    <mergeCell ref="AG429:AJ429"/>
    <mergeCell ref="AK429:AN429"/>
    <mergeCell ref="AO429:AR429"/>
    <mergeCell ref="AS429:AV429"/>
    <mergeCell ref="AW429:AZ429"/>
    <mergeCell ref="E429:H429"/>
    <mergeCell ref="I429:L429"/>
    <mergeCell ref="M429:P429"/>
    <mergeCell ref="Q429:T429"/>
    <mergeCell ref="U429:X429"/>
    <mergeCell ref="Y429:AB429"/>
    <mergeCell ref="AC428:AF428"/>
    <mergeCell ref="AG428:AJ428"/>
    <mergeCell ref="AK428:AN428"/>
    <mergeCell ref="AO428:AR428"/>
    <mergeCell ref="AS428:AV428"/>
    <mergeCell ref="AW428:AZ428"/>
    <mergeCell ref="E428:H428"/>
    <mergeCell ref="I428:L428"/>
    <mergeCell ref="M428:P428"/>
    <mergeCell ref="Q428:T428"/>
    <mergeCell ref="U428:X428"/>
    <mergeCell ref="Y428:AB428"/>
    <mergeCell ref="AC431:AF431"/>
    <mergeCell ref="AG431:AJ431"/>
    <mergeCell ref="AK431:AN431"/>
    <mergeCell ref="AO431:AR431"/>
    <mergeCell ref="AS431:AV431"/>
    <mergeCell ref="AW431:AZ431"/>
    <mergeCell ref="E431:H431"/>
    <mergeCell ref="I431:L431"/>
    <mergeCell ref="M431:P431"/>
    <mergeCell ref="Q431:T431"/>
    <mergeCell ref="U431:X431"/>
    <mergeCell ref="Y431:AB431"/>
    <mergeCell ref="AC430:AF430"/>
    <mergeCell ref="AG430:AJ430"/>
    <mergeCell ref="AK430:AN430"/>
    <mergeCell ref="AO430:AR430"/>
    <mergeCell ref="AS430:AV430"/>
    <mergeCell ref="AW430:AZ430"/>
    <mergeCell ref="E430:H430"/>
    <mergeCell ref="I430:L430"/>
    <mergeCell ref="M430:P430"/>
    <mergeCell ref="Q430:T430"/>
    <mergeCell ref="U430:X430"/>
    <mergeCell ref="Y430:AB430"/>
    <mergeCell ref="AC433:AF433"/>
    <mergeCell ref="AG433:AJ433"/>
    <mergeCell ref="AK433:AN433"/>
    <mergeCell ref="AO433:AR433"/>
    <mergeCell ref="AS433:AV433"/>
    <mergeCell ref="AW433:AZ433"/>
    <mergeCell ref="E433:H433"/>
    <mergeCell ref="I433:L433"/>
    <mergeCell ref="M433:P433"/>
    <mergeCell ref="Q433:T433"/>
    <mergeCell ref="U433:X433"/>
    <mergeCell ref="Y433:AB433"/>
    <mergeCell ref="AC432:AF432"/>
    <mergeCell ref="AG432:AJ432"/>
    <mergeCell ref="AK432:AN432"/>
    <mergeCell ref="AO432:AR432"/>
    <mergeCell ref="AS432:AV432"/>
    <mergeCell ref="AW432:AZ432"/>
    <mergeCell ref="E432:H432"/>
    <mergeCell ref="I432:L432"/>
    <mergeCell ref="M432:P432"/>
    <mergeCell ref="Q432:T432"/>
    <mergeCell ref="U432:X432"/>
    <mergeCell ref="Y432:AB432"/>
    <mergeCell ref="AC435:AF435"/>
    <mergeCell ref="AG435:AJ435"/>
    <mergeCell ref="AK435:AN435"/>
    <mergeCell ref="AO435:AR435"/>
    <mergeCell ref="AS435:AV435"/>
    <mergeCell ref="AW435:AZ435"/>
    <mergeCell ref="E435:H435"/>
    <mergeCell ref="I435:L435"/>
    <mergeCell ref="M435:P435"/>
    <mergeCell ref="Q435:T435"/>
    <mergeCell ref="U435:X435"/>
    <mergeCell ref="Y435:AB435"/>
    <mergeCell ref="AC434:AF434"/>
    <mergeCell ref="AG434:AJ434"/>
    <mergeCell ref="AK434:AN434"/>
    <mergeCell ref="AO434:AR434"/>
    <mergeCell ref="AS434:AV434"/>
    <mergeCell ref="AW434:AZ434"/>
    <mergeCell ref="E434:H434"/>
    <mergeCell ref="I434:L434"/>
    <mergeCell ref="M434:P434"/>
    <mergeCell ref="Q434:T434"/>
    <mergeCell ref="U434:X434"/>
    <mergeCell ref="Y434:AB434"/>
    <mergeCell ref="AC437:AF437"/>
    <mergeCell ref="AG437:AJ437"/>
    <mergeCell ref="AK437:AN437"/>
    <mergeCell ref="AO437:AR437"/>
    <mergeCell ref="AS437:AV437"/>
    <mergeCell ref="AW437:AZ437"/>
    <mergeCell ref="E437:H437"/>
    <mergeCell ref="I437:L437"/>
    <mergeCell ref="M437:P437"/>
    <mergeCell ref="Q437:T437"/>
    <mergeCell ref="U437:X437"/>
    <mergeCell ref="Y437:AB437"/>
    <mergeCell ref="AC436:AF436"/>
    <mergeCell ref="AG436:AJ436"/>
    <mergeCell ref="AK436:AN436"/>
    <mergeCell ref="AO436:AR436"/>
    <mergeCell ref="AS436:AV436"/>
    <mergeCell ref="AW436:AZ436"/>
    <mergeCell ref="E436:H436"/>
    <mergeCell ref="I436:L436"/>
    <mergeCell ref="M436:P436"/>
    <mergeCell ref="Q436:T436"/>
    <mergeCell ref="U436:X436"/>
    <mergeCell ref="Y436:AB436"/>
    <mergeCell ref="AC439:AF439"/>
    <mergeCell ref="AG439:AJ439"/>
    <mergeCell ref="AK439:AN439"/>
    <mergeCell ref="AO439:AR439"/>
    <mergeCell ref="AS439:AV439"/>
    <mergeCell ref="AW439:AZ439"/>
    <mergeCell ref="E439:H439"/>
    <mergeCell ref="I439:L439"/>
    <mergeCell ref="M439:P439"/>
    <mergeCell ref="Q439:T439"/>
    <mergeCell ref="U439:X439"/>
    <mergeCell ref="Y439:AB439"/>
    <mergeCell ref="AC438:AF438"/>
    <mergeCell ref="AG438:AJ438"/>
    <mergeCell ref="AK438:AN438"/>
    <mergeCell ref="AO438:AR438"/>
    <mergeCell ref="AS438:AV438"/>
    <mergeCell ref="AW438:AZ438"/>
    <mergeCell ref="E438:H438"/>
    <mergeCell ref="I438:L438"/>
    <mergeCell ref="M438:P438"/>
    <mergeCell ref="Q438:T438"/>
    <mergeCell ref="U438:X438"/>
    <mergeCell ref="Y438:AB438"/>
    <mergeCell ref="AC441:AF441"/>
    <mergeCell ref="AG441:AJ441"/>
    <mergeCell ref="AK441:AN441"/>
    <mergeCell ref="AO441:AR441"/>
    <mergeCell ref="AS441:AV441"/>
    <mergeCell ref="AW441:AZ441"/>
    <mergeCell ref="E441:H441"/>
    <mergeCell ref="I441:L441"/>
    <mergeCell ref="M441:P441"/>
    <mergeCell ref="Q441:T441"/>
    <mergeCell ref="U441:X441"/>
    <mergeCell ref="Y441:AB441"/>
    <mergeCell ref="AC440:AF440"/>
    <mergeCell ref="AG440:AJ440"/>
    <mergeCell ref="AK440:AN440"/>
    <mergeCell ref="AO440:AR440"/>
    <mergeCell ref="AS440:AV440"/>
    <mergeCell ref="AW440:AZ440"/>
    <mergeCell ref="E440:H440"/>
    <mergeCell ref="I440:L440"/>
    <mergeCell ref="M440:P440"/>
    <mergeCell ref="Q440:T440"/>
    <mergeCell ref="U440:X440"/>
    <mergeCell ref="Y440:AB440"/>
    <mergeCell ref="AC443:AF443"/>
    <mergeCell ref="AG443:AJ443"/>
    <mergeCell ref="AK443:AN443"/>
    <mergeCell ref="AO443:AR443"/>
    <mergeCell ref="AS443:AV443"/>
    <mergeCell ref="AW443:AZ443"/>
    <mergeCell ref="E443:H443"/>
    <mergeCell ref="I443:L443"/>
    <mergeCell ref="M443:P443"/>
    <mergeCell ref="Q443:T443"/>
    <mergeCell ref="U443:X443"/>
    <mergeCell ref="Y443:AB443"/>
    <mergeCell ref="AC442:AF442"/>
    <mergeCell ref="AG442:AJ442"/>
    <mergeCell ref="AK442:AN442"/>
    <mergeCell ref="AO442:AR442"/>
    <mergeCell ref="AS442:AV442"/>
    <mergeCell ref="AW442:AZ442"/>
    <mergeCell ref="E442:H442"/>
    <mergeCell ref="I442:L442"/>
    <mergeCell ref="M442:P442"/>
    <mergeCell ref="Q442:T442"/>
    <mergeCell ref="U442:X442"/>
    <mergeCell ref="Y442:AB442"/>
    <mergeCell ref="AC445:AF445"/>
    <mergeCell ref="AG445:AJ445"/>
    <mergeCell ref="AK445:AN445"/>
    <mergeCell ref="AO445:AR445"/>
    <mergeCell ref="AS445:AV445"/>
    <mergeCell ref="AW445:AZ445"/>
    <mergeCell ref="E445:H445"/>
    <mergeCell ref="I445:L445"/>
    <mergeCell ref="M445:P445"/>
    <mergeCell ref="Q445:T445"/>
    <mergeCell ref="U445:X445"/>
    <mergeCell ref="Y445:AB445"/>
    <mergeCell ref="AC444:AF444"/>
    <mergeCell ref="AG444:AJ444"/>
    <mergeCell ref="AK444:AN444"/>
    <mergeCell ref="AO444:AR444"/>
    <mergeCell ref="AS444:AV444"/>
    <mergeCell ref="AW444:AZ444"/>
    <mergeCell ref="E444:H444"/>
    <mergeCell ref="I444:L444"/>
    <mergeCell ref="M444:P444"/>
    <mergeCell ref="Q444:T444"/>
    <mergeCell ref="U444:X444"/>
    <mergeCell ref="Y444:AB444"/>
    <mergeCell ref="AC447:AF447"/>
    <mergeCell ref="AG447:AJ447"/>
    <mergeCell ref="AK447:AN447"/>
    <mergeCell ref="AO447:AR447"/>
    <mergeCell ref="AS447:AV447"/>
    <mergeCell ref="AW447:AZ447"/>
    <mergeCell ref="E447:H447"/>
    <mergeCell ref="I447:L447"/>
    <mergeCell ref="M447:P447"/>
    <mergeCell ref="Q447:T447"/>
    <mergeCell ref="U447:X447"/>
    <mergeCell ref="Y447:AB447"/>
    <mergeCell ref="AC446:AF446"/>
    <mergeCell ref="AG446:AJ446"/>
    <mergeCell ref="AK446:AN446"/>
    <mergeCell ref="AO446:AR446"/>
    <mergeCell ref="AS446:AV446"/>
    <mergeCell ref="AW446:AZ446"/>
    <mergeCell ref="E446:H446"/>
    <mergeCell ref="I446:L446"/>
    <mergeCell ref="M446:P446"/>
    <mergeCell ref="Q446:T446"/>
    <mergeCell ref="U446:X446"/>
    <mergeCell ref="Y446:AB446"/>
    <mergeCell ref="AC449:AF449"/>
    <mergeCell ref="AG449:AJ449"/>
    <mergeCell ref="AK449:AN449"/>
    <mergeCell ref="AO449:AR449"/>
    <mergeCell ref="AS449:AV449"/>
    <mergeCell ref="AW449:AZ449"/>
    <mergeCell ref="E449:H449"/>
    <mergeCell ref="I449:L449"/>
    <mergeCell ref="M449:P449"/>
    <mergeCell ref="Q449:T449"/>
    <mergeCell ref="U449:X449"/>
    <mergeCell ref="Y449:AB449"/>
    <mergeCell ref="AC448:AF448"/>
    <mergeCell ref="AG448:AJ448"/>
    <mergeCell ref="AK448:AN448"/>
    <mergeCell ref="AO448:AR448"/>
    <mergeCell ref="AS448:AV448"/>
    <mergeCell ref="AW448:AZ448"/>
    <mergeCell ref="E448:H448"/>
    <mergeCell ref="I448:L448"/>
    <mergeCell ref="M448:P448"/>
    <mergeCell ref="Q448:T448"/>
    <mergeCell ref="U448:X448"/>
    <mergeCell ref="Y448:AB448"/>
    <mergeCell ref="AC451:AF451"/>
    <mergeCell ref="AG451:AJ451"/>
    <mergeCell ref="AK451:AN451"/>
    <mergeCell ref="AO451:AR451"/>
    <mergeCell ref="AS451:AV451"/>
    <mergeCell ref="AW451:AZ451"/>
    <mergeCell ref="E451:H451"/>
    <mergeCell ref="I451:L451"/>
    <mergeCell ref="M451:P451"/>
    <mergeCell ref="Q451:T451"/>
    <mergeCell ref="U451:X451"/>
    <mergeCell ref="Y451:AB451"/>
    <mergeCell ref="AC450:AF450"/>
    <mergeCell ref="AG450:AJ450"/>
    <mergeCell ref="AK450:AN450"/>
    <mergeCell ref="AO450:AR450"/>
    <mergeCell ref="AS450:AV450"/>
    <mergeCell ref="AW450:AZ450"/>
    <mergeCell ref="E450:H450"/>
    <mergeCell ref="I450:L450"/>
    <mergeCell ref="M450:P450"/>
    <mergeCell ref="Q450:T450"/>
    <mergeCell ref="U450:X450"/>
    <mergeCell ref="Y450:AB450"/>
    <mergeCell ref="AC453:AF453"/>
    <mergeCell ref="AG453:AJ453"/>
    <mergeCell ref="AK453:AN453"/>
    <mergeCell ref="AO453:AR453"/>
    <mergeCell ref="AS453:AV453"/>
    <mergeCell ref="AW453:AZ453"/>
    <mergeCell ref="E453:H453"/>
    <mergeCell ref="I453:L453"/>
    <mergeCell ref="M453:P453"/>
    <mergeCell ref="Q453:T453"/>
    <mergeCell ref="U453:X453"/>
    <mergeCell ref="Y453:AB453"/>
    <mergeCell ref="AC452:AF452"/>
    <mergeCell ref="AG452:AJ452"/>
    <mergeCell ref="AK452:AN452"/>
    <mergeCell ref="AO452:AR452"/>
    <mergeCell ref="AS452:AV452"/>
    <mergeCell ref="AW452:AZ452"/>
    <mergeCell ref="E452:H452"/>
    <mergeCell ref="I452:L452"/>
    <mergeCell ref="M452:P452"/>
    <mergeCell ref="Q452:T452"/>
    <mergeCell ref="U452:X452"/>
    <mergeCell ref="Y452:AB452"/>
    <mergeCell ref="AC455:AF455"/>
    <mergeCell ref="AG455:AJ455"/>
    <mergeCell ref="AK455:AN455"/>
    <mergeCell ref="AO455:AR455"/>
    <mergeCell ref="AS455:AV455"/>
    <mergeCell ref="AW455:AZ455"/>
    <mergeCell ref="E455:H455"/>
    <mergeCell ref="I455:L455"/>
    <mergeCell ref="M455:P455"/>
    <mergeCell ref="Q455:T455"/>
    <mergeCell ref="U455:X455"/>
    <mergeCell ref="Y455:AB455"/>
    <mergeCell ref="AC454:AF454"/>
    <mergeCell ref="AG454:AJ454"/>
    <mergeCell ref="AK454:AN454"/>
    <mergeCell ref="AO454:AR454"/>
    <mergeCell ref="AS454:AV454"/>
    <mergeCell ref="AW454:AZ454"/>
    <mergeCell ref="E454:H454"/>
    <mergeCell ref="I454:L454"/>
    <mergeCell ref="M454:P454"/>
    <mergeCell ref="Q454:T454"/>
    <mergeCell ref="U454:X454"/>
    <mergeCell ref="Y454:AB454"/>
    <mergeCell ref="AC457:AF457"/>
    <mergeCell ref="AG457:AJ457"/>
    <mergeCell ref="AK457:AN457"/>
    <mergeCell ref="AO457:AR457"/>
    <mergeCell ref="AS457:AV457"/>
    <mergeCell ref="AW457:AZ457"/>
    <mergeCell ref="E457:H457"/>
    <mergeCell ref="I457:L457"/>
    <mergeCell ref="M457:P457"/>
    <mergeCell ref="Q457:T457"/>
    <mergeCell ref="U457:X457"/>
    <mergeCell ref="Y457:AB457"/>
    <mergeCell ref="AC456:AF456"/>
    <mergeCell ref="AG456:AJ456"/>
    <mergeCell ref="AK456:AN456"/>
    <mergeCell ref="AO456:AR456"/>
    <mergeCell ref="AS456:AV456"/>
    <mergeCell ref="AW456:AZ456"/>
    <mergeCell ref="E456:H456"/>
    <mergeCell ref="I456:L456"/>
    <mergeCell ref="M456:P456"/>
    <mergeCell ref="Q456:T456"/>
    <mergeCell ref="U456:X456"/>
    <mergeCell ref="Y456:AB456"/>
    <mergeCell ref="AC459:AF459"/>
    <mergeCell ref="AG459:AJ459"/>
    <mergeCell ref="AK459:AN459"/>
    <mergeCell ref="AO459:AR459"/>
    <mergeCell ref="AS459:AV459"/>
    <mergeCell ref="AW459:AZ459"/>
    <mergeCell ref="E459:H459"/>
    <mergeCell ref="I459:L459"/>
    <mergeCell ref="M459:P459"/>
    <mergeCell ref="Q459:T459"/>
    <mergeCell ref="U459:X459"/>
    <mergeCell ref="Y459:AB459"/>
    <mergeCell ref="AC458:AF458"/>
    <mergeCell ref="AG458:AJ458"/>
    <mergeCell ref="AK458:AN458"/>
    <mergeCell ref="AO458:AR458"/>
    <mergeCell ref="AS458:AV458"/>
    <mergeCell ref="AW458:AZ458"/>
    <mergeCell ref="E458:H458"/>
    <mergeCell ref="I458:L458"/>
    <mergeCell ref="M458:P458"/>
    <mergeCell ref="Q458:T458"/>
    <mergeCell ref="U458:X458"/>
    <mergeCell ref="Y458:AB458"/>
    <mergeCell ref="AC461:AF461"/>
    <mergeCell ref="AG461:AJ461"/>
    <mergeCell ref="AK461:AN461"/>
    <mergeCell ref="AO461:AR461"/>
    <mergeCell ref="AS461:AV461"/>
    <mergeCell ref="AW461:AZ461"/>
    <mergeCell ref="E461:H461"/>
    <mergeCell ref="I461:L461"/>
    <mergeCell ref="M461:P461"/>
    <mergeCell ref="Q461:T461"/>
    <mergeCell ref="U461:X461"/>
    <mergeCell ref="Y461:AB461"/>
    <mergeCell ref="AC460:AF460"/>
    <mergeCell ref="AG460:AJ460"/>
    <mergeCell ref="AK460:AN460"/>
    <mergeCell ref="AO460:AR460"/>
    <mergeCell ref="AS460:AV460"/>
    <mergeCell ref="AW460:AZ460"/>
    <mergeCell ref="E460:H460"/>
    <mergeCell ref="I460:L460"/>
    <mergeCell ref="M460:P460"/>
    <mergeCell ref="Q460:T460"/>
    <mergeCell ref="U460:X460"/>
    <mergeCell ref="Y460:AB460"/>
    <mergeCell ref="AC463:AF463"/>
    <mergeCell ref="AG463:AJ463"/>
    <mergeCell ref="AK463:AN463"/>
    <mergeCell ref="AO463:AR463"/>
    <mergeCell ref="AS463:AV463"/>
    <mergeCell ref="AW463:AZ463"/>
    <mergeCell ref="E463:H463"/>
    <mergeCell ref="I463:L463"/>
    <mergeCell ref="M463:P463"/>
    <mergeCell ref="Q463:T463"/>
    <mergeCell ref="U463:X463"/>
    <mergeCell ref="Y463:AB463"/>
    <mergeCell ref="AC462:AF462"/>
    <mergeCell ref="AG462:AJ462"/>
    <mergeCell ref="AK462:AN462"/>
    <mergeCell ref="AO462:AR462"/>
    <mergeCell ref="AS462:AV462"/>
    <mergeCell ref="AW462:AZ462"/>
    <mergeCell ref="E462:H462"/>
    <mergeCell ref="I462:L462"/>
    <mergeCell ref="M462:P462"/>
    <mergeCell ref="Q462:T462"/>
    <mergeCell ref="U462:X462"/>
    <mergeCell ref="Y462:AB462"/>
    <mergeCell ref="AC465:AF465"/>
    <mergeCell ref="AG465:AJ465"/>
    <mergeCell ref="AK465:AN465"/>
    <mergeCell ref="AO465:AR465"/>
    <mergeCell ref="AS465:AV465"/>
    <mergeCell ref="AW465:AZ465"/>
    <mergeCell ref="E465:H465"/>
    <mergeCell ref="I465:L465"/>
    <mergeCell ref="M465:P465"/>
    <mergeCell ref="Q465:T465"/>
    <mergeCell ref="U465:X465"/>
    <mergeCell ref="Y465:AB465"/>
    <mergeCell ref="AC464:AF464"/>
    <mergeCell ref="AG464:AJ464"/>
    <mergeCell ref="AK464:AN464"/>
    <mergeCell ref="AO464:AR464"/>
    <mergeCell ref="AS464:AV464"/>
    <mergeCell ref="AW464:AZ464"/>
    <mergeCell ref="E464:H464"/>
    <mergeCell ref="I464:L464"/>
    <mergeCell ref="M464:P464"/>
    <mergeCell ref="Q464:T464"/>
    <mergeCell ref="U464:X464"/>
    <mergeCell ref="Y464:AB464"/>
    <mergeCell ref="AC467:AF467"/>
    <mergeCell ref="AG467:AJ467"/>
    <mergeCell ref="AK467:AN467"/>
    <mergeCell ref="AO467:AR467"/>
    <mergeCell ref="AS467:AV467"/>
    <mergeCell ref="AW467:AZ467"/>
    <mergeCell ref="E467:H467"/>
    <mergeCell ref="I467:L467"/>
    <mergeCell ref="M467:P467"/>
    <mergeCell ref="Q467:T467"/>
    <mergeCell ref="U467:X467"/>
    <mergeCell ref="Y467:AB467"/>
    <mergeCell ref="AC466:AF466"/>
    <mergeCell ref="AG466:AJ466"/>
    <mergeCell ref="AK466:AN466"/>
    <mergeCell ref="AO466:AR466"/>
    <mergeCell ref="AS466:AV466"/>
    <mergeCell ref="AW466:AZ466"/>
    <mergeCell ref="E466:H466"/>
    <mergeCell ref="I466:L466"/>
    <mergeCell ref="M466:P466"/>
    <mergeCell ref="Q466:T466"/>
    <mergeCell ref="U466:X466"/>
    <mergeCell ref="Y466:AB466"/>
    <mergeCell ref="AC469:AF469"/>
    <mergeCell ref="AG469:AJ469"/>
    <mergeCell ref="AK469:AN469"/>
    <mergeCell ref="AO469:AR469"/>
    <mergeCell ref="AS469:AV469"/>
    <mergeCell ref="AW469:AZ469"/>
    <mergeCell ref="E469:H469"/>
    <mergeCell ref="I469:L469"/>
    <mergeCell ref="M469:P469"/>
    <mergeCell ref="Q469:T469"/>
    <mergeCell ref="U469:X469"/>
    <mergeCell ref="Y469:AB469"/>
    <mergeCell ref="AC468:AF468"/>
    <mergeCell ref="AG468:AJ468"/>
    <mergeCell ref="AK468:AN468"/>
    <mergeCell ref="AO468:AR468"/>
    <mergeCell ref="AS468:AV468"/>
    <mergeCell ref="AW468:AZ468"/>
    <mergeCell ref="E468:H468"/>
    <mergeCell ref="I468:L468"/>
    <mergeCell ref="M468:P468"/>
    <mergeCell ref="Q468:T468"/>
    <mergeCell ref="U468:X468"/>
    <mergeCell ref="Y468:AB468"/>
    <mergeCell ref="AC471:AF471"/>
    <mergeCell ref="AG471:AJ471"/>
    <mergeCell ref="AK471:AN471"/>
    <mergeCell ref="AO471:AR471"/>
    <mergeCell ref="AS471:AV471"/>
    <mergeCell ref="AW471:AZ471"/>
    <mergeCell ref="E471:H471"/>
    <mergeCell ref="I471:L471"/>
    <mergeCell ref="M471:P471"/>
    <mergeCell ref="Q471:T471"/>
    <mergeCell ref="U471:X471"/>
    <mergeCell ref="Y471:AB471"/>
    <mergeCell ref="AC470:AF470"/>
    <mergeCell ref="AG470:AJ470"/>
    <mergeCell ref="AK470:AN470"/>
    <mergeCell ref="AO470:AR470"/>
    <mergeCell ref="AS470:AV470"/>
    <mergeCell ref="AW470:AZ470"/>
    <mergeCell ref="E470:H470"/>
    <mergeCell ref="I470:L470"/>
    <mergeCell ref="M470:P470"/>
    <mergeCell ref="Q470:T470"/>
    <mergeCell ref="U470:X470"/>
    <mergeCell ref="Y470:AB470"/>
    <mergeCell ref="AC473:AF473"/>
    <mergeCell ref="AG473:AJ473"/>
    <mergeCell ref="AK473:AN473"/>
    <mergeCell ref="AO473:AR473"/>
    <mergeCell ref="AS473:AV473"/>
    <mergeCell ref="AW473:AZ473"/>
    <mergeCell ref="E473:H473"/>
    <mergeCell ref="I473:L473"/>
    <mergeCell ref="M473:P473"/>
    <mergeCell ref="Q473:T473"/>
    <mergeCell ref="U473:X473"/>
    <mergeCell ref="Y473:AB473"/>
    <mergeCell ref="AC472:AF472"/>
    <mergeCell ref="AG472:AJ472"/>
    <mergeCell ref="AK472:AN472"/>
    <mergeCell ref="AO472:AR472"/>
    <mergeCell ref="AS472:AV472"/>
    <mergeCell ref="AW472:AZ472"/>
    <mergeCell ref="E472:H472"/>
    <mergeCell ref="I472:L472"/>
    <mergeCell ref="M472:P472"/>
    <mergeCell ref="Q472:T472"/>
    <mergeCell ref="U472:X472"/>
    <mergeCell ref="Y472:AB472"/>
    <mergeCell ref="AC475:AF475"/>
    <mergeCell ref="AG475:AJ475"/>
    <mergeCell ref="AK475:AN475"/>
    <mergeCell ref="AO475:AR475"/>
    <mergeCell ref="AS475:AV475"/>
    <mergeCell ref="AW475:AZ475"/>
    <mergeCell ref="E475:H475"/>
    <mergeCell ref="I475:L475"/>
    <mergeCell ref="M475:P475"/>
    <mergeCell ref="Q475:T475"/>
    <mergeCell ref="U475:X475"/>
    <mergeCell ref="Y475:AB475"/>
    <mergeCell ref="AC474:AF474"/>
    <mergeCell ref="AG474:AJ474"/>
    <mergeCell ref="AK474:AN474"/>
    <mergeCell ref="AO474:AR474"/>
    <mergeCell ref="AS474:AV474"/>
    <mergeCell ref="AW474:AZ474"/>
    <mergeCell ref="E474:H474"/>
    <mergeCell ref="I474:L474"/>
    <mergeCell ref="M474:P474"/>
    <mergeCell ref="Q474:T474"/>
    <mergeCell ref="U474:X474"/>
    <mergeCell ref="Y474:AB474"/>
    <mergeCell ref="AC477:AF477"/>
    <mergeCell ref="AG477:AJ477"/>
    <mergeCell ref="AK477:AN477"/>
    <mergeCell ref="AO477:AR477"/>
    <mergeCell ref="AS477:AV477"/>
    <mergeCell ref="AW477:AZ477"/>
    <mergeCell ref="E477:H477"/>
    <mergeCell ref="I477:L477"/>
    <mergeCell ref="M477:P477"/>
    <mergeCell ref="Q477:T477"/>
    <mergeCell ref="U477:X477"/>
    <mergeCell ref="Y477:AB477"/>
    <mergeCell ref="AC476:AF476"/>
    <mergeCell ref="AG476:AJ476"/>
    <mergeCell ref="AK476:AN476"/>
    <mergeCell ref="AO476:AR476"/>
    <mergeCell ref="AS476:AV476"/>
    <mergeCell ref="AW476:AZ476"/>
    <mergeCell ref="E476:H476"/>
    <mergeCell ref="I476:L476"/>
    <mergeCell ref="M476:P476"/>
    <mergeCell ref="Q476:T476"/>
    <mergeCell ref="U476:X476"/>
    <mergeCell ref="Y476:AB476"/>
    <mergeCell ref="AC479:AF479"/>
    <mergeCell ref="AG479:AJ479"/>
    <mergeCell ref="AK479:AN479"/>
    <mergeCell ref="AO479:AR479"/>
    <mergeCell ref="AS479:AV479"/>
    <mergeCell ref="AW479:AZ479"/>
    <mergeCell ref="E479:H479"/>
    <mergeCell ref="I479:L479"/>
    <mergeCell ref="M479:P479"/>
    <mergeCell ref="Q479:T479"/>
    <mergeCell ref="U479:X479"/>
    <mergeCell ref="Y479:AB479"/>
    <mergeCell ref="AC478:AF478"/>
    <mergeCell ref="AG478:AJ478"/>
    <mergeCell ref="AK478:AN478"/>
    <mergeCell ref="AO478:AR478"/>
    <mergeCell ref="AS478:AV478"/>
    <mergeCell ref="AW478:AZ478"/>
    <mergeCell ref="E478:H478"/>
    <mergeCell ref="I478:L478"/>
    <mergeCell ref="M478:P478"/>
    <mergeCell ref="Q478:T478"/>
    <mergeCell ref="U478:X478"/>
    <mergeCell ref="Y478:AB478"/>
    <mergeCell ref="AC481:AF481"/>
    <mergeCell ref="AG481:AJ481"/>
    <mergeCell ref="AK481:AN481"/>
    <mergeCell ref="AO481:AR481"/>
    <mergeCell ref="AS481:AV481"/>
    <mergeCell ref="AW481:AZ481"/>
    <mergeCell ref="E481:H481"/>
    <mergeCell ref="I481:L481"/>
    <mergeCell ref="M481:P481"/>
    <mergeCell ref="Q481:T481"/>
    <mergeCell ref="U481:X481"/>
    <mergeCell ref="Y481:AB481"/>
    <mergeCell ref="AC480:AF480"/>
    <mergeCell ref="AG480:AJ480"/>
    <mergeCell ref="AK480:AN480"/>
    <mergeCell ref="AO480:AR480"/>
    <mergeCell ref="AS480:AV480"/>
    <mergeCell ref="AW480:AZ480"/>
    <mergeCell ref="E480:H480"/>
    <mergeCell ref="I480:L480"/>
    <mergeCell ref="M480:P480"/>
    <mergeCell ref="Q480:T480"/>
    <mergeCell ref="U480:X480"/>
    <mergeCell ref="Y480:AB480"/>
    <mergeCell ref="AC483:AF483"/>
    <mergeCell ref="AG483:AJ483"/>
    <mergeCell ref="AK483:AN483"/>
    <mergeCell ref="AO483:AR483"/>
    <mergeCell ref="AS483:AV483"/>
    <mergeCell ref="AW483:AZ483"/>
    <mergeCell ref="E483:H483"/>
    <mergeCell ref="I483:L483"/>
    <mergeCell ref="M483:P483"/>
    <mergeCell ref="Q483:T483"/>
    <mergeCell ref="U483:X483"/>
    <mergeCell ref="Y483:AB483"/>
    <mergeCell ref="AC482:AF482"/>
    <mergeCell ref="AG482:AJ482"/>
    <mergeCell ref="AK482:AN482"/>
    <mergeCell ref="AO482:AR482"/>
    <mergeCell ref="AS482:AV482"/>
    <mergeCell ref="AW482:AZ482"/>
    <mergeCell ref="E482:H482"/>
    <mergeCell ref="I482:L482"/>
    <mergeCell ref="M482:P482"/>
    <mergeCell ref="Q482:T482"/>
    <mergeCell ref="U482:X482"/>
    <mergeCell ref="Y482:AB482"/>
    <mergeCell ref="AC485:AF485"/>
    <mergeCell ref="AG485:AJ485"/>
    <mergeCell ref="AK485:AN485"/>
    <mergeCell ref="AO485:AR485"/>
    <mergeCell ref="AS485:AV485"/>
    <mergeCell ref="AW485:AZ485"/>
    <mergeCell ref="E485:H485"/>
    <mergeCell ref="I485:L485"/>
    <mergeCell ref="M485:P485"/>
    <mergeCell ref="Q485:T485"/>
    <mergeCell ref="U485:X485"/>
    <mergeCell ref="Y485:AB485"/>
    <mergeCell ref="AC484:AF484"/>
    <mergeCell ref="AG484:AJ484"/>
    <mergeCell ref="AK484:AN484"/>
    <mergeCell ref="AO484:AR484"/>
    <mergeCell ref="AS484:AV484"/>
    <mergeCell ref="AW484:AZ484"/>
    <mergeCell ref="E484:H484"/>
    <mergeCell ref="I484:L484"/>
    <mergeCell ref="M484:P484"/>
    <mergeCell ref="Q484:T484"/>
    <mergeCell ref="U484:X484"/>
    <mergeCell ref="Y484:AB484"/>
    <mergeCell ref="AC487:AF487"/>
    <mergeCell ref="AG487:AJ487"/>
    <mergeCell ref="AK487:AN487"/>
    <mergeCell ref="AO487:AR487"/>
    <mergeCell ref="AS487:AV487"/>
    <mergeCell ref="AW487:AZ487"/>
    <mergeCell ref="E487:H487"/>
    <mergeCell ref="I487:L487"/>
    <mergeCell ref="M487:P487"/>
    <mergeCell ref="Q487:T487"/>
    <mergeCell ref="U487:X487"/>
    <mergeCell ref="Y487:AB487"/>
    <mergeCell ref="AC486:AF486"/>
    <mergeCell ref="AG486:AJ486"/>
    <mergeCell ref="AK486:AN486"/>
    <mergeCell ref="AO486:AR486"/>
    <mergeCell ref="AS486:AV486"/>
    <mergeCell ref="AW486:AZ486"/>
    <mergeCell ref="E486:H486"/>
    <mergeCell ref="I486:L486"/>
    <mergeCell ref="M486:P486"/>
    <mergeCell ref="Q486:T486"/>
    <mergeCell ref="U486:X486"/>
    <mergeCell ref="Y486:AB486"/>
    <mergeCell ref="AC489:AF489"/>
    <mergeCell ref="AG489:AJ489"/>
    <mergeCell ref="AK489:AN489"/>
    <mergeCell ref="AO489:AR489"/>
    <mergeCell ref="AS489:AV489"/>
    <mergeCell ref="AW489:AZ489"/>
    <mergeCell ref="E489:H489"/>
    <mergeCell ref="I489:L489"/>
    <mergeCell ref="M489:P489"/>
    <mergeCell ref="Q489:T489"/>
    <mergeCell ref="U489:X489"/>
    <mergeCell ref="Y489:AB489"/>
    <mergeCell ref="AC488:AF488"/>
    <mergeCell ref="AG488:AJ488"/>
    <mergeCell ref="AK488:AN488"/>
    <mergeCell ref="AO488:AR488"/>
    <mergeCell ref="AS488:AV488"/>
    <mergeCell ref="AW488:AZ488"/>
    <mergeCell ref="E488:H488"/>
    <mergeCell ref="I488:L488"/>
    <mergeCell ref="M488:P488"/>
    <mergeCell ref="Q488:T488"/>
    <mergeCell ref="U488:X488"/>
    <mergeCell ref="Y488:AB488"/>
    <mergeCell ref="AC491:AF491"/>
    <mergeCell ref="AG491:AJ491"/>
    <mergeCell ref="AK491:AN491"/>
    <mergeCell ref="AO491:AR491"/>
    <mergeCell ref="AS491:AV491"/>
    <mergeCell ref="AW491:AZ491"/>
    <mergeCell ref="E491:H491"/>
    <mergeCell ref="I491:L491"/>
    <mergeCell ref="M491:P491"/>
    <mergeCell ref="Q491:T491"/>
    <mergeCell ref="U491:X491"/>
    <mergeCell ref="Y491:AB491"/>
    <mergeCell ref="AC490:AF490"/>
    <mergeCell ref="AG490:AJ490"/>
    <mergeCell ref="AK490:AN490"/>
    <mergeCell ref="AO490:AR490"/>
    <mergeCell ref="AS490:AV490"/>
    <mergeCell ref="AW490:AZ490"/>
    <mergeCell ref="E490:H490"/>
    <mergeCell ref="I490:L490"/>
    <mergeCell ref="M490:P490"/>
    <mergeCell ref="Q490:T490"/>
    <mergeCell ref="U490:X490"/>
    <mergeCell ref="Y490:AB490"/>
    <mergeCell ref="AC493:AF493"/>
    <mergeCell ref="AG493:AJ493"/>
    <mergeCell ref="AK493:AN493"/>
    <mergeCell ref="AO493:AR493"/>
    <mergeCell ref="AS493:AV493"/>
    <mergeCell ref="AW493:AZ493"/>
    <mergeCell ref="E493:H493"/>
    <mergeCell ref="I493:L493"/>
    <mergeCell ref="M493:P493"/>
    <mergeCell ref="Q493:T493"/>
    <mergeCell ref="U493:X493"/>
    <mergeCell ref="Y493:AB493"/>
    <mergeCell ref="AC492:AF492"/>
    <mergeCell ref="AG492:AJ492"/>
    <mergeCell ref="AK492:AN492"/>
    <mergeCell ref="AO492:AR492"/>
    <mergeCell ref="AS492:AV492"/>
    <mergeCell ref="AW492:AZ492"/>
    <mergeCell ref="E492:H492"/>
    <mergeCell ref="I492:L492"/>
    <mergeCell ref="M492:P492"/>
    <mergeCell ref="Q492:T492"/>
    <mergeCell ref="U492:X492"/>
    <mergeCell ref="Y492:AB492"/>
    <mergeCell ref="AC495:AF495"/>
    <mergeCell ref="AG495:AJ495"/>
    <mergeCell ref="AK495:AN495"/>
    <mergeCell ref="AO495:AR495"/>
    <mergeCell ref="AS495:AV495"/>
    <mergeCell ref="AW495:AZ495"/>
    <mergeCell ref="E495:H495"/>
    <mergeCell ref="I495:L495"/>
    <mergeCell ref="M495:P495"/>
    <mergeCell ref="Q495:T495"/>
    <mergeCell ref="U495:X495"/>
    <mergeCell ref="Y495:AB495"/>
    <mergeCell ref="AC494:AF494"/>
    <mergeCell ref="AG494:AJ494"/>
    <mergeCell ref="AK494:AN494"/>
    <mergeCell ref="AO494:AR494"/>
    <mergeCell ref="AS494:AV494"/>
    <mergeCell ref="AW494:AZ494"/>
    <mergeCell ref="E494:H494"/>
    <mergeCell ref="I494:L494"/>
    <mergeCell ref="M494:P494"/>
    <mergeCell ref="Q494:T494"/>
    <mergeCell ref="U494:X494"/>
    <mergeCell ref="Y494:AB494"/>
    <mergeCell ref="AC497:AF497"/>
    <mergeCell ref="AG497:AJ497"/>
    <mergeCell ref="AK497:AN497"/>
    <mergeCell ref="AO497:AR497"/>
    <mergeCell ref="AS497:AV497"/>
    <mergeCell ref="AW497:AZ497"/>
    <mergeCell ref="E497:H497"/>
    <mergeCell ref="I497:L497"/>
    <mergeCell ref="M497:P497"/>
    <mergeCell ref="Q497:T497"/>
    <mergeCell ref="U497:X497"/>
    <mergeCell ref="Y497:AB497"/>
    <mergeCell ref="AC496:AF496"/>
    <mergeCell ref="AG496:AJ496"/>
    <mergeCell ref="AK496:AN496"/>
    <mergeCell ref="AO496:AR496"/>
    <mergeCell ref="AS496:AV496"/>
    <mergeCell ref="AW496:AZ496"/>
    <mergeCell ref="E496:H496"/>
    <mergeCell ref="I496:L496"/>
    <mergeCell ref="M496:P496"/>
    <mergeCell ref="Q496:T496"/>
    <mergeCell ref="U496:X496"/>
    <mergeCell ref="Y496:AB496"/>
    <mergeCell ref="AC499:AF499"/>
    <mergeCell ref="AG499:AJ499"/>
    <mergeCell ref="AK499:AN499"/>
    <mergeCell ref="AO499:AR499"/>
    <mergeCell ref="AS499:AV499"/>
    <mergeCell ref="AW499:AZ499"/>
    <mergeCell ref="E499:H499"/>
    <mergeCell ref="I499:L499"/>
    <mergeCell ref="M499:P499"/>
    <mergeCell ref="Q499:T499"/>
    <mergeCell ref="U499:X499"/>
    <mergeCell ref="Y499:AB499"/>
    <mergeCell ref="AC498:AF498"/>
    <mergeCell ref="AG498:AJ498"/>
    <mergeCell ref="AK498:AN498"/>
    <mergeCell ref="AO498:AR498"/>
    <mergeCell ref="AS498:AV498"/>
    <mergeCell ref="AW498:AZ498"/>
    <mergeCell ref="E498:H498"/>
    <mergeCell ref="I498:L498"/>
    <mergeCell ref="M498:P498"/>
    <mergeCell ref="Q498:T498"/>
    <mergeCell ref="U498:X498"/>
    <mergeCell ref="Y498:AB498"/>
    <mergeCell ref="AC501:AF501"/>
    <mergeCell ref="AG501:AJ501"/>
    <mergeCell ref="AK501:AN501"/>
    <mergeCell ref="AO501:AR501"/>
    <mergeCell ref="AS501:AV501"/>
    <mergeCell ref="AW501:AZ501"/>
    <mergeCell ref="E501:H501"/>
    <mergeCell ref="I501:L501"/>
    <mergeCell ref="M501:P501"/>
    <mergeCell ref="Q501:T501"/>
    <mergeCell ref="U501:X501"/>
    <mergeCell ref="Y501:AB501"/>
    <mergeCell ref="AC500:AF500"/>
    <mergeCell ref="AG500:AJ500"/>
    <mergeCell ref="AK500:AN500"/>
    <mergeCell ref="AO500:AR500"/>
    <mergeCell ref="AS500:AV500"/>
    <mergeCell ref="AW500:AZ500"/>
    <mergeCell ref="E500:H500"/>
    <mergeCell ref="I500:L500"/>
    <mergeCell ref="M500:P500"/>
    <mergeCell ref="Q500:T500"/>
    <mergeCell ref="U500:X500"/>
    <mergeCell ref="Y500:AB500"/>
    <mergeCell ref="AC503:AF503"/>
    <mergeCell ref="AG503:AJ503"/>
    <mergeCell ref="AK503:AN503"/>
    <mergeCell ref="AO503:AR503"/>
    <mergeCell ref="AS503:AV503"/>
    <mergeCell ref="AW503:AZ503"/>
    <mergeCell ref="E503:H503"/>
    <mergeCell ref="I503:L503"/>
    <mergeCell ref="M503:P503"/>
    <mergeCell ref="Q503:T503"/>
    <mergeCell ref="U503:X503"/>
    <mergeCell ref="Y503:AB503"/>
    <mergeCell ref="AC502:AF502"/>
    <mergeCell ref="AG502:AJ502"/>
    <mergeCell ref="AK502:AN502"/>
    <mergeCell ref="AO502:AR502"/>
    <mergeCell ref="AS502:AV502"/>
    <mergeCell ref="AW502:AZ502"/>
    <mergeCell ref="E502:H502"/>
    <mergeCell ref="I502:L502"/>
    <mergeCell ref="M502:P502"/>
    <mergeCell ref="Q502:T502"/>
    <mergeCell ref="U502:X502"/>
    <mergeCell ref="Y502:AB502"/>
    <mergeCell ref="AC505:AF505"/>
    <mergeCell ref="AG505:AJ505"/>
    <mergeCell ref="AK505:AN505"/>
    <mergeCell ref="AO505:AR505"/>
    <mergeCell ref="AS505:AV505"/>
    <mergeCell ref="AW505:AZ505"/>
    <mergeCell ref="E505:H505"/>
    <mergeCell ref="I505:L505"/>
    <mergeCell ref="M505:P505"/>
    <mergeCell ref="Q505:T505"/>
    <mergeCell ref="U505:X505"/>
    <mergeCell ref="Y505:AB505"/>
    <mergeCell ref="AC504:AF504"/>
    <mergeCell ref="AG504:AJ504"/>
    <mergeCell ref="AK504:AN504"/>
    <mergeCell ref="AO504:AR504"/>
    <mergeCell ref="AS504:AV504"/>
    <mergeCell ref="AW504:AZ504"/>
    <mergeCell ref="E504:H504"/>
    <mergeCell ref="I504:L504"/>
    <mergeCell ref="M504:P504"/>
    <mergeCell ref="Q504:T504"/>
    <mergeCell ref="U504:X504"/>
    <mergeCell ref="Y504:AB504"/>
    <mergeCell ref="AC507:AF507"/>
    <mergeCell ref="AG507:AJ507"/>
    <mergeCell ref="AK507:AN507"/>
    <mergeCell ref="AO507:AR507"/>
    <mergeCell ref="AS507:AV507"/>
    <mergeCell ref="AW507:AZ507"/>
    <mergeCell ref="E507:H507"/>
    <mergeCell ref="I507:L507"/>
    <mergeCell ref="M507:P507"/>
    <mergeCell ref="Q507:T507"/>
    <mergeCell ref="U507:X507"/>
    <mergeCell ref="Y507:AB507"/>
    <mergeCell ref="AC506:AF506"/>
    <mergeCell ref="AG506:AJ506"/>
    <mergeCell ref="AK506:AN506"/>
    <mergeCell ref="AO506:AR506"/>
    <mergeCell ref="AS506:AV506"/>
    <mergeCell ref="AW506:AZ506"/>
    <mergeCell ref="E506:H506"/>
    <mergeCell ref="I506:L506"/>
    <mergeCell ref="M506:P506"/>
    <mergeCell ref="Q506:T506"/>
    <mergeCell ref="U506:X506"/>
    <mergeCell ref="Y506:AB506"/>
    <mergeCell ref="AC509:AF509"/>
    <mergeCell ref="AG509:AJ509"/>
    <mergeCell ref="AK509:AN509"/>
    <mergeCell ref="AO509:AR509"/>
    <mergeCell ref="AS509:AV509"/>
    <mergeCell ref="AW509:AZ509"/>
    <mergeCell ref="E509:H509"/>
    <mergeCell ref="I509:L509"/>
    <mergeCell ref="M509:P509"/>
    <mergeCell ref="Q509:T509"/>
    <mergeCell ref="U509:X509"/>
    <mergeCell ref="Y509:AB509"/>
    <mergeCell ref="AC508:AF508"/>
    <mergeCell ref="AG508:AJ508"/>
    <mergeCell ref="AK508:AN508"/>
    <mergeCell ref="AO508:AR508"/>
    <mergeCell ref="AS508:AV508"/>
    <mergeCell ref="AW508:AZ508"/>
    <mergeCell ref="E508:H508"/>
    <mergeCell ref="I508:L508"/>
    <mergeCell ref="M508:P508"/>
    <mergeCell ref="Q508:T508"/>
    <mergeCell ref="U508:X508"/>
    <mergeCell ref="Y508:AB508"/>
    <mergeCell ref="AC511:AF511"/>
    <mergeCell ref="AG511:AJ511"/>
    <mergeCell ref="AK511:AN511"/>
    <mergeCell ref="AO511:AR511"/>
    <mergeCell ref="AS511:AV511"/>
    <mergeCell ref="AW511:AZ511"/>
    <mergeCell ref="E511:H511"/>
    <mergeCell ref="I511:L511"/>
    <mergeCell ref="M511:P511"/>
    <mergeCell ref="Q511:T511"/>
    <mergeCell ref="U511:X511"/>
    <mergeCell ref="Y511:AB511"/>
    <mergeCell ref="AC510:AF510"/>
    <mergeCell ref="AG510:AJ510"/>
    <mergeCell ref="AK510:AN510"/>
    <mergeCell ref="AO510:AR510"/>
    <mergeCell ref="AS510:AV510"/>
    <mergeCell ref="AW510:AZ510"/>
    <mergeCell ref="E510:H510"/>
    <mergeCell ref="I510:L510"/>
    <mergeCell ref="M510:P510"/>
    <mergeCell ref="Q510:T510"/>
    <mergeCell ref="U510:X510"/>
    <mergeCell ref="Y510:AB510"/>
    <mergeCell ref="AC513:AF513"/>
    <mergeCell ref="AG513:AJ513"/>
    <mergeCell ref="AK513:AN513"/>
    <mergeCell ref="AO513:AR513"/>
    <mergeCell ref="AS513:AV513"/>
    <mergeCell ref="AW513:AZ513"/>
    <mergeCell ref="E513:H513"/>
    <mergeCell ref="I513:L513"/>
    <mergeCell ref="M513:P513"/>
    <mergeCell ref="Q513:T513"/>
    <mergeCell ref="U513:X513"/>
    <mergeCell ref="Y513:AB513"/>
    <mergeCell ref="AC512:AF512"/>
    <mergeCell ref="AG512:AJ512"/>
    <mergeCell ref="AK512:AN512"/>
    <mergeCell ref="AO512:AR512"/>
    <mergeCell ref="AS512:AV512"/>
    <mergeCell ref="AW512:AZ512"/>
    <mergeCell ref="E512:H512"/>
    <mergeCell ref="I512:L512"/>
    <mergeCell ref="M512:P512"/>
    <mergeCell ref="Q512:T512"/>
    <mergeCell ref="U512:X512"/>
    <mergeCell ref="Y512:AB512"/>
    <mergeCell ref="AC515:AF515"/>
    <mergeCell ref="AG515:AJ515"/>
    <mergeCell ref="AK515:AN515"/>
    <mergeCell ref="AO515:AR515"/>
    <mergeCell ref="AS515:AV515"/>
    <mergeCell ref="AW515:AZ515"/>
    <mergeCell ref="E515:H515"/>
    <mergeCell ref="I515:L515"/>
    <mergeCell ref="M515:P515"/>
    <mergeCell ref="Q515:T515"/>
    <mergeCell ref="U515:X515"/>
    <mergeCell ref="Y515:AB515"/>
    <mergeCell ref="AC514:AF514"/>
    <mergeCell ref="AG514:AJ514"/>
    <mergeCell ref="AK514:AN514"/>
    <mergeCell ref="AO514:AR514"/>
    <mergeCell ref="AS514:AV514"/>
    <mergeCell ref="AW514:AZ514"/>
    <mergeCell ref="E514:H514"/>
    <mergeCell ref="I514:L514"/>
    <mergeCell ref="M514:P514"/>
    <mergeCell ref="Q514:T514"/>
    <mergeCell ref="U514:X514"/>
    <mergeCell ref="Y514:AB514"/>
    <mergeCell ref="AC517:AF517"/>
    <mergeCell ref="AG517:AJ517"/>
    <mergeCell ref="AK517:AN517"/>
    <mergeCell ref="AO517:AR517"/>
    <mergeCell ref="AS517:AV517"/>
    <mergeCell ref="AW517:AZ517"/>
    <mergeCell ref="E517:H517"/>
    <mergeCell ref="I517:L517"/>
    <mergeCell ref="M517:P517"/>
    <mergeCell ref="Q517:T517"/>
    <mergeCell ref="U517:X517"/>
    <mergeCell ref="Y517:AB517"/>
    <mergeCell ref="AC516:AF516"/>
    <mergeCell ref="AG516:AJ516"/>
    <mergeCell ref="AK516:AN516"/>
    <mergeCell ref="AO516:AR516"/>
    <mergeCell ref="AS516:AV516"/>
    <mergeCell ref="AW516:AZ516"/>
    <mergeCell ref="E516:H516"/>
    <mergeCell ref="I516:L516"/>
    <mergeCell ref="M516:P516"/>
    <mergeCell ref="Q516:T516"/>
    <mergeCell ref="U516:X516"/>
    <mergeCell ref="Y516:AB516"/>
    <mergeCell ref="AC519:AF519"/>
    <mergeCell ref="AG519:AJ519"/>
    <mergeCell ref="AK519:AN519"/>
    <mergeCell ref="AO519:AR519"/>
    <mergeCell ref="AS519:AV519"/>
    <mergeCell ref="AW519:AZ519"/>
    <mergeCell ref="E519:H519"/>
    <mergeCell ref="I519:L519"/>
    <mergeCell ref="M519:P519"/>
    <mergeCell ref="Q519:T519"/>
    <mergeCell ref="U519:X519"/>
    <mergeCell ref="Y519:AB519"/>
    <mergeCell ref="AC518:AF518"/>
    <mergeCell ref="AG518:AJ518"/>
    <mergeCell ref="AK518:AN518"/>
    <mergeCell ref="AO518:AR518"/>
    <mergeCell ref="AS518:AV518"/>
    <mergeCell ref="AW518:AZ518"/>
    <mergeCell ref="E518:H518"/>
    <mergeCell ref="I518:L518"/>
    <mergeCell ref="M518:P518"/>
    <mergeCell ref="Q518:T518"/>
    <mergeCell ref="U518:X518"/>
    <mergeCell ref="Y518:AB518"/>
    <mergeCell ref="AC521:AF521"/>
    <mergeCell ref="AG521:AJ521"/>
    <mergeCell ref="AK521:AN521"/>
    <mergeCell ref="AO521:AR521"/>
    <mergeCell ref="AS521:AV521"/>
    <mergeCell ref="AW521:AZ521"/>
    <mergeCell ref="E521:H521"/>
    <mergeCell ref="I521:L521"/>
    <mergeCell ref="M521:P521"/>
    <mergeCell ref="Q521:T521"/>
    <mergeCell ref="U521:X521"/>
    <mergeCell ref="Y521:AB521"/>
    <mergeCell ref="AC520:AF520"/>
    <mergeCell ref="AG520:AJ520"/>
    <mergeCell ref="AK520:AN520"/>
    <mergeCell ref="AO520:AR520"/>
    <mergeCell ref="AS520:AV520"/>
    <mergeCell ref="AW520:AZ520"/>
    <mergeCell ref="E520:H520"/>
    <mergeCell ref="I520:L520"/>
    <mergeCell ref="M520:P520"/>
    <mergeCell ref="Q520:T520"/>
    <mergeCell ref="U520:X520"/>
    <mergeCell ref="Y520:AB520"/>
    <mergeCell ref="AC523:AF523"/>
    <mergeCell ref="AG523:AJ523"/>
    <mergeCell ref="AK523:AN523"/>
    <mergeCell ref="AO523:AR523"/>
    <mergeCell ref="AS523:AV523"/>
    <mergeCell ref="AW523:AZ523"/>
    <mergeCell ref="E523:H523"/>
    <mergeCell ref="I523:L523"/>
    <mergeCell ref="M523:P523"/>
    <mergeCell ref="Q523:T523"/>
    <mergeCell ref="U523:X523"/>
    <mergeCell ref="Y523:AB523"/>
    <mergeCell ref="AC522:AF522"/>
    <mergeCell ref="AG522:AJ522"/>
    <mergeCell ref="AK522:AN522"/>
    <mergeCell ref="AO522:AR522"/>
    <mergeCell ref="AS522:AV522"/>
    <mergeCell ref="AW522:AZ522"/>
    <mergeCell ref="E522:H522"/>
    <mergeCell ref="I522:L522"/>
    <mergeCell ref="M522:P522"/>
    <mergeCell ref="Q522:T522"/>
    <mergeCell ref="U522:X522"/>
    <mergeCell ref="Y522:AB522"/>
    <mergeCell ref="AC525:AF525"/>
    <mergeCell ref="AG525:AJ525"/>
    <mergeCell ref="AK525:AN525"/>
    <mergeCell ref="AO525:AR525"/>
    <mergeCell ref="AS525:AV525"/>
    <mergeCell ref="AW525:AZ525"/>
    <mergeCell ref="E525:H525"/>
    <mergeCell ref="I525:L525"/>
    <mergeCell ref="M525:P525"/>
    <mergeCell ref="Q525:T525"/>
    <mergeCell ref="U525:X525"/>
    <mergeCell ref="Y525:AB525"/>
    <mergeCell ref="AC524:AF524"/>
    <mergeCell ref="AG524:AJ524"/>
    <mergeCell ref="AK524:AN524"/>
    <mergeCell ref="AO524:AR524"/>
    <mergeCell ref="AS524:AV524"/>
    <mergeCell ref="AW524:AZ524"/>
    <mergeCell ref="E524:H524"/>
    <mergeCell ref="I524:L524"/>
    <mergeCell ref="M524:P524"/>
    <mergeCell ref="Q524:T524"/>
    <mergeCell ref="U524:X524"/>
    <mergeCell ref="Y524:AB524"/>
    <mergeCell ref="AC527:AF527"/>
    <mergeCell ref="AG527:AJ527"/>
    <mergeCell ref="AK527:AN527"/>
    <mergeCell ref="AO527:AR527"/>
    <mergeCell ref="AS527:AV527"/>
    <mergeCell ref="AW527:AZ527"/>
    <mergeCell ref="E527:H527"/>
    <mergeCell ref="I527:L527"/>
    <mergeCell ref="M527:P527"/>
    <mergeCell ref="Q527:T527"/>
    <mergeCell ref="U527:X527"/>
    <mergeCell ref="Y527:AB527"/>
    <mergeCell ref="AC526:AF526"/>
    <mergeCell ref="AG526:AJ526"/>
    <mergeCell ref="AK526:AN526"/>
    <mergeCell ref="AO526:AR526"/>
    <mergeCell ref="AS526:AV526"/>
    <mergeCell ref="AW526:AZ526"/>
    <mergeCell ref="E526:H526"/>
    <mergeCell ref="I526:L526"/>
    <mergeCell ref="M526:P526"/>
    <mergeCell ref="Q526:T526"/>
    <mergeCell ref="U526:X526"/>
    <mergeCell ref="Y526:AB526"/>
    <mergeCell ref="AC529:AF529"/>
    <mergeCell ref="AG529:AJ529"/>
    <mergeCell ref="AK529:AN529"/>
    <mergeCell ref="AO529:AR529"/>
    <mergeCell ref="AS529:AV529"/>
    <mergeCell ref="AW529:AZ529"/>
    <mergeCell ref="E529:H529"/>
    <mergeCell ref="I529:L529"/>
    <mergeCell ref="M529:P529"/>
    <mergeCell ref="Q529:T529"/>
    <mergeCell ref="U529:X529"/>
    <mergeCell ref="Y529:AB529"/>
    <mergeCell ref="AC528:AF528"/>
    <mergeCell ref="AG528:AJ528"/>
    <mergeCell ref="AK528:AN528"/>
    <mergeCell ref="AO528:AR528"/>
    <mergeCell ref="AS528:AV528"/>
    <mergeCell ref="AW528:AZ528"/>
    <mergeCell ref="E528:H528"/>
    <mergeCell ref="I528:L528"/>
    <mergeCell ref="M528:P528"/>
    <mergeCell ref="Q528:T528"/>
    <mergeCell ref="U528:X528"/>
    <mergeCell ref="Y528:AB528"/>
    <mergeCell ref="AC531:AF531"/>
    <mergeCell ref="AG531:AJ531"/>
    <mergeCell ref="AK531:AN531"/>
    <mergeCell ref="AO531:AR531"/>
    <mergeCell ref="AS531:AV531"/>
    <mergeCell ref="AW531:AZ531"/>
    <mergeCell ref="E531:H531"/>
    <mergeCell ref="I531:L531"/>
    <mergeCell ref="M531:P531"/>
    <mergeCell ref="Q531:T531"/>
    <mergeCell ref="U531:X531"/>
    <mergeCell ref="Y531:AB531"/>
    <mergeCell ref="AC530:AF530"/>
    <mergeCell ref="AG530:AJ530"/>
    <mergeCell ref="AK530:AN530"/>
    <mergeCell ref="AO530:AR530"/>
    <mergeCell ref="AS530:AV530"/>
    <mergeCell ref="AW530:AZ530"/>
    <mergeCell ref="E530:H530"/>
    <mergeCell ref="I530:L530"/>
    <mergeCell ref="M530:P530"/>
    <mergeCell ref="Q530:T530"/>
    <mergeCell ref="U530:X530"/>
    <mergeCell ref="Y530:AB530"/>
    <mergeCell ref="AC533:AF533"/>
    <mergeCell ref="AG533:AJ533"/>
    <mergeCell ref="AK533:AN533"/>
    <mergeCell ref="AO533:AR533"/>
    <mergeCell ref="AS533:AV533"/>
    <mergeCell ref="AW533:AZ533"/>
    <mergeCell ref="E533:H533"/>
    <mergeCell ref="I533:L533"/>
    <mergeCell ref="M533:P533"/>
    <mergeCell ref="Q533:T533"/>
    <mergeCell ref="U533:X533"/>
    <mergeCell ref="Y533:AB533"/>
    <mergeCell ref="AC532:AF532"/>
    <mergeCell ref="AG532:AJ532"/>
    <mergeCell ref="AK532:AN532"/>
    <mergeCell ref="AO532:AR532"/>
    <mergeCell ref="AS532:AV532"/>
    <mergeCell ref="AW532:AZ532"/>
    <mergeCell ref="E532:H532"/>
    <mergeCell ref="I532:L532"/>
    <mergeCell ref="M532:P532"/>
    <mergeCell ref="Q532:T532"/>
    <mergeCell ref="U532:X532"/>
    <mergeCell ref="Y532:AB532"/>
    <mergeCell ref="AC535:AF535"/>
    <mergeCell ref="AG535:AJ535"/>
    <mergeCell ref="AK535:AN535"/>
    <mergeCell ref="AO535:AR535"/>
    <mergeCell ref="AS535:AV535"/>
    <mergeCell ref="AW535:AZ535"/>
    <mergeCell ref="E535:H535"/>
    <mergeCell ref="I535:L535"/>
    <mergeCell ref="M535:P535"/>
    <mergeCell ref="Q535:T535"/>
    <mergeCell ref="U535:X535"/>
    <mergeCell ref="Y535:AB535"/>
    <mergeCell ref="AC534:AF534"/>
    <mergeCell ref="AG534:AJ534"/>
    <mergeCell ref="AK534:AN534"/>
    <mergeCell ref="AO534:AR534"/>
    <mergeCell ref="AS534:AV534"/>
    <mergeCell ref="AW534:AZ534"/>
    <mergeCell ref="E534:H534"/>
    <mergeCell ref="I534:L534"/>
    <mergeCell ref="M534:P534"/>
    <mergeCell ref="Q534:T534"/>
    <mergeCell ref="U534:X534"/>
    <mergeCell ref="Y534:AB534"/>
    <mergeCell ref="AC537:AF537"/>
    <mergeCell ref="AG537:AJ537"/>
    <mergeCell ref="AK537:AN537"/>
    <mergeCell ref="AO537:AR537"/>
    <mergeCell ref="AS537:AV537"/>
    <mergeCell ref="AW537:AZ537"/>
    <mergeCell ref="E537:H537"/>
    <mergeCell ref="I537:L537"/>
    <mergeCell ref="M537:P537"/>
    <mergeCell ref="Q537:T537"/>
    <mergeCell ref="U537:X537"/>
    <mergeCell ref="Y537:AB537"/>
    <mergeCell ref="AC536:AF536"/>
    <mergeCell ref="AG536:AJ536"/>
    <mergeCell ref="AK536:AN536"/>
    <mergeCell ref="AO536:AR536"/>
    <mergeCell ref="AS536:AV536"/>
    <mergeCell ref="AW536:AZ536"/>
    <mergeCell ref="E536:H536"/>
    <mergeCell ref="I536:L536"/>
    <mergeCell ref="M536:P536"/>
    <mergeCell ref="Q536:T536"/>
    <mergeCell ref="U536:X536"/>
    <mergeCell ref="Y536:AB536"/>
    <mergeCell ref="AC539:AF539"/>
    <mergeCell ref="AG539:AJ539"/>
    <mergeCell ref="AK539:AN539"/>
    <mergeCell ref="AO539:AR539"/>
    <mergeCell ref="AS539:AV539"/>
    <mergeCell ref="AW539:AZ539"/>
    <mergeCell ref="E539:H539"/>
    <mergeCell ref="I539:L539"/>
    <mergeCell ref="M539:P539"/>
    <mergeCell ref="Q539:T539"/>
    <mergeCell ref="U539:X539"/>
    <mergeCell ref="Y539:AB539"/>
    <mergeCell ref="AC538:AF538"/>
    <mergeCell ref="AG538:AJ538"/>
    <mergeCell ref="AK538:AN538"/>
    <mergeCell ref="AO538:AR538"/>
    <mergeCell ref="AS538:AV538"/>
    <mergeCell ref="AW538:AZ538"/>
    <mergeCell ref="E538:H538"/>
    <mergeCell ref="I538:L538"/>
    <mergeCell ref="M538:P538"/>
    <mergeCell ref="Q538:T538"/>
    <mergeCell ref="U538:X538"/>
    <mergeCell ref="Y538:AB538"/>
    <mergeCell ref="AC541:AF541"/>
    <mergeCell ref="AG541:AJ541"/>
    <mergeCell ref="AK541:AN541"/>
    <mergeCell ref="AO541:AR541"/>
    <mergeCell ref="AS541:AV541"/>
    <mergeCell ref="AW541:AZ541"/>
    <mergeCell ref="E541:H541"/>
    <mergeCell ref="I541:L541"/>
    <mergeCell ref="M541:P541"/>
    <mergeCell ref="Q541:T541"/>
    <mergeCell ref="U541:X541"/>
    <mergeCell ref="Y541:AB541"/>
    <mergeCell ref="AC540:AF540"/>
    <mergeCell ref="AG540:AJ540"/>
    <mergeCell ref="AK540:AN540"/>
    <mergeCell ref="AO540:AR540"/>
    <mergeCell ref="AS540:AV540"/>
    <mergeCell ref="AW540:AZ540"/>
    <mergeCell ref="E540:H540"/>
    <mergeCell ref="I540:L540"/>
    <mergeCell ref="M540:P540"/>
    <mergeCell ref="Q540:T540"/>
    <mergeCell ref="U540:X540"/>
    <mergeCell ref="Y540:AB540"/>
    <mergeCell ref="AC543:AF543"/>
    <mergeCell ref="AG543:AJ543"/>
    <mergeCell ref="AK543:AN543"/>
    <mergeCell ref="AO543:AR543"/>
    <mergeCell ref="AS543:AV543"/>
    <mergeCell ref="AW543:AZ543"/>
    <mergeCell ref="E543:H543"/>
    <mergeCell ref="I543:L543"/>
    <mergeCell ref="M543:P543"/>
    <mergeCell ref="Q543:T543"/>
    <mergeCell ref="U543:X543"/>
    <mergeCell ref="Y543:AB543"/>
    <mergeCell ref="AC542:AF542"/>
    <mergeCell ref="AG542:AJ542"/>
    <mergeCell ref="AK542:AN542"/>
    <mergeCell ref="AO542:AR542"/>
    <mergeCell ref="AS542:AV542"/>
    <mergeCell ref="AW542:AZ542"/>
    <mergeCell ref="E542:H542"/>
    <mergeCell ref="I542:L542"/>
    <mergeCell ref="M542:P542"/>
    <mergeCell ref="Q542:T542"/>
    <mergeCell ref="U542:X542"/>
    <mergeCell ref="Y542:AB542"/>
    <mergeCell ref="AC545:AF545"/>
    <mergeCell ref="AG545:AJ545"/>
    <mergeCell ref="AK545:AN545"/>
    <mergeCell ref="AO545:AR545"/>
    <mergeCell ref="AS545:AV545"/>
    <mergeCell ref="AW545:AZ545"/>
    <mergeCell ref="E545:H545"/>
    <mergeCell ref="I545:L545"/>
    <mergeCell ref="M545:P545"/>
    <mergeCell ref="Q545:T545"/>
    <mergeCell ref="U545:X545"/>
    <mergeCell ref="Y545:AB545"/>
    <mergeCell ref="AC544:AF544"/>
    <mergeCell ref="AG544:AJ544"/>
    <mergeCell ref="AK544:AN544"/>
    <mergeCell ref="AO544:AR544"/>
    <mergeCell ref="AS544:AV544"/>
    <mergeCell ref="AW544:AZ544"/>
    <mergeCell ref="E544:H544"/>
    <mergeCell ref="I544:L544"/>
    <mergeCell ref="M544:P544"/>
    <mergeCell ref="Q544:T544"/>
    <mergeCell ref="U544:X544"/>
    <mergeCell ref="Y544:AB544"/>
    <mergeCell ref="AC547:AF547"/>
    <mergeCell ref="AG547:AJ547"/>
    <mergeCell ref="AK547:AN547"/>
    <mergeCell ref="AO547:AR547"/>
    <mergeCell ref="AS547:AV547"/>
    <mergeCell ref="AW547:AZ547"/>
    <mergeCell ref="E547:H547"/>
    <mergeCell ref="I547:L547"/>
    <mergeCell ref="M547:P547"/>
    <mergeCell ref="Q547:T547"/>
    <mergeCell ref="U547:X547"/>
    <mergeCell ref="Y547:AB547"/>
    <mergeCell ref="AC546:AF546"/>
    <mergeCell ref="AG546:AJ546"/>
    <mergeCell ref="AK546:AN546"/>
    <mergeCell ref="AO546:AR546"/>
    <mergeCell ref="AS546:AV546"/>
    <mergeCell ref="AW546:AZ546"/>
    <mergeCell ref="E546:H546"/>
    <mergeCell ref="I546:L546"/>
    <mergeCell ref="M546:P546"/>
    <mergeCell ref="Q546:T546"/>
    <mergeCell ref="U546:X546"/>
    <mergeCell ref="Y546:AB546"/>
    <mergeCell ref="AC549:AF549"/>
    <mergeCell ref="AG549:AJ549"/>
    <mergeCell ref="AK549:AN549"/>
    <mergeCell ref="AO549:AR549"/>
    <mergeCell ref="AS549:AV549"/>
    <mergeCell ref="AW549:AZ549"/>
    <mergeCell ref="E549:H549"/>
    <mergeCell ref="I549:L549"/>
    <mergeCell ref="M549:P549"/>
    <mergeCell ref="Q549:T549"/>
    <mergeCell ref="U549:X549"/>
    <mergeCell ref="Y549:AB549"/>
    <mergeCell ref="AC548:AF548"/>
    <mergeCell ref="AG548:AJ548"/>
    <mergeCell ref="AK548:AN548"/>
    <mergeCell ref="AO548:AR548"/>
    <mergeCell ref="AS548:AV548"/>
    <mergeCell ref="AW548:AZ548"/>
    <mergeCell ref="E548:H548"/>
    <mergeCell ref="I548:L548"/>
    <mergeCell ref="M548:P548"/>
    <mergeCell ref="Q548:T548"/>
    <mergeCell ref="U548:X548"/>
    <mergeCell ref="Y548:AB548"/>
    <mergeCell ref="AC551:AF551"/>
    <mergeCell ref="AG551:AJ551"/>
    <mergeCell ref="AK551:AN551"/>
    <mergeCell ref="AO551:AR551"/>
    <mergeCell ref="AS551:AV551"/>
    <mergeCell ref="AW551:AZ551"/>
    <mergeCell ref="E551:H551"/>
    <mergeCell ref="I551:L551"/>
    <mergeCell ref="M551:P551"/>
    <mergeCell ref="Q551:T551"/>
    <mergeCell ref="U551:X551"/>
    <mergeCell ref="Y551:AB551"/>
    <mergeCell ref="AC550:AF550"/>
    <mergeCell ref="AG550:AJ550"/>
    <mergeCell ref="AK550:AN550"/>
    <mergeCell ref="AO550:AR550"/>
    <mergeCell ref="AS550:AV550"/>
    <mergeCell ref="AW550:AZ550"/>
    <mergeCell ref="E550:H550"/>
    <mergeCell ref="I550:L550"/>
    <mergeCell ref="M550:P550"/>
    <mergeCell ref="Q550:T550"/>
    <mergeCell ref="U550:X550"/>
    <mergeCell ref="Y550:AB550"/>
    <mergeCell ref="AC553:AF553"/>
    <mergeCell ref="AG553:AJ553"/>
    <mergeCell ref="AK553:AN553"/>
    <mergeCell ref="AO553:AR553"/>
    <mergeCell ref="AS553:AV553"/>
    <mergeCell ref="AW553:AZ553"/>
    <mergeCell ref="E553:H553"/>
    <mergeCell ref="I553:L553"/>
    <mergeCell ref="M553:P553"/>
    <mergeCell ref="Q553:T553"/>
    <mergeCell ref="U553:X553"/>
    <mergeCell ref="Y553:AB553"/>
    <mergeCell ref="AC552:AF552"/>
    <mergeCell ref="AG552:AJ552"/>
    <mergeCell ref="AK552:AN552"/>
    <mergeCell ref="AO552:AR552"/>
    <mergeCell ref="AS552:AV552"/>
    <mergeCell ref="AW552:AZ552"/>
    <mergeCell ref="E552:H552"/>
    <mergeCell ref="I552:L552"/>
    <mergeCell ref="M552:P552"/>
    <mergeCell ref="Q552:T552"/>
    <mergeCell ref="U552:X552"/>
    <mergeCell ref="Y552:AB552"/>
    <mergeCell ref="AC555:AF555"/>
    <mergeCell ref="AG555:AJ555"/>
    <mergeCell ref="AK555:AN555"/>
    <mergeCell ref="AO555:AR555"/>
    <mergeCell ref="AS555:AV555"/>
    <mergeCell ref="AW555:AZ555"/>
    <mergeCell ref="E555:H555"/>
    <mergeCell ref="I555:L555"/>
    <mergeCell ref="M555:P555"/>
    <mergeCell ref="Q555:T555"/>
    <mergeCell ref="U555:X555"/>
    <mergeCell ref="Y555:AB555"/>
    <mergeCell ref="AC554:AF554"/>
    <mergeCell ref="AG554:AJ554"/>
    <mergeCell ref="AK554:AN554"/>
    <mergeCell ref="AO554:AR554"/>
    <mergeCell ref="AS554:AV554"/>
    <mergeCell ref="AW554:AZ554"/>
    <mergeCell ref="E554:H554"/>
    <mergeCell ref="I554:L554"/>
    <mergeCell ref="M554:P554"/>
    <mergeCell ref="Q554:T554"/>
    <mergeCell ref="U554:X554"/>
    <mergeCell ref="Y554:AB554"/>
    <mergeCell ref="AC557:AF557"/>
    <mergeCell ref="AG557:AJ557"/>
    <mergeCell ref="AK557:AN557"/>
    <mergeCell ref="AO557:AR557"/>
    <mergeCell ref="AS557:AV557"/>
    <mergeCell ref="AW557:AZ557"/>
    <mergeCell ref="E557:H557"/>
    <mergeCell ref="I557:L557"/>
    <mergeCell ref="M557:P557"/>
    <mergeCell ref="Q557:T557"/>
    <mergeCell ref="U557:X557"/>
    <mergeCell ref="Y557:AB557"/>
    <mergeCell ref="AC556:AF556"/>
    <mergeCell ref="AG556:AJ556"/>
    <mergeCell ref="AK556:AN556"/>
    <mergeCell ref="AO556:AR556"/>
    <mergeCell ref="AS556:AV556"/>
    <mergeCell ref="AW556:AZ556"/>
    <mergeCell ref="E556:H556"/>
    <mergeCell ref="I556:L556"/>
    <mergeCell ref="M556:P556"/>
    <mergeCell ref="Q556:T556"/>
    <mergeCell ref="U556:X556"/>
    <mergeCell ref="Y556:AB556"/>
    <mergeCell ref="AC559:AF559"/>
    <mergeCell ref="AG559:AJ559"/>
    <mergeCell ref="AK559:AN559"/>
    <mergeCell ref="AO559:AR559"/>
    <mergeCell ref="AS559:AV559"/>
    <mergeCell ref="AW559:AZ559"/>
    <mergeCell ref="E559:H559"/>
    <mergeCell ref="I559:L559"/>
    <mergeCell ref="M559:P559"/>
    <mergeCell ref="Q559:T559"/>
    <mergeCell ref="U559:X559"/>
    <mergeCell ref="Y559:AB559"/>
    <mergeCell ref="AC558:AF558"/>
    <mergeCell ref="AG558:AJ558"/>
    <mergeCell ref="AK558:AN558"/>
    <mergeCell ref="AO558:AR558"/>
    <mergeCell ref="AS558:AV558"/>
    <mergeCell ref="AW558:AZ558"/>
    <mergeCell ref="E558:H558"/>
    <mergeCell ref="I558:L558"/>
    <mergeCell ref="M558:P558"/>
    <mergeCell ref="Q558:T558"/>
    <mergeCell ref="U558:X558"/>
    <mergeCell ref="Y558:AB558"/>
    <mergeCell ref="AC561:AF561"/>
    <mergeCell ref="AG561:AJ561"/>
    <mergeCell ref="AK561:AN561"/>
    <mergeCell ref="AO561:AR561"/>
    <mergeCell ref="AS561:AV561"/>
    <mergeCell ref="AW561:AZ561"/>
    <mergeCell ref="E561:H561"/>
    <mergeCell ref="I561:L561"/>
    <mergeCell ref="M561:P561"/>
    <mergeCell ref="Q561:T561"/>
    <mergeCell ref="U561:X561"/>
    <mergeCell ref="Y561:AB561"/>
    <mergeCell ref="AC560:AF560"/>
    <mergeCell ref="AG560:AJ560"/>
    <mergeCell ref="AK560:AN560"/>
    <mergeCell ref="AO560:AR560"/>
    <mergeCell ref="AS560:AV560"/>
    <mergeCell ref="AW560:AZ560"/>
    <mergeCell ref="E560:H560"/>
    <mergeCell ref="I560:L560"/>
    <mergeCell ref="M560:P560"/>
    <mergeCell ref="Q560:T560"/>
    <mergeCell ref="U560:X560"/>
    <mergeCell ref="Y560:AB560"/>
    <mergeCell ref="AC563:AF563"/>
    <mergeCell ref="AG563:AJ563"/>
    <mergeCell ref="AK563:AN563"/>
    <mergeCell ref="AO563:AR563"/>
    <mergeCell ref="AS563:AV563"/>
    <mergeCell ref="AW563:AZ563"/>
    <mergeCell ref="E563:H563"/>
    <mergeCell ref="I563:L563"/>
    <mergeCell ref="M563:P563"/>
    <mergeCell ref="Q563:T563"/>
    <mergeCell ref="U563:X563"/>
    <mergeCell ref="Y563:AB563"/>
    <mergeCell ref="AC562:AF562"/>
    <mergeCell ref="AG562:AJ562"/>
    <mergeCell ref="AK562:AN562"/>
    <mergeCell ref="AO562:AR562"/>
    <mergeCell ref="AS562:AV562"/>
    <mergeCell ref="AW562:AZ562"/>
    <mergeCell ref="E562:H562"/>
    <mergeCell ref="I562:L562"/>
    <mergeCell ref="M562:P562"/>
    <mergeCell ref="Q562:T562"/>
    <mergeCell ref="U562:X562"/>
    <mergeCell ref="Y562:AB562"/>
    <mergeCell ref="AC565:AF565"/>
    <mergeCell ref="AG565:AJ565"/>
    <mergeCell ref="AK565:AN565"/>
    <mergeCell ref="AO565:AR565"/>
    <mergeCell ref="AS565:AV565"/>
    <mergeCell ref="AW565:AZ565"/>
    <mergeCell ref="E565:H565"/>
    <mergeCell ref="I565:L565"/>
    <mergeCell ref="M565:P565"/>
    <mergeCell ref="Q565:T565"/>
    <mergeCell ref="U565:X565"/>
    <mergeCell ref="Y565:AB565"/>
    <mergeCell ref="AC564:AF564"/>
    <mergeCell ref="AG564:AJ564"/>
    <mergeCell ref="AK564:AN564"/>
    <mergeCell ref="AO564:AR564"/>
    <mergeCell ref="AS564:AV564"/>
    <mergeCell ref="AW564:AZ564"/>
    <mergeCell ref="E564:H564"/>
    <mergeCell ref="I564:L564"/>
    <mergeCell ref="M564:P564"/>
    <mergeCell ref="Q564:T564"/>
    <mergeCell ref="U564:X564"/>
    <mergeCell ref="Y564:AB564"/>
    <mergeCell ref="AC567:AF567"/>
    <mergeCell ref="AG567:AJ567"/>
    <mergeCell ref="AK567:AN567"/>
    <mergeCell ref="AO567:AR567"/>
    <mergeCell ref="AS567:AV567"/>
    <mergeCell ref="AW567:AZ567"/>
    <mergeCell ref="E567:H567"/>
    <mergeCell ref="I567:L567"/>
    <mergeCell ref="M567:P567"/>
    <mergeCell ref="Q567:T567"/>
    <mergeCell ref="U567:X567"/>
    <mergeCell ref="Y567:AB567"/>
    <mergeCell ref="AC566:AF566"/>
    <mergeCell ref="AG566:AJ566"/>
    <mergeCell ref="AK566:AN566"/>
    <mergeCell ref="AO566:AR566"/>
    <mergeCell ref="AS566:AV566"/>
    <mergeCell ref="AW566:AZ566"/>
    <mergeCell ref="E566:H566"/>
    <mergeCell ref="I566:L566"/>
    <mergeCell ref="M566:P566"/>
    <mergeCell ref="Q566:T566"/>
    <mergeCell ref="U566:X566"/>
    <mergeCell ref="Y566:AB566"/>
    <mergeCell ref="AC569:AF569"/>
    <mergeCell ref="AG569:AJ569"/>
    <mergeCell ref="AK569:AN569"/>
    <mergeCell ref="AO569:AR569"/>
    <mergeCell ref="AS569:AV569"/>
    <mergeCell ref="AW569:AZ569"/>
    <mergeCell ref="E569:H569"/>
    <mergeCell ref="I569:L569"/>
    <mergeCell ref="M569:P569"/>
    <mergeCell ref="Q569:T569"/>
    <mergeCell ref="U569:X569"/>
    <mergeCell ref="Y569:AB569"/>
    <mergeCell ref="AC568:AF568"/>
    <mergeCell ref="AG568:AJ568"/>
    <mergeCell ref="AK568:AN568"/>
    <mergeCell ref="AO568:AR568"/>
    <mergeCell ref="AS568:AV568"/>
    <mergeCell ref="AW568:AZ568"/>
    <mergeCell ref="E568:H568"/>
    <mergeCell ref="I568:L568"/>
    <mergeCell ref="M568:P568"/>
    <mergeCell ref="Q568:T568"/>
    <mergeCell ref="U568:X568"/>
    <mergeCell ref="Y568:AB568"/>
    <mergeCell ref="AC571:AF571"/>
    <mergeCell ref="AG571:AJ571"/>
    <mergeCell ref="AK571:AN571"/>
    <mergeCell ref="AO571:AR571"/>
    <mergeCell ref="AS571:AV571"/>
    <mergeCell ref="AW571:AZ571"/>
    <mergeCell ref="E571:H571"/>
    <mergeCell ref="I571:L571"/>
    <mergeCell ref="M571:P571"/>
    <mergeCell ref="Q571:T571"/>
    <mergeCell ref="U571:X571"/>
    <mergeCell ref="Y571:AB571"/>
    <mergeCell ref="AC570:AF570"/>
    <mergeCell ref="AG570:AJ570"/>
    <mergeCell ref="AK570:AN570"/>
    <mergeCell ref="AO570:AR570"/>
    <mergeCell ref="AS570:AV570"/>
    <mergeCell ref="AW570:AZ570"/>
    <mergeCell ref="E570:H570"/>
    <mergeCell ref="I570:L570"/>
    <mergeCell ref="M570:P570"/>
    <mergeCell ref="Q570:T570"/>
    <mergeCell ref="U570:X570"/>
    <mergeCell ref="Y570:AB570"/>
    <mergeCell ref="AC573:AF573"/>
    <mergeCell ref="AG573:AJ573"/>
    <mergeCell ref="AK573:AN573"/>
    <mergeCell ref="AO573:AR573"/>
    <mergeCell ref="AS573:AV573"/>
    <mergeCell ref="AW573:AZ573"/>
    <mergeCell ref="E573:H573"/>
    <mergeCell ref="I573:L573"/>
    <mergeCell ref="M573:P573"/>
    <mergeCell ref="Q573:T573"/>
    <mergeCell ref="U573:X573"/>
    <mergeCell ref="Y573:AB573"/>
    <mergeCell ref="AC572:AF572"/>
    <mergeCell ref="AG572:AJ572"/>
    <mergeCell ref="AK572:AN572"/>
    <mergeCell ref="AO572:AR572"/>
    <mergeCell ref="AS572:AV572"/>
    <mergeCell ref="AW572:AZ572"/>
    <mergeCell ref="E572:H572"/>
    <mergeCell ref="I572:L572"/>
    <mergeCell ref="M572:P572"/>
    <mergeCell ref="Q572:T572"/>
    <mergeCell ref="U572:X572"/>
    <mergeCell ref="Y572:AB572"/>
    <mergeCell ref="AC575:AF575"/>
    <mergeCell ref="AG575:AJ575"/>
    <mergeCell ref="AK575:AN575"/>
    <mergeCell ref="AO575:AR575"/>
    <mergeCell ref="AS575:AV575"/>
    <mergeCell ref="AW575:AZ575"/>
    <mergeCell ref="E575:H575"/>
    <mergeCell ref="I575:L575"/>
    <mergeCell ref="M575:P575"/>
    <mergeCell ref="Q575:T575"/>
    <mergeCell ref="U575:X575"/>
    <mergeCell ref="Y575:AB575"/>
    <mergeCell ref="AC574:AF574"/>
    <mergeCell ref="AG574:AJ574"/>
    <mergeCell ref="AK574:AN574"/>
    <mergeCell ref="AO574:AR574"/>
    <mergeCell ref="AS574:AV574"/>
    <mergeCell ref="AW574:AZ574"/>
    <mergeCell ref="E574:H574"/>
    <mergeCell ref="I574:L574"/>
    <mergeCell ref="M574:P574"/>
    <mergeCell ref="Q574:T574"/>
    <mergeCell ref="U574:X574"/>
    <mergeCell ref="Y574:AB574"/>
    <mergeCell ref="AC577:AF577"/>
    <mergeCell ref="AG577:AJ577"/>
    <mergeCell ref="AK577:AN577"/>
    <mergeCell ref="AO577:AR577"/>
    <mergeCell ref="AS577:AV577"/>
    <mergeCell ref="AW577:AZ577"/>
    <mergeCell ref="E577:H577"/>
    <mergeCell ref="I577:L577"/>
    <mergeCell ref="M577:P577"/>
    <mergeCell ref="Q577:T577"/>
    <mergeCell ref="U577:X577"/>
    <mergeCell ref="Y577:AB577"/>
    <mergeCell ref="AC576:AF576"/>
    <mergeCell ref="AG576:AJ576"/>
    <mergeCell ref="AK576:AN576"/>
    <mergeCell ref="AO576:AR576"/>
    <mergeCell ref="AS576:AV576"/>
    <mergeCell ref="AW576:AZ576"/>
    <mergeCell ref="E576:H576"/>
    <mergeCell ref="I576:L576"/>
    <mergeCell ref="M576:P576"/>
    <mergeCell ref="Q576:T576"/>
    <mergeCell ref="U576:X576"/>
    <mergeCell ref="Y576:AB576"/>
    <mergeCell ref="AC579:AF579"/>
    <mergeCell ref="AG579:AJ579"/>
    <mergeCell ref="AK579:AN579"/>
    <mergeCell ref="AO579:AR579"/>
    <mergeCell ref="AS579:AV579"/>
    <mergeCell ref="AW579:AZ579"/>
    <mergeCell ref="E579:H579"/>
    <mergeCell ref="I579:L579"/>
    <mergeCell ref="M579:P579"/>
    <mergeCell ref="Q579:T579"/>
    <mergeCell ref="U579:X579"/>
    <mergeCell ref="Y579:AB579"/>
    <mergeCell ref="AC578:AF578"/>
    <mergeCell ref="AG578:AJ578"/>
    <mergeCell ref="AK578:AN578"/>
    <mergeCell ref="AO578:AR578"/>
    <mergeCell ref="AS578:AV578"/>
    <mergeCell ref="AW578:AZ578"/>
    <mergeCell ref="E578:H578"/>
    <mergeCell ref="I578:L578"/>
    <mergeCell ref="M578:P578"/>
    <mergeCell ref="Q578:T578"/>
    <mergeCell ref="U578:X578"/>
    <mergeCell ref="Y578:AB578"/>
    <mergeCell ref="AC581:AF581"/>
    <mergeCell ref="AG581:AJ581"/>
    <mergeCell ref="AK581:AN581"/>
    <mergeCell ref="AO581:AR581"/>
    <mergeCell ref="AS581:AV581"/>
    <mergeCell ref="AW581:AZ581"/>
    <mergeCell ref="E581:H581"/>
    <mergeCell ref="I581:L581"/>
    <mergeCell ref="M581:P581"/>
    <mergeCell ref="Q581:T581"/>
    <mergeCell ref="U581:X581"/>
    <mergeCell ref="Y581:AB581"/>
    <mergeCell ref="AC580:AF580"/>
    <mergeCell ref="AG580:AJ580"/>
    <mergeCell ref="AK580:AN580"/>
    <mergeCell ref="AO580:AR580"/>
    <mergeCell ref="AS580:AV580"/>
    <mergeCell ref="AW580:AZ580"/>
    <mergeCell ref="E580:H580"/>
    <mergeCell ref="I580:L580"/>
    <mergeCell ref="M580:P580"/>
    <mergeCell ref="Q580:T580"/>
    <mergeCell ref="U580:X580"/>
    <mergeCell ref="Y580:AB580"/>
    <mergeCell ref="AC583:AF583"/>
    <mergeCell ref="AG583:AJ583"/>
    <mergeCell ref="AK583:AN583"/>
    <mergeCell ref="AO583:AR583"/>
    <mergeCell ref="AS583:AV583"/>
    <mergeCell ref="AW583:AZ583"/>
    <mergeCell ref="E583:H583"/>
    <mergeCell ref="I583:L583"/>
    <mergeCell ref="M583:P583"/>
    <mergeCell ref="Q583:T583"/>
    <mergeCell ref="U583:X583"/>
    <mergeCell ref="Y583:AB583"/>
    <mergeCell ref="AC582:AF582"/>
    <mergeCell ref="AG582:AJ582"/>
    <mergeCell ref="AK582:AN582"/>
    <mergeCell ref="AO582:AR582"/>
    <mergeCell ref="AS582:AV582"/>
    <mergeCell ref="AW582:AZ582"/>
    <mergeCell ref="E582:H582"/>
    <mergeCell ref="I582:L582"/>
    <mergeCell ref="M582:P582"/>
    <mergeCell ref="Q582:T582"/>
    <mergeCell ref="U582:X582"/>
    <mergeCell ref="Y582:AB582"/>
    <mergeCell ref="AC585:AF585"/>
    <mergeCell ref="AG585:AJ585"/>
    <mergeCell ref="AK585:AN585"/>
    <mergeCell ref="AO585:AR585"/>
    <mergeCell ref="AS585:AV585"/>
    <mergeCell ref="AW585:AZ585"/>
    <mergeCell ref="E585:H585"/>
    <mergeCell ref="I585:L585"/>
    <mergeCell ref="M585:P585"/>
    <mergeCell ref="Q585:T585"/>
    <mergeCell ref="U585:X585"/>
    <mergeCell ref="Y585:AB585"/>
    <mergeCell ref="AC584:AF584"/>
    <mergeCell ref="AG584:AJ584"/>
    <mergeCell ref="AK584:AN584"/>
    <mergeCell ref="AO584:AR584"/>
    <mergeCell ref="AS584:AV584"/>
    <mergeCell ref="AW584:AZ584"/>
    <mergeCell ref="E584:H584"/>
    <mergeCell ref="I584:L584"/>
    <mergeCell ref="M584:P584"/>
    <mergeCell ref="Q584:T584"/>
    <mergeCell ref="U584:X584"/>
    <mergeCell ref="Y584:AB584"/>
    <mergeCell ref="AC587:AF587"/>
    <mergeCell ref="AG587:AJ587"/>
    <mergeCell ref="AK587:AN587"/>
    <mergeCell ref="AO587:AR587"/>
    <mergeCell ref="AS587:AV587"/>
    <mergeCell ref="AW587:AZ587"/>
    <mergeCell ref="E587:H587"/>
    <mergeCell ref="I587:L587"/>
    <mergeCell ref="M587:P587"/>
    <mergeCell ref="Q587:T587"/>
    <mergeCell ref="U587:X587"/>
    <mergeCell ref="Y587:AB587"/>
    <mergeCell ref="AC586:AF586"/>
    <mergeCell ref="AG586:AJ586"/>
    <mergeCell ref="AK586:AN586"/>
    <mergeCell ref="AO586:AR586"/>
    <mergeCell ref="AS586:AV586"/>
    <mergeCell ref="AW586:AZ586"/>
    <mergeCell ref="E586:H586"/>
    <mergeCell ref="I586:L586"/>
    <mergeCell ref="M586:P586"/>
    <mergeCell ref="Q586:T586"/>
    <mergeCell ref="U586:X586"/>
    <mergeCell ref="Y586:AB586"/>
    <mergeCell ref="AC589:AF589"/>
    <mergeCell ref="AG589:AJ589"/>
    <mergeCell ref="AK589:AN589"/>
    <mergeCell ref="AO589:AR589"/>
    <mergeCell ref="AS589:AV589"/>
    <mergeCell ref="AW589:AZ589"/>
    <mergeCell ref="E589:H589"/>
    <mergeCell ref="I589:L589"/>
    <mergeCell ref="M589:P589"/>
    <mergeCell ref="Q589:T589"/>
    <mergeCell ref="U589:X589"/>
    <mergeCell ref="Y589:AB589"/>
    <mergeCell ref="AC588:AF588"/>
    <mergeCell ref="AG588:AJ588"/>
    <mergeCell ref="AK588:AN588"/>
    <mergeCell ref="AO588:AR588"/>
    <mergeCell ref="AS588:AV588"/>
    <mergeCell ref="AW588:AZ588"/>
    <mergeCell ref="E588:H588"/>
    <mergeCell ref="I588:L588"/>
    <mergeCell ref="M588:P588"/>
    <mergeCell ref="Q588:T588"/>
    <mergeCell ref="U588:X588"/>
    <mergeCell ref="Y588:AB588"/>
    <mergeCell ref="AC591:AF591"/>
    <mergeCell ref="AG591:AJ591"/>
    <mergeCell ref="AK591:AN591"/>
    <mergeCell ref="AO591:AR591"/>
    <mergeCell ref="AS591:AV591"/>
    <mergeCell ref="AW591:AZ591"/>
    <mergeCell ref="E591:H591"/>
    <mergeCell ref="I591:L591"/>
    <mergeCell ref="M591:P591"/>
    <mergeCell ref="Q591:T591"/>
    <mergeCell ref="U591:X591"/>
    <mergeCell ref="Y591:AB591"/>
    <mergeCell ref="AC590:AF590"/>
    <mergeCell ref="AG590:AJ590"/>
    <mergeCell ref="AK590:AN590"/>
    <mergeCell ref="AO590:AR590"/>
    <mergeCell ref="AS590:AV590"/>
    <mergeCell ref="AW590:AZ590"/>
    <mergeCell ref="E590:H590"/>
    <mergeCell ref="I590:L590"/>
    <mergeCell ref="M590:P590"/>
    <mergeCell ref="Q590:T590"/>
    <mergeCell ref="U590:X590"/>
    <mergeCell ref="Y590:AB590"/>
    <mergeCell ref="AC593:AF593"/>
    <mergeCell ref="AG593:AJ593"/>
    <mergeCell ref="AK593:AN593"/>
    <mergeCell ref="AO593:AR593"/>
    <mergeCell ref="AS593:AV593"/>
    <mergeCell ref="AW593:AZ593"/>
    <mergeCell ref="E593:H593"/>
    <mergeCell ref="I593:L593"/>
    <mergeCell ref="M593:P593"/>
    <mergeCell ref="Q593:T593"/>
    <mergeCell ref="U593:X593"/>
    <mergeCell ref="Y593:AB593"/>
    <mergeCell ref="AC592:AF592"/>
    <mergeCell ref="AG592:AJ592"/>
    <mergeCell ref="AK592:AN592"/>
    <mergeCell ref="AO592:AR592"/>
    <mergeCell ref="AS592:AV592"/>
    <mergeCell ref="AW592:AZ592"/>
    <mergeCell ref="E592:H592"/>
    <mergeCell ref="I592:L592"/>
    <mergeCell ref="M592:P592"/>
    <mergeCell ref="Q592:T592"/>
    <mergeCell ref="U592:X592"/>
    <mergeCell ref="Y592:AB592"/>
    <mergeCell ref="AC595:AF595"/>
    <mergeCell ref="AG595:AJ595"/>
    <mergeCell ref="AK595:AN595"/>
    <mergeCell ref="AO595:AR595"/>
    <mergeCell ref="AS595:AV595"/>
    <mergeCell ref="AW595:AZ595"/>
    <mergeCell ref="E595:H595"/>
    <mergeCell ref="I595:L595"/>
    <mergeCell ref="M595:P595"/>
    <mergeCell ref="Q595:T595"/>
    <mergeCell ref="U595:X595"/>
    <mergeCell ref="Y595:AB595"/>
    <mergeCell ref="AC594:AF594"/>
    <mergeCell ref="AG594:AJ594"/>
    <mergeCell ref="AK594:AN594"/>
    <mergeCell ref="AO594:AR594"/>
    <mergeCell ref="AS594:AV594"/>
    <mergeCell ref="AW594:AZ594"/>
    <mergeCell ref="E594:H594"/>
    <mergeCell ref="I594:L594"/>
    <mergeCell ref="M594:P594"/>
    <mergeCell ref="Q594:T594"/>
    <mergeCell ref="U594:X594"/>
    <mergeCell ref="Y594:AB594"/>
    <mergeCell ref="AC597:AF597"/>
    <mergeCell ref="AG597:AJ597"/>
    <mergeCell ref="AK597:AN597"/>
    <mergeCell ref="AO597:AR597"/>
    <mergeCell ref="AS597:AV597"/>
    <mergeCell ref="AW597:AZ597"/>
    <mergeCell ref="E597:H597"/>
    <mergeCell ref="I597:L597"/>
    <mergeCell ref="M597:P597"/>
    <mergeCell ref="Q597:T597"/>
    <mergeCell ref="U597:X597"/>
    <mergeCell ref="Y597:AB597"/>
    <mergeCell ref="AC596:AF596"/>
    <mergeCell ref="AG596:AJ596"/>
    <mergeCell ref="AK596:AN596"/>
    <mergeCell ref="AO596:AR596"/>
    <mergeCell ref="AS596:AV596"/>
    <mergeCell ref="AW596:AZ596"/>
    <mergeCell ref="E596:H596"/>
    <mergeCell ref="I596:L596"/>
    <mergeCell ref="M596:P596"/>
    <mergeCell ref="Q596:T596"/>
    <mergeCell ref="U596:X596"/>
    <mergeCell ref="Y596:AB596"/>
    <mergeCell ref="AC599:AF599"/>
    <mergeCell ref="AG599:AJ599"/>
    <mergeCell ref="AK599:AN599"/>
    <mergeCell ref="AO599:AR599"/>
    <mergeCell ref="AS599:AV599"/>
    <mergeCell ref="AW599:AZ599"/>
    <mergeCell ref="E599:H599"/>
    <mergeCell ref="I599:L599"/>
    <mergeCell ref="M599:P599"/>
    <mergeCell ref="Q599:T599"/>
    <mergeCell ref="U599:X599"/>
    <mergeCell ref="Y599:AB599"/>
    <mergeCell ref="AC598:AF598"/>
    <mergeCell ref="AG598:AJ598"/>
    <mergeCell ref="AK598:AN598"/>
    <mergeCell ref="AO598:AR598"/>
    <mergeCell ref="AS598:AV598"/>
    <mergeCell ref="AW598:AZ598"/>
    <mergeCell ref="E598:H598"/>
    <mergeCell ref="I598:L598"/>
    <mergeCell ref="M598:P598"/>
    <mergeCell ref="Q598:T598"/>
    <mergeCell ref="U598:X598"/>
    <mergeCell ref="Y598:AB598"/>
    <mergeCell ref="AC601:AF601"/>
    <mergeCell ref="AG601:AJ601"/>
    <mergeCell ref="AK601:AN601"/>
    <mergeCell ref="AO601:AR601"/>
    <mergeCell ref="AS601:AV601"/>
    <mergeCell ref="AW601:AZ601"/>
    <mergeCell ref="E601:H601"/>
    <mergeCell ref="I601:L601"/>
    <mergeCell ref="M601:P601"/>
    <mergeCell ref="Q601:T601"/>
    <mergeCell ref="U601:X601"/>
    <mergeCell ref="Y601:AB601"/>
    <mergeCell ref="AC600:AF600"/>
    <mergeCell ref="AG600:AJ600"/>
    <mergeCell ref="AK600:AN600"/>
    <mergeCell ref="AO600:AR600"/>
    <mergeCell ref="AS600:AV600"/>
    <mergeCell ref="AW600:AZ600"/>
    <mergeCell ref="E600:H600"/>
    <mergeCell ref="I600:L600"/>
    <mergeCell ref="M600:P600"/>
    <mergeCell ref="Q600:T600"/>
    <mergeCell ref="U600:X600"/>
    <mergeCell ref="Y600:AB600"/>
    <mergeCell ref="AC603:AF603"/>
    <mergeCell ref="AG603:AJ603"/>
    <mergeCell ref="AK603:AN603"/>
    <mergeCell ref="AO603:AR603"/>
    <mergeCell ref="AS603:AV603"/>
    <mergeCell ref="AW603:AZ603"/>
    <mergeCell ref="E603:H603"/>
    <mergeCell ref="I603:L603"/>
    <mergeCell ref="M603:P603"/>
    <mergeCell ref="Q603:T603"/>
    <mergeCell ref="U603:X603"/>
    <mergeCell ref="Y603:AB603"/>
    <mergeCell ref="AC602:AF602"/>
    <mergeCell ref="AG602:AJ602"/>
    <mergeCell ref="AK602:AN602"/>
    <mergeCell ref="AO602:AR602"/>
    <mergeCell ref="AS602:AV602"/>
    <mergeCell ref="AW602:AZ602"/>
    <mergeCell ref="E602:H602"/>
    <mergeCell ref="I602:L602"/>
    <mergeCell ref="M602:P602"/>
    <mergeCell ref="Q602:T602"/>
    <mergeCell ref="U602:X602"/>
    <mergeCell ref="Y602:AB602"/>
    <mergeCell ref="AC605:AF605"/>
    <mergeCell ref="AG605:AJ605"/>
    <mergeCell ref="AK605:AN605"/>
    <mergeCell ref="AO605:AR605"/>
    <mergeCell ref="AS605:AV605"/>
    <mergeCell ref="AW605:AZ605"/>
    <mergeCell ref="E605:H605"/>
    <mergeCell ref="I605:L605"/>
    <mergeCell ref="M605:P605"/>
    <mergeCell ref="Q605:T605"/>
    <mergeCell ref="U605:X605"/>
    <mergeCell ref="Y605:AB605"/>
    <mergeCell ref="AC604:AF604"/>
    <mergeCell ref="AG604:AJ604"/>
    <mergeCell ref="AK604:AN604"/>
    <mergeCell ref="AO604:AR604"/>
    <mergeCell ref="AS604:AV604"/>
    <mergeCell ref="AW604:AZ604"/>
    <mergeCell ref="E604:H604"/>
    <mergeCell ref="I604:L604"/>
    <mergeCell ref="M604:P604"/>
    <mergeCell ref="Q604:T604"/>
    <mergeCell ref="U604:X604"/>
    <mergeCell ref="Y604:AB604"/>
    <mergeCell ref="AC607:AF607"/>
    <mergeCell ref="AG607:AJ607"/>
    <mergeCell ref="AK607:AN607"/>
    <mergeCell ref="AO607:AR607"/>
    <mergeCell ref="AS607:AV607"/>
    <mergeCell ref="AW607:AZ607"/>
    <mergeCell ref="E607:H607"/>
    <mergeCell ref="I607:L607"/>
    <mergeCell ref="M607:P607"/>
    <mergeCell ref="Q607:T607"/>
    <mergeCell ref="U607:X607"/>
    <mergeCell ref="Y607:AB607"/>
    <mergeCell ref="AC606:AF606"/>
    <mergeCell ref="AG606:AJ606"/>
    <mergeCell ref="AK606:AN606"/>
    <mergeCell ref="AO606:AR606"/>
    <mergeCell ref="AS606:AV606"/>
    <mergeCell ref="AW606:AZ606"/>
    <mergeCell ref="E606:H606"/>
    <mergeCell ref="I606:L606"/>
    <mergeCell ref="M606:P606"/>
    <mergeCell ref="Q606:T606"/>
    <mergeCell ref="U606:X606"/>
    <mergeCell ref="Y606:AB606"/>
    <mergeCell ref="AC609:AF609"/>
    <mergeCell ref="AG609:AJ609"/>
    <mergeCell ref="AK609:AN609"/>
    <mergeCell ref="AO609:AR609"/>
    <mergeCell ref="AS609:AV609"/>
    <mergeCell ref="AW609:AZ609"/>
    <mergeCell ref="E609:H609"/>
    <mergeCell ref="I609:L609"/>
    <mergeCell ref="M609:P609"/>
    <mergeCell ref="Q609:T609"/>
    <mergeCell ref="U609:X609"/>
    <mergeCell ref="Y609:AB609"/>
    <mergeCell ref="AC608:AF608"/>
    <mergeCell ref="AG608:AJ608"/>
    <mergeCell ref="AK608:AN608"/>
    <mergeCell ref="AO608:AR608"/>
    <mergeCell ref="AS608:AV608"/>
    <mergeCell ref="AW608:AZ608"/>
    <mergeCell ref="E608:H608"/>
    <mergeCell ref="I608:L608"/>
    <mergeCell ref="M608:P608"/>
    <mergeCell ref="Q608:T608"/>
    <mergeCell ref="U608:X608"/>
    <mergeCell ref="Y608:AB608"/>
    <mergeCell ref="AC611:AF611"/>
    <mergeCell ref="AG611:AJ611"/>
    <mergeCell ref="AK611:AN611"/>
    <mergeCell ref="AO611:AR611"/>
    <mergeCell ref="AS611:AV611"/>
    <mergeCell ref="AW611:AZ611"/>
    <mergeCell ref="E611:H611"/>
    <mergeCell ref="I611:L611"/>
    <mergeCell ref="M611:P611"/>
    <mergeCell ref="Q611:T611"/>
    <mergeCell ref="U611:X611"/>
    <mergeCell ref="Y611:AB611"/>
    <mergeCell ref="AC610:AF610"/>
    <mergeCell ref="AG610:AJ610"/>
    <mergeCell ref="AK610:AN610"/>
    <mergeCell ref="AO610:AR610"/>
    <mergeCell ref="AS610:AV610"/>
    <mergeCell ref="AW610:AZ610"/>
    <mergeCell ref="E610:H610"/>
    <mergeCell ref="I610:L610"/>
    <mergeCell ref="M610:P610"/>
    <mergeCell ref="Q610:T610"/>
    <mergeCell ref="U610:X610"/>
    <mergeCell ref="Y610:AB610"/>
    <mergeCell ref="AC613:AF613"/>
    <mergeCell ref="AG613:AJ613"/>
    <mergeCell ref="AK613:AN613"/>
    <mergeCell ref="AO613:AR613"/>
    <mergeCell ref="AS613:AV613"/>
    <mergeCell ref="AW613:AZ613"/>
    <mergeCell ref="E613:H613"/>
    <mergeCell ref="I613:L613"/>
    <mergeCell ref="M613:P613"/>
    <mergeCell ref="Q613:T613"/>
    <mergeCell ref="U613:X613"/>
    <mergeCell ref="Y613:AB613"/>
    <mergeCell ref="AC612:AF612"/>
    <mergeCell ref="AG612:AJ612"/>
    <mergeCell ref="AK612:AN612"/>
    <mergeCell ref="AO612:AR612"/>
    <mergeCell ref="AS612:AV612"/>
    <mergeCell ref="AW612:AZ612"/>
    <mergeCell ref="E612:H612"/>
    <mergeCell ref="I612:L612"/>
    <mergeCell ref="M612:P612"/>
    <mergeCell ref="Q612:T612"/>
    <mergeCell ref="U612:X612"/>
    <mergeCell ref="Y612:AB612"/>
    <mergeCell ref="AC615:AF615"/>
    <mergeCell ref="AG615:AJ615"/>
    <mergeCell ref="AK615:AN615"/>
    <mergeCell ref="AO615:AR615"/>
    <mergeCell ref="AS615:AV615"/>
    <mergeCell ref="AW615:AZ615"/>
    <mergeCell ref="E615:H615"/>
    <mergeCell ref="I615:L615"/>
    <mergeCell ref="M615:P615"/>
    <mergeCell ref="Q615:T615"/>
    <mergeCell ref="U615:X615"/>
    <mergeCell ref="Y615:AB615"/>
    <mergeCell ref="AC614:AF614"/>
    <mergeCell ref="AG614:AJ614"/>
    <mergeCell ref="AK614:AN614"/>
    <mergeCell ref="AO614:AR614"/>
    <mergeCell ref="AS614:AV614"/>
    <mergeCell ref="AW614:AZ614"/>
    <mergeCell ref="E614:H614"/>
    <mergeCell ref="I614:L614"/>
    <mergeCell ref="M614:P614"/>
    <mergeCell ref="Q614:T614"/>
    <mergeCell ref="U614:X614"/>
    <mergeCell ref="Y614:AB614"/>
    <mergeCell ref="AC617:AF617"/>
    <mergeCell ref="AG617:AJ617"/>
    <mergeCell ref="AK617:AN617"/>
    <mergeCell ref="AO617:AR617"/>
    <mergeCell ref="AS617:AV617"/>
    <mergeCell ref="AW617:AZ617"/>
    <mergeCell ref="E617:H617"/>
    <mergeCell ref="I617:L617"/>
    <mergeCell ref="M617:P617"/>
    <mergeCell ref="Q617:T617"/>
    <mergeCell ref="U617:X617"/>
    <mergeCell ref="Y617:AB617"/>
    <mergeCell ref="AC616:AF616"/>
    <mergeCell ref="AG616:AJ616"/>
    <mergeCell ref="AK616:AN616"/>
    <mergeCell ref="AO616:AR616"/>
    <mergeCell ref="AS616:AV616"/>
    <mergeCell ref="AW616:AZ616"/>
    <mergeCell ref="E616:H616"/>
    <mergeCell ref="I616:L616"/>
    <mergeCell ref="M616:P616"/>
    <mergeCell ref="Q616:T616"/>
    <mergeCell ref="U616:X616"/>
    <mergeCell ref="Y616:AB616"/>
    <mergeCell ref="AK621:AN621"/>
    <mergeCell ref="AO621:AR621"/>
    <mergeCell ref="AS621:AV621"/>
    <mergeCell ref="AW621:AZ621"/>
    <mergeCell ref="A622:D622"/>
    <mergeCell ref="E622:H622"/>
    <mergeCell ref="I622:L622"/>
    <mergeCell ref="M622:P622"/>
    <mergeCell ref="Q622:T622"/>
    <mergeCell ref="U622:X622"/>
    <mergeCell ref="AW620:AZ620"/>
    <mergeCell ref="A621:D621"/>
    <mergeCell ref="E621:H621"/>
    <mergeCell ref="I621:L621"/>
    <mergeCell ref="M621:P621"/>
    <mergeCell ref="Q621:T621"/>
    <mergeCell ref="U621:X621"/>
    <mergeCell ref="Y621:AB621"/>
    <mergeCell ref="AC621:AF621"/>
    <mergeCell ref="AG621:AJ621"/>
    <mergeCell ref="Y620:AB620"/>
    <mergeCell ref="AC620:AF620"/>
    <mergeCell ref="AG620:AJ620"/>
    <mergeCell ref="AK620:AN620"/>
    <mergeCell ref="AO620:AR620"/>
    <mergeCell ref="AS620:AV620"/>
    <mergeCell ref="A620:D620"/>
    <mergeCell ref="E620:H620"/>
    <mergeCell ref="I620:L620"/>
    <mergeCell ref="M620:P620"/>
    <mergeCell ref="Q620:T620"/>
    <mergeCell ref="U620:X620"/>
    <mergeCell ref="AK623:AN623"/>
    <mergeCell ref="AO623:AR623"/>
    <mergeCell ref="AS623:AV623"/>
    <mergeCell ref="AW623:AZ623"/>
    <mergeCell ref="A624:D624"/>
    <mergeCell ref="E624:H624"/>
    <mergeCell ref="I624:L624"/>
    <mergeCell ref="M624:P624"/>
    <mergeCell ref="Q624:T624"/>
    <mergeCell ref="U624:X624"/>
    <mergeCell ref="AW622:AZ622"/>
    <mergeCell ref="A623:D623"/>
    <mergeCell ref="E623:H623"/>
    <mergeCell ref="I623:L623"/>
    <mergeCell ref="M623:P623"/>
    <mergeCell ref="Q623:T623"/>
    <mergeCell ref="U623:X623"/>
    <mergeCell ref="Y623:AB623"/>
    <mergeCell ref="AC623:AF623"/>
    <mergeCell ref="AG623:AJ623"/>
    <mergeCell ref="Y622:AB622"/>
    <mergeCell ref="AC622:AF622"/>
    <mergeCell ref="AG622:AJ622"/>
    <mergeCell ref="AK622:AN622"/>
    <mergeCell ref="AO622:AR622"/>
    <mergeCell ref="AS622:AV622"/>
    <mergeCell ref="A634:AZ635"/>
    <mergeCell ref="AK625:AN625"/>
    <mergeCell ref="AO625:AR625"/>
    <mergeCell ref="AS625:AV625"/>
    <mergeCell ref="AW625:AZ625"/>
    <mergeCell ref="AV627:AZ627"/>
    <mergeCell ref="A632:AZ633"/>
    <mergeCell ref="AW624:AZ624"/>
    <mergeCell ref="A625:D625"/>
    <mergeCell ref="E625:H625"/>
    <mergeCell ref="I625:L625"/>
    <mergeCell ref="M625:P625"/>
    <mergeCell ref="Q625:T625"/>
    <mergeCell ref="U625:X625"/>
    <mergeCell ref="Y625:AB625"/>
    <mergeCell ref="AC625:AF625"/>
    <mergeCell ref="AG625:AJ625"/>
    <mergeCell ref="Y624:AB624"/>
    <mergeCell ref="AC624:AF624"/>
    <mergeCell ref="AG624:AJ624"/>
    <mergeCell ref="AK624:AN624"/>
    <mergeCell ref="AO624:AR624"/>
    <mergeCell ref="AS624:AV624"/>
  </mergeCells>
  <printOptions horizontalCentered="1"/>
  <pageMargins left="0.31" right="0.25" top="0.98425196850393704" bottom="0.98425196850393704" header="0.51181102362204722" footer="0.51181102362204722"/>
  <headerFooter alignWithMargins="0"/>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FFFF00"/>
    <pageSetUpPr autoPageBreaks="0"/>
  </sheetPr>
  <dimension ref="A1:CG639"/>
  <sheetViews>
    <sheetView showGridLines="0" workbookViewId="0">
      <pane ySplit="7" topLeftCell="A10" activePane="bottomLeft" state="frozen"/>
      <selection activeCell="BO43" sqref="BO43"/>
      <selection pane="bottomLeft" activeCell="BO43" sqref="BO43"/>
    </sheetView>
  </sheetViews>
  <sheetFormatPr baseColWidth="10" defaultColWidth="2.6640625" defaultRowHeight="15" x14ac:dyDescent="0"/>
  <cols>
    <col min="1" max="1" width="2.6640625" style="241" customWidth="1"/>
    <col min="2" max="58" width="2.6640625" style="241" hidden="1" customWidth="1"/>
    <col min="59" max="61" width="7.5" style="264" customWidth="1"/>
    <col min="62" max="62" width="11.5" style="288" customWidth="1"/>
    <col min="63" max="63" width="8.1640625" style="288" customWidth="1"/>
    <col min="64" max="67" width="7.5" style="288" customWidth="1"/>
    <col min="68" max="68" width="2.5" style="264" customWidth="1"/>
    <col min="69" max="71" width="3.1640625" style="264" customWidth="1"/>
    <col min="72" max="83" width="2.6640625" style="244" customWidth="1"/>
    <col min="84" max="257" width="2.6640625" style="241"/>
    <col min="258" max="314" width="0" style="241" hidden="1" customWidth="1"/>
    <col min="315" max="317" width="7.5" style="241" customWidth="1"/>
    <col min="318" max="318" width="11.5" style="241" customWidth="1"/>
    <col min="319" max="319" width="8.1640625" style="241" customWidth="1"/>
    <col min="320" max="323" width="7.5" style="241" customWidth="1"/>
    <col min="324" max="324" width="2.5" style="241" customWidth="1"/>
    <col min="325" max="327" width="3.1640625" style="241" customWidth="1"/>
    <col min="328" max="513" width="2.6640625" style="241"/>
    <col min="514" max="570" width="0" style="241" hidden="1" customWidth="1"/>
    <col min="571" max="573" width="7.5" style="241" customWidth="1"/>
    <col min="574" max="574" width="11.5" style="241" customWidth="1"/>
    <col min="575" max="575" width="8.1640625" style="241" customWidth="1"/>
    <col min="576" max="579" width="7.5" style="241" customWidth="1"/>
    <col min="580" max="580" width="2.5" style="241" customWidth="1"/>
    <col min="581" max="583" width="3.1640625" style="241" customWidth="1"/>
    <col min="584" max="769" width="2.6640625" style="241"/>
    <col min="770" max="826" width="0" style="241" hidden="1" customWidth="1"/>
    <col min="827" max="829" width="7.5" style="241" customWidth="1"/>
    <col min="830" max="830" width="11.5" style="241" customWidth="1"/>
    <col min="831" max="831" width="8.1640625" style="241" customWidth="1"/>
    <col min="832" max="835" width="7.5" style="241" customWidth="1"/>
    <col min="836" max="836" width="2.5" style="241" customWidth="1"/>
    <col min="837" max="839" width="3.1640625" style="241" customWidth="1"/>
    <col min="840" max="1025" width="2.6640625" style="241"/>
    <col min="1026" max="1082" width="0" style="241" hidden="1" customWidth="1"/>
    <col min="1083" max="1085" width="7.5" style="241" customWidth="1"/>
    <col min="1086" max="1086" width="11.5" style="241" customWidth="1"/>
    <col min="1087" max="1087" width="8.1640625" style="241" customWidth="1"/>
    <col min="1088" max="1091" width="7.5" style="241" customWidth="1"/>
    <col min="1092" max="1092" width="2.5" style="241" customWidth="1"/>
    <col min="1093" max="1095" width="3.1640625" style="241" customWidth="1"/>
    <col min="1096" max="1281" width="2.6640625" style="241"/>
    <col min="1282" max="1338" width="0" style="241" hidden="1" customWidth="1"/>
    <col min="1339" max="1341" width="7.5" style="241" customWidth="1"/>
    <col min="1342" max="1342" width="11.5" style="241" customWidth="1"/>
    <col min="1343" max="1343" width="8.1640625" style="241" customWidth="1"/>
    <col min="1344" max="1347" width="7.5" style="241" customWidth="1"/>
    <col min="1348" max="1348" width="2.5" style="241" customWidth="1"/>
    <col min="1349" max="1351" width="3.1640625" style="241" customWidth="1"/>
    <col min="1352" max="1537" width="2.6640625" style="241"/>
    <col min="1538" max="1594" width="0" style="241" hidden="1" customWidth="1"/>
    <col min="1595" max="1597" width="7.5" style="241" customWidth="1"/>
    <col min="1598" max="1598" width="11.5" style="241" customWidth="1"/>
    <col min="1599" max="1599" width="8.1640625" style="241" customWidth="1"/>
    <col min="1600" max="1603" width="7.5" style="241" customWidth="1"/>
    <col min="1604" max="1604" width="2.5" style="241" customWidth="1"/>
    <col min="1605" max="1607" width="3.1640625" style="241" customWidth="1"/>
    <col min="1608" max="1793" width="2.6640625" style="241"/>
    <col min="1794" max="1850" width="0" style="241" hidden="1" customWidth="1"/>
    <col min="1851" max="1853" width="7.5" style="241" customWidth="1"/>
    <col min="1854" max="1854" width="11.5" style="241" customWidth="1"/>
    <col min="1855" max="1855" width="8.1640625" style="241" customWidth="1"/>
    <col min="1856" max="1859" width="7.5" style="241" customWidth="1"/>
    <col min="1860" max="1860" width="2.5" style="241" customWidth="1"/>
    <col min="1861" max="1863" width="3.1640625" style="241" customWidth="1"/>
    <col min="1864" max="2049" width="2.6640625" style="241"/>
    <col min="2050" max="2106" width="0" style="241" hidden="1" customWidth="1"/>
    <col min="2107" max="2109" width="7.5" style="241" customWidth="1"/>
    <col min="2110" max="2110" width="11.5" style="241" customWidth="1"/>
    <col min="2111" max="2111" width="8.1640625" style="241" customWidth="1"/>
    <col min="2112" max="2115" width="7.5" style="241" customWidth="1"/>
    <col min="2116" max="2116" width="2.5" style="241" customWidth="1"/>
    <col min="2117" max="2119" width="3.1640625" style="241" customWidth="1"/>
    <col min="2120" max="2305" width="2.6640625" style="241"/>
    <col min="2306" max="2362" width="0" style="241" hidden="1" customWidth="1"/>
    <col min="2363" max="2365" width="7.5" style="241" customWidth="1"/>
    <col min="2366" max="2366" width="11.5" style="241" customWidth="1"/>
    <col min="2367" max="2367" width="8.1640625" style="241" customWidth="1"/>
    <col min="2368" max="2371" width="7.5" style="241" customWidth="1"/>
    <col min="2372" max="2372" width="2.5" style="241" customWidth="1"/>
    <col min="2373" max="2375" width="3.1640625" style="241" customWidth="1"/>
    <col min="2376" max="2561" width="2.6640625" style="241"/>
    <col min="2562" max="2618" width="0" style="241" hidden="1" customWidth="1"/>
    <col min="2619" max="2621" width="7.5" style="241" customWidth="1"/>
    <col min="2622" max="2622" width="11.5" style="241" customWidth="1"/>
    <col min="2623" max="2623" width="8.1640625" style="241" customWidth="1"/>
    <col min="2624" max="2627" width="7.5" style="241" customWidth="1"/>
    <col min="2628" max="2628" width="2.5" style="241" customWidth="1"/>
    <col min="2629" max="2631" width="3.1640625" style="241" customWidth="1"/>
    <col min="2632" max="2817" width="2.6640625" style="241"/>
    <col min="2818" max="2874" width="0" style="241" hidden="1" customWidth="1"/>
    <col min="2875" max="2877" width="7.5" style="241" customWidth="1"/>
    <col min="2878" max="2878" width="11.5" style="241" customWidth="1"/>
    <col min="2879" max="2879" width="8.1640625" style="241" customWidth="1"/>
    <col min="2880" max="2883" width="7.5" style="241" customWidth="1"/>
    <col min="2884" max="2884" width="2.5" style="241" customWidth="1"/>
    <col min="2885" max="2887" width="3.1640625" style="241" customWidth="1"/>
    <col min="2888" max="3073" width="2.6640625" style="241"/>
    <col min="3074" max="3130" width="0" style="241" hidden="1" customWidth="1"/>
    <col min="3131" max="3133" width="7.5" style="241" customWidth="1"/>
    <col min="3134" max="3134" width="11.5" style="241" customWidth="1"/>
    <col min="3135" max="3135" width="8.1640625" style="241" customWidth="1"/>
    <col min="3136" max="3139" width="7.5" style="241" customWidth="1"/>
    <col min="3140" max="3140" width="2.5" style="241" customWidth="1"/>
    <col min="3141" max="3143" width="3.1640625" style="241" customWidth="1"/>
    <col min="3144" max="3329" width="2.6640625" style="241"/>
    <col min="3330" max="3386" width="0" style="241" hidden="1" customWidth="1"/>
    <col min="3387" max="3389" width="7.5" style="241" customWidth="1"/>
    <col min="3390" max="3390" width="11.5" style="241" customWidth="1"/>
    <col min="3391" max="3391" width="8.1640625" style="241" customWidth="1"/>
    <col min="3392" max="3395" width="7.5" style="241" customWidth="1"/>
    <col min="3396" max="3396" width="2.5" style="241" customWidth="1"/>
    <col min="3397" max="3399" width="3.1640625" style="241" customWidth="1"/>
    <col min="3400" max="3585" width="2.6640625" style="241"/>
    <col min="3586" max="3642" width="0" style="241" hidden="1" customWidth="1"/>
    <col min="3643" max="3645" width="7.5" style="241" customWidth="1"/>
    <col min="3646" max="3646" width="11.5" style="241" customWidth="1"/>
    <col min="3647" max="3647" width="8.1640625" style="241" customWidth="1"/>
    <col min="3648" max="3651" width="7.5" style="241" customWidth="1"/>
    <col min="3652" max="3652" width="2.5" style="241" customWidth="1"/>
    <col min="3653" max="3655" width="3.1640625" style="241" customWidth="1"/>
    <col min="3656" max="3841" width="2.6640625" style="241"/>
    <col min="3842" max="3898" width="0" style="241" hidden="1" customWidth="1"/>
    <col min="3899" max="3901" width="7.5" style="241" customWidth="1"/>
    <col min="3902" max="3902" width="11.5" style="241" customWidth="1"/>
    <col min="3903" max="3903" width="8.1640625" style="241" customWidth="1"/>
    <col min="3904" max="3907" width="7.5" style="241" customWidth="1"/>
    <col min="3908" max="3908" width="2.5" style="241" customWidth="1"/>
    <col min="3909" max="3911" width="3.1640625" style="241" customWidth="1"/>
    <col min="3912" max="4097" width="2.6640625" style="241"/>
    <col min="4098" max="4154" width="0" style="241" hidden="1" customWidth="1"/>
    <col min="4155" max="4157" width="7.5" style="241" customWidth="1"/>
    <col min="4158" max="4158" width="11.5" style="241" customWidth="1"/>
    <col min="4159" max="4159" width="8.1640625" style="241" customWidth="1"/>
    <col min="4160" max="4163" width="7.5" style="241" customWidth="1"/>
    <col min="4164" max="4164" width="2.5" style="241" customWidth="1"/>
    <col min="4165" max="4167" width="3.1640625" style="241" customWidth="1"/>
    <col min="4168" max="4353" width="2.6640625" style="241"/>
    <col min="4354" max="4410" width="0" style="241" hidden="1" customWidth="1"/>
    <col min="4411" max="4413" width="7.5" style="241" customWidth="1"/>
    <col min="4414" max="4414" width="11.5" style="241" customWidth="1"/>
    <col min="4415" max="4415" width="8.1640625" style="241" customWidth="1"/>
    <col min="4416" max="4419" width="7.5" style="241" customWidth="1"/>
    <col min="4420" max="4420" width="2.5" style="241" customWidth="1"/>
    <col min="4421" max="4423" width="3.1640625" style="241" customWidth="1"/>
    <col min="4424" max="4609" width="2.6640625" style="241"/>
    <col min="4610" max="4666" width="0" style="241" hidden="1" customWidth="1"/>
    <col min="4667" max="4669" width="7.5" style="241" customWidth="1"/>
    <col min="4670" max="4670" width="11.5" style="241" customWidth="1"/>
    <col min="4671" max="4671" width="8.1640625" style="241" customWidth="1"/>
    <col min="4672" max="4675" width="7.5" style="241" customWidth="1"/>
    <col min="4676" max="4676" width="2.5" style="241" customWidth="1"/>
    <col min="4677" max="4679" width="3.1640625" style="241" customWidth="1"/>
    <col min="4680" max="4865" width="2.6640625" style="241"/>
    <col min="4866" max="4922" width="0" style="241" hidden="1" customWidth="1"/>
    <col min="4923" max="4925" width="7.5" style="241" customWidth="1"/>
    <col min="4926" max="4926" width="11.5" style="241" customWidth="1"/>
    <col min="4927" max="4927" width="8.1640625" style="241" customWidth="1"/>
    <col min="4928" max="4931" width="7.5" style="241" customWidth="1"/>
    <col min="4932" max="4932" width="2.5" style="241" customWidth="1"/>
    <col min="4933" max="4935" width="3.1640625" style="241" customWidth="1"/>
    <col min="4936" max="5121" width="2.6640625" style="241"/>
    <col min="5122" max="5178" width="0" style="241" hidden="1" customWidth="1"/>
    <col min="5179" max="5181" width="7.5" style="241" customWidth="1"/>
    <col min="5182" max="5182" width="11.5" style="241" customWidth="1"/>
    <col min="5183" max="5183" width="8.1640625" style="241" customWidth="1"/>
    <col min="5184" max="5187" width="7.5" style="241" customWidth="1"/>
    <col min="5188" max="5188" width="2.5" style="241" customWidth="1"/>
    <col min="5189" max="5191" width="3.1640625" style="241" customWidth="1"/>
    <col min="5192" max="5377" width="2.6640625" style="241"/>
    <col min="5378" max="5434" width="0" style="241" hidden="1" customWidth="1"/>
    <col min="5435" max="5437" width="7.5" style="241" customWidth="1"/>
    <col min="5438" max="5438" width="11.5" style="241" customWidth="1"/>
    <col min="5439" max="5439" width="8.1640625" style="241" customWidth="1"/>
    <col min="5440" max="5443" width="7.5" style="241" customWidth="1"/>
    <col min="5444" max="5444" width="2.5" style="241" customWidth="1"/>
    <col min="5445" max="5447" width="3.1640625" style="241" customWidth="1"/>
    <col min="5448" max="5633" width="2.6640625" style="241"/>
    <col min="5634" max="5690" width="0" style="241" hidden="1" customWidth="1"/>
    <col min="5691" max="5693" width="7.5" style="241" customWidth="1"/>
    <col min="5694" max="5694" width="11.5" style="241" customWidth="1"/>
    <col min="5695" max="5695" width="8.1640625" style="241" customWidth="1"/>
    <col min="5696" max="5699" width="7.5" style="241" customWidth="1"/>
    <col min="5700" max="5700" width="2.5" style="241" customWidth="1"/>
    <col min="5701" max="5703" width="3.1640625" style="241" customWidth="1"/>
    <col min="5704" max="5889" width="2.6640625" style="241"/>
    <col min="5890" max="5946" width="0" style="241" hidden="1" customWidth="1"/>
    <col min="5947" max="5949" width="7.5" style="241" customWidth="1"/>
    <col min="5950" max="5950" width="11.5" style="241" customWidth="1"/>
    <col min="5951" max="5951" width="8.1640625" style="241" customWidth="1"/>
    <col min="5952" max="5955" width="7.5" style="241" customWidth="1"/>
    <col min="5956" max="5956" width="2.5" style="241" customWidth="1"/>
    <col min="5957" max="5959" width="3.1640625" style="241" customWidth="1"/>
    <col min="5960" max="6145" width="2.6640625" style="241"/>
    <col min="6146" max="6202" width="0" style="241" hidden="1" customWidth="1"/>
    <col min="6203" max="6205" width="7.5" style="241" customWidth="1"/>
    <col min="6206" max="6206" width="11.5" style="241" customWidth="1"/>
    <col min="6207" max="6207" width="8.1640625" style="241" customWidth="1"/>
    <col min="6208" max="6211" width="7.5" style="241" customWidth="1"/>
    <col min="6212" max="6212" width="2.5" style="241" customWidth="1"/>
    <col min="6213" max="6215" width="3.1640625" style="241" customWidth="1"/>
    <col min="6216" max="6401" width="2.6640625" style="241"/>
    <col min="6402" max="6458" width="0" style="241" hidden="1" customWidth="1"/>
    <col min="6459" max="6461" width="7.5" style="241" customWidth="1"/>
    <col min="6462" max="6462" width="11.5" style="241" customWidth="1"/>
    <col min="6463" max="6463" width="8.1640625" style="241" customWidth="1"/>
    <col min="6464" max="6467" width="7.5" style="241" customWidth="1"/>
    <col min="6468" max="6468" width="2.5" style="241" customWidth="1"/>
    <col min="6469" max="6471" width="3.1640625" style="241" customWidth="1"/>
    <col min="6472" max="6657" width="2.6640625" style="241"/>
    <col min="6658" max="6714" width="0" style="241" hidden="1" customWidth="1"/>
    <col min="6715" max="6717" width="7.5" style="241" customWidth="1"/>
    <col min="6718" max="6718" width="11.5" style="241" customWidth="1"/>
    <col min="6719" max="6719" width="8.1640625" style="241" customWidth="1"/>
    <col min="6720" max="6723" width="7.5" style="241" customWidth="1"/>
    <col min="6724" max="6724" width="2.5" style="241" customWidth="1"/>
    <col min="6725" max="6727" width="3.1640625" style="241" customWidth="1"/>
    <col min="6728" max="6913" width="2.6640625" style="241"/>
    <col min="6914" max="6970" width="0" style="241" hidden="1" customWidth="1"/>
    <col min="6971" max="6973" width="7.5" style="241" customWidth="1"/>
    <col min="6974" max="6974" width="11.5" style="241" customWidth="1"/>
    <col min="6975" max="6975" width="8.1640625" style="241" customWidth="1"/>
    <col min="6976" max="6979" width="7.5" style="241" customWidth="1"/>
    <col min="6980" max="6980" width="2.5" style="241" customWidth="1"/>
    <col min="6981" max="6983" width="3.1640625" style="241" customWidth="1"/>
    <col min="6984" max="7169" width="2.6640625" style="241"/>
    <col min="7170" max="7226" width="0" style="241" hidden="1" customWidth="1"/>
    <col min="7227" max="7229" width="7.5" style="241" customWidth="1"/>
    <col min="7230" max="7230" width="11.5" style="241" customWidth="1"/>
    <col min="7231" max="7231" width="8.1640625" style="241" customWidth="1"/>
    <col min="7232" max="7235" width="7.5" style="241" customWidth="1"/>
    <col min="7236" max="7236" width="2.5" style="241" customWidth="1"/>
    <col min="7237" max="7239" width="3.1640625" style="241" customWidth="1"/>
    <col min="7240" max="7425" width="2.6640625" style="241"/>
    <col min="7426" max="7482" width="0" style="241" hidden="1" customWidth="1"/>
    <col min="7483" max="7485" width="7.5" style="241" customWidth="1"/>
    <col min="7486" max="7486" width="11.5" style="241" customWidth="1"/>
    <col min="7487" max="7487" width="8.1640625" style="241" customWidth="1"/>
    <col min="7488" max="7491" width="7.5" style="241" customWidth="1"/>
    <col min="7492" max="7492" width="2.5" style="241" customWidth="1"/>
    <col min="7493" max="7495" width="3.1640625" style="241" customWidth="1"/>
    <col min="7496" max="7681" width="2.6640625" style="241"/>
    <col min="7682" max="7738" width="0" style="241" hidden="1" customWidth="1"/>
    <col min="7739" max="7741" width="7.5" style="241" customWidth="1"/>
    <col min="7742" max="7742" width="11.5" style="241" customWidth="1"/>
    <col min="7743" max="7743" width="8.1640625" style="241" customWidth="1"/>
    <col min="7744" max="7747" width="7.5" style="241" customWidth="1"/>
    <col min="7748" max="7748" width="2.5" style="241" customWidth="1"/>
    <col min="7749" max="7751" width="3.1640625" style="241" customWidth="1"/>
    <col min="7752" max="7937" width="2.6640625" style="241"/>
    <col min="7938" max="7994" width="0" style="241" hidden="1" customWidth="1"/>
    <col min="7995" max="7997" width="7.5" style="241" customWidth="1"/>
    <col min="7998" max="7998" width="11.5" style="241" customWidth="1"/>
    <col min="7999" max="7999" width="8.1640625" style="241" customWidth="1"/>
    <col min="8000" max="8003" width="7.5" style="241" customWidth="1"/>
    <col min="8004" max="8004" width="2.5" style="241" customWidth="1"/>
    <col min="8005" max="8007" width="3.1640625" style="241" customWidth="1"/>
    <col min="8008" max="8193" width="2.6640625" style="241"/>
    <col min="8194" max="8250" width="0" style="241" hidden="1" customWidth="1"/>
    <col min="8251" max="8253" width="7.5" style="241" customWidth="1"/>
    <col min="8254" max="8254" width="11.5" style="241" customWidth="1"/>
    <col min="8255" max="8255" width="8.1640625" style="241" customWidth="1"/>
    <col min="8256" max="8259" width="7.5" style="241" customWidth="1"/>
    <col min="8260" max="8260" width="2.5" style="241" customWidth="1"/>
    <col min="8261" max="8263" width="3.1640625" style="241" customWidth="1"/>
    <col min="8264" max="8449" width="2.6640625" style="241"/>
    <col min="8450" max="8506" width="0" style="241" hidden="1" customWidth="1"/>
    <col min="8507" max="8509" width="7.5" style="241" customWidth="1"/>
    <col min="8510" max="8510" width="11.5" style="241" customWidth="1"/>
    <col min="8511" max="8511" width="8.1640625" style="241" customWidth="1"/>
    <col min="8512" max="8515" width="7.5" style="241" customWidth="1"/>
    <col min="8516" max="8516" width="2.5" style="241" customWidth="1"/>
    <col min="8517" max="8519" width="3.1640625" style="241" customWidth="1"/>
    <col min="8520" max="8705" width="2.6640625" style="241"/>
    <col min="8706" max="8762" width="0" style="241" hidden="1" customWidth="1"/>
    <col min="8763" max="8765" width="7.5" style="241" customWidth="1"/>
    <col min="8766" max="8766" width="11.5" style="241" customWidth="1"/>
    <col min="8767" max="8767" width="8.1640625" style="241" customWidth="1"/>
    <col min="8768" max="8771" width="7.5" style="241" customWidth="1"/>
    <col min="8772" max="8772" width="2.5" style="241" customWidth="1"/>
    <col min="8773" max="8775" width="3.1640625" style="241" customWidth="1"/>
    <col min="8776" max="8961" width="2.6640625" style="241"/>
    <col min="8962" max="9018" width="0" style="241" hidden="1" customWidth="1"/>
    <col min="9019" max="9021" width="7.5" style="241" customWidth="1"/>
    <col min="9022" max="9022" width="11.5" style="241" customWidth="1"/>
    <col min="9023" max="9023" width="8.1640625" style="241" customWidth="1"/>
    <col min="9024" max="9027" width="7.5" style="241" customWidth="1"/>
    <col min="9028" max="9028" width="2.5" style="241" customWidth="1"/>
    <col min="9029" max="9031" width="3.1640625" style="241" customWidth="1"/>
    <col min="9032" max="9217" width="2.6640625" style="241"/>
    <col min="9218" max="9274" width="0" style="241" hidden="1" customWidth="1"/>
    <col min="9275" max="9277" width="7.5" style="241" customWidth="1"/>
    <col min="9278" max="9278" width="11.5" style="241" customWidth="1"/>
    <col min="9279" max="9279" width="8.1640625" style="241" customWidth="1"/>
    <col min="9280" max="9283" width="7.5" style="241" customWidth="1"/>
    <col min="9284" max="9284" width="2.5" style="241" customWidth="1"/>
    <col min="9285" max="9287" width="3.1640625" style="241" customWidth="1"/>
    <col min="9288" max="9473" width="2.6640625" style="241"/>
    <col min="9474" max="9530" width="0" style="241" hidden="1" customWidth="1"/>
    <col min="9531" max="9533" width="7.5" style="241" customWidth="1"/>
    <col min="9534" max="9534" width="11.5" style="241" customWidth="1"/>
    <col min="9535" max="9535" width="8.1640625" style="241" customWidth="1"/>
    <col min="9536" max="9539" width="7.5" style="241" customWidth="1"/>
    <col min="9540" max="9540" width="2.5" style="241" customWidth="1"/>
    <col min="9541" max="9543" width="3.1640625" style="241" customWidth="1"/>
    <col min="9544" max="9729" width="2.6640625" style="241"/>
    <col min="9730" max="9786" width="0" style="241" hidden="1" customWidth="1"/>
    <col min="9787" max="9789" width="7.5" style="241" customWidth="1"/>
    <col min="9790" max="9790" width="11.5" style="241" customWidth="1"/>
    <col min="9791" max="9791" width="8.1640625" style="241" customWidth="1"/>
    <col min="9792" max="9795" width="7.5" style="241" customWidth="1"/>
    <col min="9796" max="9796" width="2.5" style="241" customWidth="1"/>
    <col min="9797" max="9799" width="3.1640625" style="241" customWidth="1"/>
    <col min="9800" max="9985" width="2.6640625" style="241"/>
    <col min="9986" max="10042" width="0" style="241" hidden="1" customWidth="1"/>
    <col min="10043" max="10045" width="7.5" style="241" customWidth="1"/>
    <col min="10046" max="10046" width="11.5" style="241" customWidth="1"/>
    <col min="10047" max="10047" width="8.1640625" style="241" customWidth="1"/>
    <col min="10048" max="10051" width="7.5" style="241" customWidth="1"/>
    <col min="10052" max="10052" width="2.5" style="241" customWidth="1"/>
    <col min="10053" max="10055" width="3.1640625" style="241" customWidth="1"/>
    <col min="10056" max="10241" width="2.6640625" style="241"/>
    <col min="10242" max="10298" width="0" style="241" hidden="1" customWidth="1"/>
    <col min="10299" max="10301" width="7.5" style="241" customWidth="1"/>
    <col min="10302" max="10302" width="11.5" style="241" customWidth="1"/>
    <col min="10303" max="10303" width="8.1640625" style="241" customWidth="1"/>
    <col min="10304" max="10307" width="7.5" style="241" customWidth="1"/>
    <col min="10308" max="10308" width="2.5" style="241" customWidth="1"/>
    <col min="10309" max="10311" width="3.1640625" style="241" customWidth="1"/>
    <col min="10312" max="10497" width="2.6640625" style="241"/>
    <col min="10498" max="10554" width="0" style="241" hidden="1" customWidth="1"/>
    <col min="10555" max="10557" width="7.5" style="241" customWidth="1"/>
    <col min="10558" max="10558" width="11.5" style="241" customWidth="1"/>
    <col min="10559" max="10559" width="8.1640625" style="241" customWidth="1"/>
    <col min="10560" max="10563" width="7.5" style="241" customWidth="1"/>
    <col min="10564" max="10564" width="2.5" style="241" customWidth="1"/>
    <col min="10565" max="10567" width="3.1640625" style="241" customWidth="1"/>
    <col min="10568" max="10753" width="2.6640625" style="241"/>
    <col min="10754" max="10810" width="0" style="241" hidden="1" customWidth="1"/>
    <col min="10811" max="10813" width="7.5" style="241" customWidth="1"/>
    <col min="10814" max="10814" width="11.5" style="241" customWidth="1"/>
    <col min="10815" max="10815" width="8.1640625" style="241" customWidth="1"/>
    <col min="10816" max="10819" width="7.5" style="241" customWidth="1"/>
    <col min="10820" max="10820" width="2.5" style="241" customWidth="1"/>
    <col min="10821" max="10823" width="3.1640625" style="241" customWidth="1"/>
    <col min="10824" max="11009" width="2.6640625" style="241"/>
    <col min="11010" max="11066" width="0" style="241" hidden="1" customWidth="1"/>
    <col min="11067" max="11069" width="7.5" style="241" customWidth="1"/>
    <col min="11070" max="11070" width="11.5" style="241" customWidth="1"/>
    <col min="11071" max="11071" width="8.1640625" style="241" customWidth="1"/>
    <col min="11072" max="11075" width="7.5" style="241" customWidth="1"/>
    <col min="11076" max="11076" width="2.5" style="241" customWidth="1"/>
    <col min="11077" max="11079" width="3.1640625" style="241" customWidth="1"/>
    <col min="11080" max="11265" width="2.6640625" style="241"/>
    <col min="11266" max="11322" width="0" style="241" hidden="1" customWidth="1"/>
    <col min="11323" max="11325" width="7.5" style="241" customWidth="1"/>
    <col min="11326" max="11326" width="11.5" style="241" customWidth="1"/>
    <col min="11327" max="11327" width="8.1640625" style="241" customWidth="1"/>
    <col min="11328" max="11331" width="7.5" style="241" customWidth="1"/>
    <col min="11332" max="11332" width="2.5" style="241" customWidth="1"/>
    <col min="11333" max="11335" width="3.1640625" style="241" customWidth="1"/>
    <col min="11336" max="11521" width="2.6640625" style="241"/>
    <col min="11522" max="11578" width="0" style="241" hidden="1" customWidth="1"/>
    <col min="11579" max="11581" width="7.5" style="241" customWidth="1"/>
    <col min="11582" max="11582" width="11.5" style="241" customWidth="1"/>
    <col min="11583" max="11583" width="8.1640625" style="241" customWidth="1"/>
    <col min="11584" max="11587" width="7.5" style="241" customWidth="1"/>
    <col min="11588" max="11588" width="2.5" style="241" customWidth="1"/>
    <col min="11589" max="11591" width="3.1640625" style="241" customWidth="1"/>
    <col min="11592" max="11777" width="2.6640625" style="241"/>
    <col min="11778" max="11834" width="0" style="241" hidden="1" customWidth="1"/>
    <col min="11835" max="11837" width="7.5" style="241" customWidth="1"/>
    <col min="11838" max="11838" width="11.5" style="241" customWidth="1"/>
    <col min="11839" max="11839" width="8.1640625" style="241" customWidth="1"/>
    <col min="11840" max="11843" width="7.5" style="241" customWidth="1"/>
    <col min="11844" max="11844" width="2.5" style="241" customWidth="1"/>
    <col min="11845" max="11847" width="3.1640625" style="241" customWidth="1"/>
    <col min="11848" max="12033" width="2.6640625" style="241"/>
    <col min="12034" max="12090" width="0" style="241" hidden="1" customWidth="1"/>
    <col min="12091" max="12093" width="7.5" style="241" customWidth="1"/>
    <col min="12094" max="12094" width="11.5" style="241" customWidth="1"/>
    <col min="12095" max="12095" width="8.1640625" style="241" customWidth="1"/>
    <col min="12096" max="12099" width="7.5" style="241" customWidth="1"/>
    <col min="12100" max="12100" width="2.5" style="241" customWidth="1"/>
    <col min="12101" max="12103" width="3.1640625" style="241" customWidth="1"/>
    <col min="12104" max="12289" width="2.6640625" style="241"/>
    <col min="12290" max="12346" width="0" style="241" hidden="1" customWidth="1"/>
    <col min="12347" max="12349" width="7.5" style="241" customWidth="1"/>
    <col min="12350" max="12350" width="11.5" style="241" customWidth="1"/>
    <col min="12351" max="12351" width="8.1640625" style="241" customWidth="1"/>
    <col min="12352" max="12355" width="7.5" style="241" customWidth="1"/>
    <col min="12356" max="12356" width="2.5" style="241" customWidth="1"/>
    <col min="12357" max="12359" width="3.1640625" style="241" customWidth="1"/>
    <col min="12360" max="12545" width="2.6640625" style="241"/>
    <col min="12546" max="12602" width="0" style="241" hidden="1" customWidth="1"/>
    <col min="12603" max="12605" width="7.5" style="241" customWidth="1"/>
    <col min="12606" max="12606" width="11.5" style="241" customWidth="1"/>
    <col min="12607" max="12607" width="8.1640625" style="241" customWidth="1"/>
    <col min="12608" max="12611" width="7.5" style="241" customWidth="1"/>
    <col min="12612" max="12612" width="2.5" style="241" customWidth="1"/>
    <col min="12613" max="12615" width="3.1640625" style="241" customWidth="1"/>
    <col min="12616" max="12801" width="2.6640625" style="241"/>
    <col min="12802" max="12858" width="0" style="241" hidden="1" customWidth="1"/>
    <col min="12859" max="12861" width="7.5" style="241" customWidth="1"/>
    <col min="12862" max="12862" width="11.5" style="241" customWidth="1"/>
    <col min="12863" max="12863" width="8.1640625" style="241" customWidth="1"/>
    <col min="12864" max="12867" width="7.5" style="241" customWidth="1"/>
    <col min="12868" max="12868" width="2.5" style="241" customWidth="1"/>
    <col min="12869" max="12871" width="3.1640625" style="241" customWidth="1"/>
    <col min="12872" max="13057" width="2.6640625" style="241"/>
    <col min="13058" max="13114" width="0" style="241" hidden="1" customWidth="1"/>
    <col min="13115" max="13117" width="7.5" style="241" customWidth="1"/>
    <col min="13118" max="13118" width="11.5" style="241" customWidth="1"/>
    <col min="13119" max="13119" width="8.1640625" style="241" customWidth="1"/>
    <col min="13120" max="13123" width="7.5" style="241" customWidth="1"/>
    <col min="13124" max="13124" width="2.5" style="241" customWidth="1"/>
    <col min="13125" max="13127" width="3.1640625" style="241" customWidth="1"/>
    <col min="13128" max="13313" width="2.6640625" style="241"/>
    <col min="13314" max="13370" width="0" style="241" hidden="1" customWidth="1"/>
    <col min="13371" max="13373" width="7.5" style="241" customWidth="1"/>
    <col min="13374" max="13374" width="11.5" style="241" customWidth="1"/>
    <col min="13375" max="13375" width="8.1640625" style="241" customWidth="1"/>
    <col min="13376" max="13379" width="7.5" style="241" customWidth="1"/>
    <col min="13380" max="13380" width="2.5" style="241" customWidth="1"/>
    <col min="13381" max="13383" width="3.1640625" style="241" customWidth="1"/>
    <col min="13384" max="13569" width="2.6640625" style="241"/>
    <col min="13570" max="13626" width="0" style="241" hidden="1" customWidth="1"/>
    <col min="13627" max="13629" width="7.5" style="241" customWidth="1"/>
    <col min="13630" max="13630" width="11.5" style="241" customWidth="1"/>
    <col min="13631" max="13631" width="8.1640625" style="241" customWidth="1"/>
    <col min="13632" max="13635" width="7.5" style="241" customWidth="1"/>
    <col min="13636" max="13636" width="2.5" style="241" customWidth="1"/>
    <col min="13637" max="13639" width="3.1640625" style="241" customWidth="1"/>
    <col min="13640" max="13825" width="2.6640625" style="241"/>
    <col min="13826" max="13882" width="0" style="241" hidden="1" customWidth="1"/>
    <col min="13883" max="13885" width="7.5" style="241" customWidth="1"/>
    <col min="13886" max="13886" width="11.5" style="241" customWidth="1"/>
    <col min="13887" max="13887" width="8.1640625" style="241" customWidth="1"/>
    <col min="13888" max="13891" width="7.5" style="241" customWidth="1"/>
    <col min="13892" max="13892" width="2.5" style="241" customWidth="1"/>
    <col min="13893" max="13895" width="3.1640625" style="241" customWidth="1"/>
    <col min="13896" max="14081" width="2.6640625" style="241"/>
    <col min="14082" max="14138" width="0" style="241" hidden="1" customWidth="1"/>
    <col min="14139" max="14141" width="7.5" style="241" customWidth="1"/>
    <col min="14142" max="14142" width="11.5" style="241" customWidth="1"/>
    <col min="14143" max="14143" width="8.1640625" style="241" customWidth="1"/>
    <col min="14144" max="14147" width="7.5" style="241" customWidth="1"/>
    <col min="14148" max="14148" width="2.5" style="241" customWidth="1"/>
    <col min="14149" max="14151" width="3.1640625" style="241" customWidth="1"/>
    <col min="14152" max="14337" width="2.6640625" style="241"/>
    <col min="14338" max="14394" width="0" style="241" hidden="1" customWidth="1"/>
    <col min="14395" max="14397" width="7.5" style="241" customWidth="1"/>
    <col min="14398" max="14398" width="11.5" style="241" customWidth="1"/>
    <col min="14399" max="14399" width="8.1640625" style="241" customWidth="1"/>
    <col min="14400" max="14403" width="7.5" style="241" customWidth="1"/>
    <col min="14404" max="14404" width="2.5" style="241" customWidth="1"/>
    <col min="14405" max="14407" width="3.1640625" style="241" customWidth="1"/>
    <col min="14408" max="14593" width="2.6640625" style="241"/>
    <col min="14594" max="14650" width="0" style="241" hidden="1" customWidth="1"/>
    <col min="14651" max="14653" width="7.5" style="241" customWidth="1"/>
    <col min="14654" max="14654" width="11.5" style="241" customWidth="1"/>
    <col min="14655" max="14655" width="8.1640625" style="241" customWidth="1"/>
    <col min="14656" max="14659" width="7.5" style="241" customWidth="1"/>
    <col min="14660" max="14660" width="2.5" style="241" customWidth="1"/>
    <col min="14661" max="14663" width="3.1640625" style="241" customWidth="1"/>
    <col min="14664" max="14849" width="2.6640625" style="241"/>
    <col min="14850" max="14906" width="0" style="241" hidden="1" customWidth="1"/>
    <col min="14907" max="14909" width="7.5" style="241" customWidth="1"/>
    <col min="14910" max="14910" width="11.5" style="241" customWidth="1"/>
    <col min="14911" max="14911" width="8.1640625" style="241" customWidth="1"/>
    <col min="14912" max="14915" width="7.5" style="241" customWidth="1"/>
    <col min="14916" max="14916" width="2.5" style="241" customWidth="1"/>
    <col min="14917" max="14919" width="3.1640625" style="241" customWidth="1"/>
    <col min="14920" max="15105" width="2.6640625" style="241"/>
    <col min="15106" max="15162" width="0" style="241" hidden="1" customWidth="1"/>
    <col min="15163" max="15165" width="7.5" style="241" customWidth="1"/>
    <col min="15166" max="15166" width="11.5" style="241" customWidth="1"/>
    <col min="15167" max="15167" width="8.1640625" style="241" customWidth="1"/>
    <col min="15168" max="15171" width="7.5" style="241" customWidth="1"/>
    <col min="15172" max="15172" width="2.5" style="241" customWidth="1"/>
    <col min="15173" max="15175" width="3.1640625" style="241" customWidth="1"/>
    <col min="15176" max="15361" width="2.6640625" style="241"/>
    <col min="15362" max="15418" width="0" style="241" hidden="1" customWidth="1"/>
    <col min="15419" max="15421" width="7.5" style="241" customWidth="1"/>
    <col min="15422" max="15422" width="11.5" style="241" customWidth="1"/>
    <col min="15423" max="15423" width="8.1640625" style="241" customWidth="1"/>
    <col min="15424" max="15427" width="7.5" style="241" customWidth="1"/>
    <col min="15428" max="15428" width="2.5" style="241" customWidth="1"/>
    <col min="15429" max="15431" width="3.1640625" style="241" customWidth="1"/>
    <col min="15432" max="15617" width="2.6640625" style="241"/>
    <col min="15618" max="15674" width="0" style="241" hidden="1" customWidth="1"/>
    <col min="15675" max="15677" width="7.5" style="241" customWidth="1"/>
    <col min="15678" max="15678" width="11.5" style="241" customWidth="1"/>
    <col min="15679" max="15679" width="8.1640625" style="241" customWidth="1"/>
    <col min="15680" max="15683" width="7.5" style="241" customWidth="1"/>
    <col min="15684" max="15684" width="2.5" style="241" customWidth="1"/>
    <col min="15685" max="15687" width="3.1640625" style="241" customWidth="1"/>
    <col min="15688" max="15873" width="2.6640625" style="241"/>
    <col min="15874" max="15930" width="0" style="241" hidden="1" customWidth="1"/>
    <col min="15931" max="15933" width="7.5" style="241" customWidth="1"/>
    <col min="15934" max="15934" width="11.5" style="241" customWidth="1"/>
    <col min="15935" max="15935" width="8.1640625" style="241" customWidth="1"/>
    <col min="15936" max="15939" width="7.5" style="241" customWidth="1"/>
    <col min="15940" max="15940" width="2.5" style="241" customWidth="1"/>
    <col min="15941" max="15943" width="3.1640625" style="241" customWidth="1"/>
    <col min="15944" max="16129" width="2.6640625" style="241"/>
    <col min="16130" max="16186" width="0" style="241" hidden="1" customWidth="1"/>
    <col min="16187" max="16189" width="7.5" style="241" customWidth="1"/>
    <col min="16190" max="16190" width="11.5" style="241" customWidth="1"/>
    <col min="16191" max="16191" width="8.1640625" style="241" customWidth="1"/>
    <col min="16192" max="16195" width="7.5" style="241" customWidth="1"/>
    <col min="16196" max="16196" width="2.5" style="241" customWidth="1"/>
    <col min="16197" max="16199" width="3.1640625" style="241" customWidth="1"/>
    <col min="16200" max="16384" width="2.6640625" style="241"/>
  </cols>
  <sheetData>
    <row r="1" spans="1:85" ht="24" customHeight="1">
      <c r="A1" s="594"/>
      <c r="B1" s="594"/>
      <c r="C1" s="594"/>
      <c r="D1" s="594"/>
      <c r="E1" s="594"/>
      <c r="F1" s="594"/>
      <c r="G1" s="594"/>
      <c r="H1" s="594"/>
      <c r="I1" s="594"/>
      <c r="J1" s="594"/>
      <c r="K1" s="594"/>
      <c r="L1" s="594"/>
      <c r="M1" s="594"/>
      <c r="N1" s="594"/>
      <c r="O1" s="594"/>
      <c r="P1" s="594"/>
      <c r="Q1" s="594"/>
      <c r="R1" s="595"/>
      <c r="S1" s="595"/>
      <c r="T1" s="595"/>
      <c r="U1" s="595"/>
      <c r="V1" s="595"/>
      <c r="W1" s="595"/>
      <c r="X1" s="595"/>
      <c r="Y1" s="595"/>
      <c r="Z1" s="595"/>
      <c r="AA1" s="595"/>
      <c r="AB1" s="595"/>
      <c r="AC1" s="595"/>
      <c r="AD1" s="596"/>
      <c r="AE1" s="596"/>
      <c r="AF1" s="596"/>
      <c r="AG1" s="596"/>
      <c r="AH1" s="596"/>
      <c r="AI1" s="596"/>
      <c r="AJ1" s="594"/>
      <c r="AK1" s="594"/>
      <c r="AL1" s="594"/>
      <c r="AM1" s="594"/>
      <c r="AN1" s="594"/>
      <c r="AO1" s="594"/>
      <c r="AP1" s="594"/>
      <c r="AQ1" s="594"/>
      <c r="AR1" s="594"/>
      <c r="AS1" s="594"/>
      <c r="AT1" s="594"/>
      <c r="AU1" s="594"/>
      <c r="AV1" s="594"/>
      <c r="AW1" s="594"/>
      <c r="AX1" s="594"/>
      <c r="AY1" s="594"/>
      <c r="AZ1" s="594"/>
      <c r="BG1" s="242"/>
      <c r="BH1" s="243"/>
      <c r="BI1" s="243"/>
      <c r="BJ1" s="243"/>
      <c r="BK1" s="243"/>
      <c r="BL1" s="243"/>
      <c r="BM1" s="243"/>
      <c r="BN1" s="243"/>
      <c r="BO1" s="243"/>
      <c r="BP1" s="243"/>
      <c r="BQ1" s="243"/>
      <c r="BR1" s="243"/>
      <c r="BS1" s="243"/>
    </row>
    <row r="2" spans="1:85" ht="6" customHeight="1">
      <c r="BG2" s="242"/>
      <c r="BH2" s="243"/>
      <c r="BI2" s="243"/>
      <c r="BJ2" s="243"/>
      <c r="BK2" s="243"/>
      <c r="BL2" s="243"/>
      <c r="BM2" s="243"/>
      <c r="BN2" s="243"/>
      <c r="BO2" s="243"/>
      <c r="BP2" s="243"/>
      <c r="BQ2" s="243"/>
      <c r="BR2" s="243"/>
      <c r="BS2" s="243"/>
    </row>
    <row r="3" spans="1:85" ht="19.5" customHeight="1">
      <c r="A3" s="245"/>
      <c r="B3" s="246"/>
      <c r="C3" s="245"/>
      <c r="D3" s="245"/>
      <c r="E3" s="245"/>
      <c r="F3" s="245"/>
      <c r="G3" s="245"/>
      <c r="H3" s="247"/>
      <c r="I3" s="245"/>
      <c r="J3" s="245"/>
      <c r="K3" s="245"/>
      <c r="L3" s="245"/>
      <c r="M3" s="245"/>
      <c r="N3" s="245"/>
      <c r="O3" s="245"/>
      <c r="P3" s="245"/>
      <c r="Q3" s="245"/>
      <c r="R3" s="245"/>
      <c r="S3" s="245"/>
      <c r="T3" s="245"/>
      <c r="U3" s="245"/>
      <c r="V3" s="245"/>
      <c r="W3" s="245"/>
      <c r="X3" s="245"/>
      <c r="Y3" s="245"/>
      <c r="Z3" s="245"/>
      <c r="AA3" s="245"/>
      <c r="AB3" s="245"/>
      <c r="AC3" s="245"/>
      <c r="AD3" s="245"/>
      <c r="AE3" s="245"/>
      <c r="AF3" s="245"/>
      <c r="AG3" s="245"/>
      <c r="AH3" s="245"/>
      <c r="AI3" s="245"/>
      <c r="AJ3" s="245"/>
      <c r="AK3" s="245"/>
      <c r="AL3" s="245"/>
      <c r="AM3" s="245"/>
      <c r="AN3" s="245"/>
      <c r="AO3" s="245"/>
      <c r="AP3" s="245"/>
      <c r="AQ3" s="245"/>
      <c r="AR3" s="245"/>
      <c r="AS3" s="98"/>
      <c r="AT3" s="572"/>
      <c r="AU3" s="572"/>
      <c r="AV3" s="572"/>
      <c r="AW3" s="572"/>
      <c r="AX3" s="572"/>
      <c r="AY3" s="572"/>
      <c r="AZ3" s="572"/>
      <c r="BG3" s="242"/>
      <c r="BH3" s="243"/>
      <c r="BI3" s="243"/>
      <c r="BJ3" s="243"/>
      <c r="BK3" s="243"/>
      <c r="BL3" s="243"/>
      <c r="BM3" s="243"/>
      <c r="BN3" s="243"/>
      <c r="BO3" s="243"/>
      <c r="BP3" s="243"/>
      <c r="BQ3" s="243"/>
      <c r="BR3" s="243"/>
      <c r="BS3" s="243"/>
    </row>
    <row r="4" spans="1:85" ht="6" customHeight="1">
      <c r="BG4" s="242"/>
      <c r="BH4" s="243"/>
      <c r="BI4" s="243"/>
      <c r="BJ4" s="243"/>
      <c r="BK4" s="243"/>
      <c r="BL4" s="243"/>
      <c r="BM4" s="243"/>
      <c r="BN4" s="243"/>
      <c r="BO4" s="243"/>
      <c r="BP4" s="243"/>
      <c r="BQ4" s="243"/>
      <c r="BR4" s="243"/>
      <c r="BS4" s="243"/>
    </row>
    <row r="5" spans="1:85" ht="15.75" customHeight="1">
      <c r="A5" s="248"/>
      <c r="B5" s="249"/>
      <c r="C5" s="250"/>
      <c r="D5" s="250"/>
      <c r="E5" s="250"/>
      <c r="F5" s="250"/>
      <c r="G5" s="250"/>
      <c r="H5" s="250"/>
      <c r="I5" s="250"/>
      <c r="J5" s="250"/>
      <c r="K5" s="250"/>
      <c r="L5" s="250"/>
      <c r="M5" s="250"/>
      <c r="N5" s="250"/>
      <c r="O5" s="250"/>
      <c r="P5" s="250"/>
      <c r="Q5" s="250"/>
      <c r="R5" s="250"/>
      <c r="S5" s="250"/>
      <c r="T5" s="250"/>
      <c r="U5" s="250"/>
      <c r="V5" s="250"/>
      <c r="W5" s="250"/>
      <c r="X5" s="250"/>
      <c r="Y5" s="250"/>
      <c r="Z5" s="250"/>
      <c r="AA5" s="250"/>
      <c r="AB5" s="250"/>
      <c r="AC5" s="250"/>
      <c r="AD5" s="250"/>
      <c r="AE5" s="250"/>
      <c r="AF5" s="250"/>
      <c r="AG5" s="250"/>
      <c r="AH5" s="250"/>
      <c r="AI5" s="250"/>
      <c r="AJ5" s="250"/>
      <c r="AK5" s="250"/>
      <c r="AL5" s="250"/>
      <c r="AM5" s="250"/>
      <c r="AN5" s="250"/>
      <c r="AO5" s="250"/>
      <c r="AP5" s="250"/>
      <c r="AQ5" s="250"/>
      <c r="AR5" s="250"/>
      <c r="AS5" s="250"/>
      <c r="AT5" s="250"/>
      <c r="AU5" s="250"/>
      <c r="AV5" s="250"/>
      <c r="AW5" s="250"/>
      <c r="AX5" s="250"/>
      <c r="AY5" s="250"/>
      <c r="AZ5" s="250"/>
      <c r="BG5" s="242"/>
      <c r="BH5" s="243"/>
      <c r="BI5" s="243"/>
      <c r="BJ5" s="243"/>
      <c r="BK5" s="243"/>
      <c r="BL5" s="243"/>
      <c r="BM5" s="243"/>
      <c r="BN5" s="243"/>
      <c r="BO5" s="243"/>
      <c r="BP5" s="243"/>
      <c r="BQ5" s="243"/>
      <c r="BR5" s="243"/>
      <c r="BS5" s="243"/>
    </row>
    <row r="6" spans="1:85">
      <c r="A6" s="251"/>
      <c r="B6" s="251"/>
      <c r="C6" s="251"/>
      <c r="D6" s="251"/>
      <c r="E6" s="252"/>
      <c r="F6" s="252"/>
      <c r="G6" s="252"/>
      <c r="H6" s="252"/>
      <c r="I6" s="253"/>
      <c r="J6" s="253"/>
      <c r="K6" s="253"/>
      <c r="L6" s="253"/>
      <c r="M6" s="253"/>
      <c r="N6" s="253"/>
      <c r="O6" s="253"/>
      <c r="P6" s="253"/>
      <c r="Q6" s="253"/>
      <c r="R6" s="253"/>
      <c r="S6" s="253"/>
      <c r="T6" s="253"/>
      <c r="U6" s="253"/>
      <c r="V6" s="253"/>
      <c r="W6" s="253"/>
      <c r="X6" s="253"/>
      <c r="Y6" s="253"/>
      <c r="Z6" s="253"/>
      <c r="AA6" s="253"/>
      <c r="AB6" s="253"/>
      <c r="AC6" s="253"/>
      <c r="AD6" s="253"/>
      <c r="AE6" s="253"/>
      <c r="AF6" s="253"/>
      <c r="AG6" s="253"/>
      <c r="AH6" s="253"/>
      <c r="AI6" s="253"/>
      <c r="AJ6" s="253"/>
      <c r="AK6" s="253"/>
      <c r="AL6" s="253"/>
      <c r="AM6" s="253"/>
      <c r="AN6" s="253"/>
      <c r="AO6" s="253"/>
      <c r="AP6" s="253"/>
      <c r="AQ6" s="253"/>
      <c r="AR6" s="253"/>
      <c r="AS6" s="253"/>
      <c r="AT6" s="253"/>
      <c r="AU6" s="253"/>
      <c r="AV6" s="253"/>
      <c r="AW6" s="254"/>
      <c r="AX6" s="254"/>
      <c r="AY6" s="254"/>
      <c r="AZ6" s="254"/>
      <c r="BG6" s="242"/>
      <c r="BH6" s="243"/>
      <c r="BI6" s="243"/>
      <c r="BJ6" s="243"/>
      <c r="BK6" s="243"/>
      <c r="BL6" s="243"/>
      <c r="BM6" s="243"/>
      <c r="BN6" s="243"/>
      <c r="BO6" s="243"/>
      <c r="BP6" s="243"/>
      <c r="BQ6" s="243"/>
      <c r="BR6" s="243"/>
      <c r="BS6" s="243"/>
    </row>
    <row r="7" spans="1:85">
      <c r="A7" s="251"/>
      <c r="B7" s="251"/>
      <c r="C7" s="251"/>
      <c r="D7" s="251"/>
      <c r="E7" s="588"/>
      <c r="F7" s="589"/>
      <c r="G7" s="589"/>
      <c r="H7" s="590"/>
      <c r="I7" s="585"/>
      <c r="J7" s="586"/>
      <c r="K7" s="586"/>
      <c r="L7" s="587"/>
      <c r="M7" s="585"/>
      <c r="N7" s="586"/>
      <c r="O7" s="586"/>
      <c r="P7" s="587"/>
      <c r="Q7" s="585"/>
      <c r="R7" s="586"/>
      <c r="S7" s="586"/>
      <c r="T7" s="587"/>
      <c r="U7" s="585"/>
      <c r="V7" s="586"/>
      <c r="W7" s="586"/>
      <c r="X7" s="587"/>
      <c r="Y7" s="585"/>
      <c r="Z7" s="586"/>
      <c r="AA7" s="586"/>
      <c r="AB7" s="587"/>
      <c r="AC7" s="255"/>
      <c r="AD7" s="256"/>
      <c r="AE7" s="256"/>
      <c r="AF7" s="257"/>
      <c r="AG7" s="255"/>
      <c r="AH7" s="256"/>
      <c r="AI7" s="256"/>
      <c r="AJ7" s="257"/>
      <c r="AK7" s="255"/>
      <c r="AL7" s="256"/>
      <c r="AM7" s="256"/>
      <c r="AN7" s="257"/>
      <c r="AO7" s="255"/>
      <c r="AP7" s="256"/>
      <c r="AQ7" s="256"/>
      <c r="AR7" s="257"/>
      <c r="AS7" s="255"/>
      <c r="AT7" s="256"/>
      <c r="AU7" s="256"/>
      <c r="AV7" s="257"/>
      <c r="AW7" s="255"/>
      <c r="AX7" s="256"/>
      <c r="AY7" s="256"/>
      <c r="AZ7" s="257"/>
      <c r="BG7" s="243"/>
      <c r="BH7" s="243"/>
      <c r="BI7" s="243"/>
      <c r="BJ7" s="243"/>
      <c r="BK7" s="243"/>
      <c r="BL7" s="243"/>
      <c r="BM7" s="243"/>
      <c r="BN7" s="243"/>
      <c r="BO7" s="243"/>
      <c r="BP7" s="243"/>
      <c r="BQ7" s="243"/>
      <c r="BR7" s="243"/>
      <c r="BS7" s="243"/>
    </row>
    <row r="8" spans="1:85" s="261" customFormat="1">
      <c r="A8" s="251"/>
      <c r="B8" s="251"/>
      <c r="C8" s="251"/>
      <c r="D8" s="251"/>
      <c r="E8" s="582"/>
      <c r="F8" s="583"/>
      <c r="G8" s="583"/>
      <c r="H8" s="584"/>
      <c r="I8" s="573"/>
      <c r="J8" s="574"/>
      <c r="K8" s="574"/>
      <c r="L8" s="575"/>
      <c r="M8" s="573"/>
      <c r="N8" s="574"/>
      <c r="O8" s="574"/>
      <c r="P8" s="575"/>
      <c r="Q8" s="573"/>
      <c r="R8" s="574"/>
      <c r="S8" s="574"/>
      <c r="T8" s="575"/>
      <c r="U8" s="573"/>
      <c r="V8" s="574"/>
      <c r="W8" s="574"/>
      <c r="X8" s="575"/>
      <c r="Y8" s="573"/>
      <c r="Z8" s="574"/>
      <c r="AA8" s="574"/>
      <c r="AB8" s="575"/>
      <c r="AC8" s="258"/>
      <c r="AD8" s="259"/>
      <c r="AE8" s="259"/>
      <c r="AF8" s="260"/>
      <c r="AG8" s="258"/>
      <c r="AH8" s="259"/>
      <c r="AI8" s="259"/>
      <c r="AJ8" s="260"/>
      <c r="AK8" s="258"/>
      <c r="AL8" s="259"/>
      <c r="AM8" s="259"/>
      <c r="AN8" s="260"/>
      <c r="AO8" s="258"/>
      <c r="AP8" s="259"/>
      <c r="AQ8" s="259"/>
      <c r="AR8" s="260"/>
      <c r="AS8" s="258"/>
      <c r="AT8" s="259"/>
      <c r="AU8" s="259"/>
      <c r="AV8" s="260"/>
      <c r="AW8" s="258"/>
      <c r="AX8" s="259"/>
      <c r="AY8" s="259"/>
      <c r="AZ8" s="260"/>
      <c r="BG8" s="243"/>
      <c r="BH8" s="243"/>
      <c r="BI8" s="243"/>
      <c r="BJ8" s="243"/>
      <c r="BK8" s="243"/>
      <c r="BL8" s="243"/>
      <c r="BM8" s="243"/>
      <c r="BN8" s="243"/>
      <c r="BO8" s="243"/>
      <c r="BP8" s="243"/>
      <c r="BQ8" s="243"/>
      <c r="BR8" s="243"/>
      <c r="BS8" s="243"/>
      <c r="BT8" s="244"/>
      <c r="BU8" s="244"/>
      <c r="BV8" s="244"/>
      <c r="BW8" s="244"/>
      <c r="BX8" s="244"/>
      <c r="BY8" s="244"/>
      <c r="BZ8" s="244"/>
      <c r="CA8" s="244"/>
      <c r="CB8" s="244"/>
      <c r="CC8" s="244"/>
      <c r="CD8" s="244"/>
      <c r="CE8" s="244"/>
      <c r="CF8" s="241"/>
      <c r="CG8" s="241"/>
    </row>
    <row r="9" spans="1:85">
      <c r="A9" s="251"/>
      <c r="B9" s="251"/>
      <c r="C9" s="251"/>
      <c r="D9" s="251"/>
      <c r="E9" s="576"/>
      <c r="F9" s="577"/>
      <c r="G9" s="577"/>
      <c r="H9" s="578"/>
      <c r="I9" s="579"/>
      <c r="J9" s="580"/>
      <c r="K9" s="580"/>
      <c r="L9" s="581"/>
      <c r="M9" s="579"/>
      <c r="N9" s="580"/>
      <c r="O9" s="580"/>
      <c r="P9" s="581"/>
      <c r="Q9" s="579"/>
      <c r="R9" s="580"/>
      <c r="S9" s="580"/>
      <c r="T9" s="581"/>
      <c r="U9" s="579"/>
      <c r="V9" s="580"/>
      <c r="W9" s="580"/>
      <c r="X9" s="581"/>
      <c r="Y9" s="579"/>
      <c r="Z9" s="580"/>
      <c r="AA9" s="580"/>
      <c r="AB9" s="581"/>
      <c r="AC9" s="258"/>
      <c r="AD9" s="259"/>
      <c r="AE9" s="259"/>
      <c r="AF9" s="260"/>
      <c r="AG9" s="258"/>
      <c r="AH9" s="259"/>
      <c r="AI9" s="259"/>
      <c r="AJ9" s="260"/>
      <c r="AK9" s="258"/>
      <c r="AL9" s="259"/>
      <c r="AM9" s="259"/>
      <c r="AN9" s="260"/>
      <c r="AO9" s="258"/>
      <c r="AP9" s="259"/>
      <c r="AQ9" s="259"/>
      <c r="AR9" s="260"/>
      <c r="AS9" s="258"/>
      <c r="AT9" s="259"/>
      <c r="AU9" s="259"/>
      <c r="AV9" s="260"/>
      <c r="AW9" s="258"/>
      <c r="AX9" s="259"/>
      <c r="AY9" s="259"/>
      <c r="AZ9" s="260"/>
      <c r="BG9" s="243"/>
      <c r="BH9" s="243"/>
      <c r="BI9" s="243"/>
      <c r="BJ9" s="243"/>
      <c r="BK9" s="243"/>
      <c r="BL9" s="243"/>
      <c r="BM9" s="243"/>
      <c r="BN9" s="243"/>
      <c r="BO9" s="243"/>
      <c r="BP9" s="243"/>
      <c r="BQ9" s="243"/>
      <c r="BR9" s="243"/>
      <c r="BS9" s="243"/>
    </row>
    <row r="10" spans="1:85" s="261" customFormat="1">
      <c r="A10" s="251"/>
      <c r="B10" s="251"/>
      <c r="C10" s="251"/>
      <c r="D10" s="251"/>
      <c r="E10" s="582"/>
      <c r="F10" s="583"/>
      <c r="G10" s="583"/>
      <c r="H10" s="584"/>
      <c r="I10" s="573"/>
      <c r="J10" s="574"/>
      <c r="K10" s="574"/>
      <c r="L10" s="575"/>
      <c r="M10" s="573"/>
      <c r="N10" s="574"/>
      <c r="O10" s="574"/>
      <c r="P10" s="575"/>
      <c r="Q10" s="573"/>
      <c r="R10" s="574"/>
      <c r="S10" s="574"/>
      <c r="T10" s="575"/>
      <c r="U10" s="573"/>
      <c r="V10" s="574"/>
      <c r="W10" s="574"/>
      <c r="X10" s="575"/>
      <c r="Y10" s="573"/>
      <c r="Z10" s="574"/>
      <c r="AA10" s="574"/>
      <c r="AB10" s="575"/>
      <c r="AC10" s="258"/>
      <c r="AD10" s="259"/>
      <c r="AE10" s="259"/>
      <c r="AF10" s="260"/>
      <c r="AG10" s="258"/>
      <c r="AH10" s="259"/>
      <c r="AI10" s="259"/>
      <c r="AJ10" s="260"/>
      <c r="AK10" s="258"/>
      <c r="AL10" s="259"/>
      <c r="AM10" s="259"/>
      <c r="AN10" s="260"/>
      <c r="AO10" s="258"/>
      <c r="AP10" s="259"/>
      <c r="AQ10" s="259"/>
      <c r="AR10" s="260"/>
      <c r="AS10" s="258"/>
      <c r="AT10" s="259"/>
      <c r="AU10" s="259"/>
      <c r="AV10" s="260"/>
      <c r="AW10" s="258"/>
      <c r="AX10" s="259"/>
      <c r="AY10" s="259"/>
      <c r="AZ10" s="260"/>
      <c r="BG10" s="243"/>
      <c r="BH10" s="243"/>
      <c r="BI10" s="243"/>
      <c r="BJ10" s="243"/>
      <c r="BK10" s="243"/>
      <c r="BL10" s="243"/>
      <c r="BM10" s="243"/>
      <c r="BN10" s="243"/>
      <c r="BO10" s="243"/>
      <c r="BP10" s="243"/>
      <c r="BQ10" s="243"/>
      <c r="BR10" s="243"/>
      <c r="BS10" s="243"/>
      <c r="BT10" s="244"/>
      <c r="BU10" s="244"/>
      <c r="BV10" s="244"/>
      <c r="BW10" s="244"/>
      <c r="BX10" s="244"/>
      <c r="BY10" s="244"/>
      <c r="BZ10" s="244"/>
      <c r="CA10" s="244"/>
      <c r="CB10" s="244"/>
      <c r="CC10" s="244"/>
      <c r="CD10" s="244"/>
      <c r="CE10" s="244"/>
      <c r="CF10" s="241"/>
      <c r="CG10" s="241"/>
    </row>
    <row r="11" spans="1:85">
      <c r="A11" s="251"/>
      <c r="B11" s="251"/>
      <c r="C11" s="251"/>
      <c r="D11" s="251"/>
      <c r="E11" s="576"/>
      <c r="F11" s="577"/>
      <c r="G11" s="577"/>
      <c r="H11" s="578"/>
      <c r="I11" s="579"/>
      <c r="J11" s="580"/>
      <c r="K11" s="580"/>
      <c r="L11" s="581"/>
      <c r="M11" s="579"/>
      <c r="N11" s="580"/>
      <c r="O11" s="580"/>
      <c r="P11" s="581"/>
      <c r="Q11" s="579"/>
      <c r="R11" s="580"/>
      <c r="S11" s="580"/>
      <c r="T11" s="581"/>
      <c r="U11" s="579"/>
      <c r="V11" s="580"/>
      <c r="W11" s="580"/>
      <c r="X11" s="581"/>
      <c r="Y11" s="579"/>
      <c r="Z11" s="580"/>
      <c r="AA11" s="580"/>
      <c r="AB11" s="581"/>
      <c r="AC11" s="258"/>
      <c r="AD11" s="259"/>
      <c r="AE11" s="259"/>
      <c r="AF11" s="260"/>
      <c r="AG11" s="258"/>
      <c r="AH11" s="259"/>
      <c r="AI11" s="259"/>
      <c r="AJ11" s="260"/>
      <c r="AK11" s="258"/>
      <c r="AL11" s="259"/>
      <c r="AM11" s="259"/>
      <c r="AN11" s="260"/>
      <c r="AO11" s="258"/>
      <c r="AP11" s="259"/>
      <c r="AQ11" s="259"/>
      <c r="AR11" s="260"/>
      <c r="AS11" s="258"/>
      <c r="AT11" s="259"/>
      <c r="AU11" s="259"/>
      <c r="AV11" s="260"/>
      <c r="AW11" s="258"/>
      <c r="AX11" s="259"/>
      <c r="AY11" s="259"/>
      <c r="AZ11" s="260"/>
      <c r="BG11" s="243"/>
      <c r="BH11" s="243"/>
      <c r="BI11" s="243"/>
      <c r="BJ11" s="243"/>
      <c r="BK11" s="243"/>
      <c r="BL11" s="243"/>
      <c r="BM11" s="243"/>
      <c r="BN11" s="243"/>
      <c r="BO11" s="243"/>
      <c r="BP11" s="243"/>
      <c r="BQ11" s="243"/>
      <c r="BR11" s="243"/>
      <c r="BS11" s="243"/>
    </row>
    <row r="12" spans="1:85" s="261" customFormat="1">
      <c r="A12" s="251"/>
      <c r="B12" s="251"/>
      <c r="C12" s="251"/>
      <c r="D12" s="251"/>
      <c r="E12" s="582"/>
      <c r="F12" s="583"/>
      <c r="G12" s="583"/>
      <c r="H12" s="584"/>
      <c r="I12" s="573"/>
      <c r="J12" s="574"/>
      <c r="K12" s="574"/>
      <c r="L12" s="575"/>
      <c r="M12" s="573"/>
      <c r="N12" s="574"/>
      <c r="O12" s="574"/>
      <c r="P12" s="575"/>
      <c r="Q12" s="573"/>
      <c r="R12" s="574"/>
      <c r="S12" s="574"/>
      <c r="T12" s="575"/>
      <c r="U12" s="573"/>
      <c r="V12" s="574"/>
      <c r="W12" s="574"/>
      <c r="X12" s="575"/>
      <c r="Y12" s="573"/>
      <c r="Z12" s="574"/>
      <c r="AA12" s="574"/>
      <c r="AB12" s="575"/>
      <c r="AC12" s="258"/>
      <c r="AD12" s="259"/>
      <c r="AE12" s="259"/>
      <c r="AF12" s="260"/>
      <c r="AG12" s="258"/>
      <c r="AH12" s="259"/>
      <c r="AI12" s="259"/>
      <c r="AJ12" s="260"/>
      <c r="AK12" s="258"/>
      <c r="AL12" s="259"/>
      <c r="AM12" s="259"/>
      <c r="AN12" s="260"/>
      <c r="AO12" s="258"/>
      <c r="AP12" s="259"/>
      <c r="AQ12" s="259"/>
      <c r="AR12" s="260"/>
      <c r="AS12" s="258"/>
      <c r="AT12" s="259"/>
      <c r="AU12" s="259"/>
      <c r="AV12" s="260"/>
      <c r="AW12" s="258"/>
      <c r="AX12" s="259"/>
      <c r="AY12" s="259"/>
      <c r="AZ12" s="260"/>
      <c r="BG12" s="243"/>
      <c r="BH12" s="243"/>
      <c r="BI12" s="243"/>
      <c r="BJ12" s="243"/>
      <c r="BK12" s="243"/>
      <c r="BL12" s="243"/>
      <c r="BM12" s="243"/>
      <c r="BN12" s="243"/>
      <c r="BO12" s="243"/>
      <c r="BP12" s="243"/>
      <c r="BQ12" s="243"/>
      <c r="BR12" s="243"/>
      <c r="BS12" s="243"/>
      <c r="BT12" s="244"/>
      <c r="BU12" s="244"/>
      <c r="BV12" s="244"/>
      <c r="BW12" s="244"/>
      <c r="BX12" s="244"/>
      <c r="BY12" s="244"/>
      <c r="BZ12" s="244"/>
      <c r="CA12" s="244"/>
      <c r="CB12" s="244"/>
      <c r="CC12" s="244"/>
      <c r="CD12" s="244"/>
      <c r="CE12" s="244"/>
      <c r="CF12" s="241"/>
      <c r="CG12" s="241"/>
    </row>
    <row r="13" spans="1:85">
      <c r="A13" s="251"/>
      <c r="B13" s="251"/>
      <c r="C13" s="251"/>
      <c r="D13" s="251"/>
      <c r="E13" s="576"/>
      <c r="F13" s="577"/>
      <c r="G13" s="577"/>
      <c r="H13" s="578"/>
      <c r="I13" s="579"/>
      <c r="J13" s="580"/>
      <c r="K13" s="580"/>
      <c r="L13" s="581"/>
      <c r="M13" s="579"/>
      <c r="N13" s="580"/>
      <c r="O13" s="580"/>
      <c r="P13" s="581"/>
      <c r="Q13" s="579"/>
      <c r="R13" s="580"/>
      <c r="S13" s="580"/>
      <c r="T13" s="581"/>
      <c r="U13" s="579"/>
      <c r="V13" s="580"/>
      <c r="W13" s="580"/>
      <c r="X13" s="581"/>
      <c r="Y13" s="579"/>
      <c r="Z13" s="580"/>
      <c r="AA13" s="580"/>
      <c r="AB13" s="581"/>
      <c r="AC13" s="258"/>
      <c r="AD13" s="259"/>
      <c r="AE13" s="259"/>
      <c r="AF13" s="260"/>
      <c r="AG13" s="258"/>
      <c r="AH13" s="259"/>
      <c r="AI13" s="259"/>
      <c r="AJ13" s="260"/>
      <c r="AK13" s="258"/>
      <c r="AL13" s="259"/>
      <c r="AM13" s="259"/>
      <c r="AN13" s="260"/>
      <c r="AO13" s="258"/>
      <c r="AP13" s="259"/>
      <c r="AQ13" s="259"/>
      <c r="AR13" s="260"/>
      <c r="AS13" s="258"/>
      <c r="AT13" s="259"/>
      <c r="AU13" s="259"/>
      <c r="AV13" s="260"/>
      <c r="AW13" s="258"/>
      <c r="AX13" s="259"/>
      <c r="AY13" s="259"/>
      <c r="AZ13" s="260"/>
      <c r="BG13" s="243"/>
      <c r="BH13" s="243"/>
      <c r="BI13" s="243"/>
      <c r="BJ13" s="243"/>
      <c r="BK13" s="243"/>
      <c r="BL13" s="243"/>
      <c r="BM13" s="243"/>
      <c r="BN13" s="243"/>
      <c r="BO13" s="243"/>
      <c r="BP13" s="243"/>
      <c r="BQ13" s="243"/>
      <c r="BR13" s="243"/>
      <c r="BS13" s="243"/>
    </row>
    <row r="14" spans="1:85" s="261" customFormat="1">
      <c r="A14" s="251"/>
      <c r="B14" s="251"/>
      <c r="C14" s="251"/>
      <c r="D14" s="251"/>
      <c r="E14" s="582"/>
      <c r="F14" s="583"/>
      <c r="G14" s="583"/>
      <c r="H14" s="584"/>
      <c r="I14" s="573"/>
      <c r="J14" s="574"/>
      <c r="K14" s="574"/>
      <c r="L14" s="575"/>
      <c r="M14" s="573"/>
      <c r="N14" s="574"/>
      <c r="O14" s="574"/>
      <c r="P14" s="575"/>
      <c r="Q14" s="573"/>
      <c r="R14" s="574"/>
      <c r="S14" s="574"/>
      <c r="T14" s="575"/>
      <c r="U14" s="573"/>
      <c r="V14" s="574"/>
      <c r="W14" s="574"/>
      <c r="X14" s="575"/>
      <c r="Y14" s="573"/>
      <c r="Z14" s="574"/>
      <c r="AA14" s="574"/>
      <c r="AB14" s="575"/>
      <c r="AC14" s="258"/>
      <c r="AD14" s="259"/>
      <c r="AE14" s="259"/>
      <c r="AF14" s="260"/>
      <c r="AG14" s="258"/>
      <c r="AH14" s="259"/>
      <c r="AI14" s="259"/>
      <c r="AJ14" s="260"/>
      <c r="AK14" s="258"/>
      <c r="AL14" s="259"/>
      <c r="AM14" s="259"/>
      <c r="AN14" s="260"/>
      <c r="AO14" s="258"/>
      <c r="AP14" s="259"/>
      <c r="AQ14" s="259"/>
      <c r="AR14" s="260"/>
      <c r="AS14" s="258"/>
      <c r="AT14" s="259"/>
      <c r="AU14" s="259"/>
      <c r="AV14" s="260"/>
      <c r="AW14" s="258"/>
      <c r="AX14" s="259"/>
      <c r="AY14" s="259"/>
      <c r="AZ14" s="260"/>
      <c r="BG14" s="243"/>
      <c r="BH14" s="243"/>
      <c r="BI14" s="243"/>
      <c r="BJ14" s="243"/>
      <c r="BK14" s="243"/>
      <c r="BL14" s="243"/>
      <c r="BM14" s="243"/>
      <c r="BN14" s="243"/>
      <c r="BO14" s="243"/>
      <c r="BP14" s="243"/>
      <c r="BQ14" s="243"/>
      <c r="BR14" s="243"/>
      <c r="BS14" s="243"/>
      <c r="BT14" s="244"/>
      <c r="BU14" s="244"/>
      <c r="BV14" s="244"/>
      <c r="BW14" s="244"/>
      <c r="BX14" s="244"/>
      <c r="BY14" s="244"/>
      <c r="BZ14" s="244"/>
      <c r="CA14" s="244"/>
      <c r="CB14" s="244"/>
      <c r="CC14" s="244"/>
      <c r="CD14" s="244"/>
      <c r="CE14" s="244"/>
      <c r="CF14" s="241"/>
      <c r="CG14" s="241"/>
    </row>
    <row r="15" spans="1:85">
      <c r="A15" s="251"/>
      <c r="B15" s="251"/>
      <c r="C15" s="251"/>
      <c r="D15" s="251"/>
      <c r="E15" s="576"/>
      <c r="F15" s="577"/>
      <c r="G15" s="577"/>
      <c r="H15" s="578"/>
      <c r="I15" s="579"/>
      <c r="J15" s="580"/>
      <c r="K15" s="580"/>
      <c r="L15" s="581"/>
      <c r="M15" s="579"/>
      <c r="N15" s="580"/>
      <c r="O15" s="580"/>
      <c r="P15" s="581"/>
      <c r="Q15" s="579"/>
      <c r="R15" s="580"/>
      <c r="S15" s="580"/>
      <c r="T15" s="581"/>
      <c r="U15" s="579"/>
      <c r="V15" s="580"/>
      <c r="W15" s="580"/>
      <c r="X15" s="581"/>
      <c r="Y15" s="579"/>
      <c r="Z15" s="580"/>
      <c r="AA15" s="580"/>
      <c r="AB15" s="581"/>
      <c r="AC15" s="258"/>
      <c r="AD15" s="259"/>
      <c r="AE15" s="259"/>
      <c r="AF15" s="260"/>
      <c r="AG15" s="258"/>
      <c r="AH15" s="259"/>
      <c r="AI15" s="259"/>
      <c r="AJ15" s="260"/>
      <c r="AK15" s="258"/>
      <c r="AL15" s="259"/>
      <c r="AM15" s="259"/>
      <c r="AN15" s="260"/>
      <c r="AO15" s="258"/>
      <c r="AP15" s="259"/>
      <c r="AQ15" s="259"/>
      <c r="AR15" s="260"/>
      <c r="AS15" s="258"/>
      <c r="AT15" s="259"/>
      <c r="AU15" s="259"/>
      <c r="AV15" s="260"/>
      <c r="AW15" s="258"/>
      <c r="AX15" s="259"/>
      <c r="AY15" s="259"/>
      <c r="AZ15" s="260"/>
      <c r="BG15" s="243"/>
      <c r="BH15" s="243"/>
      <c r="BI15" s="243"/>
      <c r="BJ15" s="243"/>
      <c r="BK15" s="243"/>
      <c r="BL15" s="243"/>
      <c r="BM15" s="243"/>
      <c r="BN15" s="243"/>
      <c r="BO15" s="243"/>
      <c r="BP15" s="243"/>
      <c r="BQ15" s="243"/>
      <c r="BR15" s="243"/>
      <c r="BS15" s="243"/>
    </row>
    <row r="16" spans="1:85" s="261" customFormat="1">
      <c r="A16" s="251"/>
      <c r="B16" s="251"/>
      <c r="C16" s="251"/>
      <c r="D16" s="251"/>
      <c r="E16" s="582"/>
      <c r="F16" s="583"/>
      <c r="G16" s="583"/>
      <c r="H16" s="584"/>
      <c r="I16" s="573"/>
      <c r="J16" s="574"/>
      <c r="K16" s="574"/>
      <c r="L16" s="575"/>
      <c r="M16" s="573"/>
      <c r="N16" s="574"/>
      <c r="O16" s="574"/>
      <c r="P16" s="575"/>
      <c r="Q16" s="573"/>
      <c r="R16" s="574"/>
      <c r="S16" s="574"/>
      <c r="T16" s="575"/>
      <c r="U16" s="573"/>
      <c r="V16" s="574"/>
      <c r="W16" s="574"/>
      <c r="X16" s="575"/>
      <c r="Y16" s="573"/>
      <c r="Z16" s="574"/>
      <c r="AA16" s="574"/>
      <c r="AB16" s="575"/>
      <c r="AC16" s="258"/>
      <c r="AD16" s="259"/>
      <c r="AE16" s="259"/>
      <c r="AF16" s="260"/>
      <c r="AG16" s="258"/>
      <c r="AH16" s="259"/>
      <c r="AI16" s="259"/>
      <c r="AJ16" s="260"/>
      <c r="AK16" s="258"/>
      <c r="AL16" s="259"/>
      <c r="AM16" s="259"/>
      <c r="AN16" s="260"/>
      <c r="AO16" s="258"/>
      <c r="AP16" s="259"/>
      <c r="AQ16" s="259"/>
      <c r="AR16" s="260"/>
      <c r="AS16" s="258"/>
      <c r="AT16" s="259"/>
      <c r="AU16" s="259"/>
      <c r="AV16" s="260"/>
      <c r="AW16" s="258"/>
      <c r="AX16" s="259"/>
      <c r="AY16" s="259"/>
      <c r="AZ16" s="260"/>
      <c r="BG16" s="243"/>
      <c r="BH16" s="243"/>
      <c r="BI16" s="243"/>
      <c r="BJ16" s="262" t="s">
        <v>439</v>
      </c>
      <c r="BK16" s="263">
        <f>'Shipping Calculator'!N98</f>
        <v>10</v>
      </c>
      <c r="BL16" s="243"/>
      <c r="BM16" s="243"/>
      <c r="BN16" s="243"/>
      <c r="BO16" s="243"/>
      <c r="BP16" s="243"/>
      <c r="BQ16" s="243"/>
      <c r="BR16" s="243"/>
      <c r="BS16" s="243"/>
      <c r="BT16" s="244"/>
      <c r="BU16" s="244"/>
      <c r="BV16" s="244"/>
      <c r="BW16" s="244"/>
      <c r="BX16" s="244"/>
      <c r="BY16" s="244"/>
      <c r="BZ16" s="244"/>
      <c r="CA16" s="244"/>
      <c r="CB16" s="244"/>
      <c r="CC16" s="244"/>
      <c r="CD16" s="244"/>
      <c r="CE16" s="244"/>
      <c r="CF16" s="241"/>
      <c r="CG16" s="241"/>
    </row>
    <row r="17" spans="1:85">
      <c r="A17" s="251"/>
      <c r="B17" s="251"/>
      <c r="C17" s="251"/>
      <c r="D17" s="251"/>
      <c r="E17" s="576"/>
      <c r="F17" s="577"/>
      <c r="G17" s="577"/>
      <c r="H17" s="578"/>
      <c r="I17" s="579"/>
      <c r="J17" s="580"/>
      <c r="K17" s="580"/>
      <c r="L17" s="581"/>
      <c r="M17" s="579"/>
      <c r="N17" s="580"/>
      <c r="O17" s="580"/>
      <c r="P17" s="581"/>
      <c r="Q17" s="579"/>
      <c r="R17" s="580"/>
      <c r="S17" s="580"/>
      <c r="T17" s="581"/>
      <c r="U17" s="579"/>
      <c r="V17" s="580"/>
      <c r="W17" s="580"/>
      <c r="X17" s="581"/>
      <c r="Y17" s="579"/>
      <c r="Z17" s="580"/>
      <c r="AA17" s="580"/>
      <c r="AB17" s="581"/>
      <c r="AC17" s="258"/>
      <c r="AD17" s="259"/>
      <c r="AE17" s="259"/>
      <c r="AF17" s="260"/>
      <c r="AG17" s="258"/>
      <c r="AH17" s="259"/>
      <c r="AI17" s="259"/>
      <c r="AJ17" s="260"/>
      <c r="AK17" s="258"/>
      <c r="AL17" s="259"/>
      <c r="AM17" s="259"/>
      <c r="AN17" s="260"/>
      <c r="AO17" s="258"/>
      <c r="AP17" s="259"/>
      <c r="AQ17" s="259"/>
      <c r="AR17" s="260"/>
      <c r="AS17" s="258"/>
      <c r="AT17" s="259"/>
      <c r="AU17" s="259"/>
      <c r="AV17" s="260"/>
      <c r="AW17" s="258"/>
      <c r="AX17" s="259"/>
      <c r="AY17" s="259"/>
      <c r="AZ17" s="260"/>
      <c r="BG17" s="243"/>
      <c r="BH17" s="243"/>
      <c r="BI17" s="243"/>
      <c r="BJ17" s="123" t="s">
        <v>395</v>
      </c>
      <c r="BK17" s="122">
        <f>IF(BK16&lt;70,BK16,(CEILING(BK16,5)))</f>
        <v>10</v>
      </c>
      <c r="BL17" s="243"/>
      <c r="BM17" s="243"/>
      <c r="BN17" s="243"/>
      <c r="BO17" s="243"/>
      <c r="BP17" s="243"/>
      <c r="BQ17" s="243"/>
      <c r="BR17" s="243"/>
      <c r="BS17" s="243"/>
    </row>
    <row r="18" spans="1:85" s="261" customFormat="1">
      <c r="A18" s="251"/>
      <c r="B18" s="251"/>
      <c r="C18" s="251"/>
      <c r="D18" s="251"/>
      <c r="E18" s="582"/>
      <c r="F18" s="583"/>
      <c r="G18" s="583"/>
      <c r="H18" s="584"/>
      <c r="I18" s="573"/>
      <c r="J18" s="574"/>
      <c r="K18" s="574"/>
      <c r="L18" s="575"/>
      <c r="M18" s="573"/>
      <c r="N18" s="574"/>
      <c r="O18" s="574"/>
      <c r="P18" s="575"/>
      <c r="Q18" s="573"/>
      <c r="R18" s="574"/>
      <c r="S18" s="574"/>
      <c r="T18" s="575"/>
      <c r="U18" s="573"/>
      <c r="V18" s="574"/>
      <c r="W18" s="574"/>
      <c r="X18" s="575"/>
      <c r="Y18" s="573"/>
      <c r="Z18" s="574"/>
      <c r="AA18" s="574"/>
      <c r="AB18" s="575"/>
      <c r="AC18" s="258"/>
      <c r="AD18" s="259"/>
      <c r="AE18" s="259"/>
      <c r="AF18" s="260"/>
      <c r="AG18" s="258"/>
      <c r="AH18" s="259"/>
      <c r="AI18" s="259"/>
      <c r="AJ18" s="260"/>
      <c r="AK18" s="258"/>
      <c r="AL18" s="259"/>
      <c r="AM18" s="259"/>
      <c r="AN18" s="260"/>
      <c r="AO18" s="258"/>
      <c r="AP18" s="259"/>
      <c r="AQ18" s="259"/>
      <c r="AR18" s="260"/>
      <c r="AS18" s="258"/>
      <c r="AT18" s="259"/>
      <c r="AU18" s="259"/>
      <c r="AV18" s="260"/>
      <c r="AW18" s="258"/>
      <c r="AX18" s="259"/>
      <c r="AY18" s="259"/>
      <c r="AZ18" s="260"/>
      <c r="BG18" s="243"/>
      <c r="BH18" s="243"/>
      <c r="BI18" s="243"/>
      <c r="BJ18" s="123" t="s">
        <v>396</v>
      </c>
      <c r="BK18" s="123">
        <f>'Country Tables'!K246</f>
        <v>0</v>
      </c>
      <c r="BL18" s="243"/>
      <c r="BM18" s="243"/>
      <c r="BN18" s="243"/>
      <c r="BO18" s="243"/>
      <c r="BP18" s="243"/>
      <c r="BQ18" s="243"/>
      <c r="BR18" s="243"/>
      <c r="BS18" s="243"/>
      <c r="BT18" s="244"/>
      <c r="BU18" s="244"/>
      <c r="BV18" s="244"/>
      <c r="BW18" s="244"/>
      <c r="BX18" s="244"/>
      <c r="BY18" s="244"/>
      <c r="BZ18" s="244"/>
      <c r="CA18" s="244"/>
      <c r="CB18" s="244"/>
      <c r="CC18" s="244"/>
      <c r="CD18" s="244"/>
      <c r="CE18" s="244"/>
      <c r="CF18" s="241"/>
      <c r="CG18" s="241"/>
    </row>
    <row r="19" spans="1:85">
      <c r="A19" s="251"/>
      <c r="B19" s="251"/>
      <c r="C19" s="251"/>
      <c r="D19" s="251"/>
      <c r="E19" s="576"/>
      <c r="F19" s="577"/>
      <c r="G19" s="577"/>
      <c r="H19" s="578"/>
      <c r="I19" s="579"/>
      <c r="J19" s="580"/>
      <c r="K19" s="580"/>
      <c r="L19" s="581"/>
      <c r="M19" s="579"/>
      <c r="N19" s="580"/>
      <c r="O19" s="580"/>
      <c r="P19" s="581"/>
      <c r="Q19" s="579"/>
      <c r="R19" s="580"/>
      <c r="S19" s="580"/>
      <c r="T19" s="581"/>
      <c r="U19" s="579"/>
      <c r="V19" s="580"/>
      <c r="W19" s="580"/>
      <c r="X19" s="581"/>
      <c r="Y19" s="579"/>
      <c r="Z19" s="580"/>
      <c r="AA19" s="580"/>
      <c r="AB19" s="581"/>
      <c r="AC19" s="258"/>
      <c r="AD19" s="259"/>
      <c r="AE19" s="259"/>
      <c r="AF19" s="260"/>
      <c r="AG19" s="258"/>
      <c r="AH19" s="259"/>
      <c r="AI19" s="259"/>
      <c r="AJ19" s="260"/>
      <c r="AK19" s="258"/>
      <c r="AL19" s="259"/>
      <c r="AM19" s="259"/>
      <c r="AN19" s="260"/>
      <c r="AO19" s="258"/>
      <c r="AP19" s="259"/>
      <c r="AQ19" s="259"/>
      <c r="AR19" s="260"/>
      <c r="AS19" s="258"/>
      <c r="AT19" s="259"/>
      <c r="AU19" s="259"/>
      <c r="AV19" s="260"/>
      <c r="AW19" s="258"/>
      <c r="AX19" s="259"/>
      <c r="AY19" s="259"/>
      <c r="AZ19" s="260"/>
      <c r="BG19" s="243"/>
      <c r="BH19" s="243"/>
      <c r="BI19" s="243"/>
      <c r="BJ19" s="123" t="s">
        <v>440</v>
      </c>
      <c r="BK19" s="123" t="e">
        <f>IF(BK17&lt;=300,(VLOOKUP(BK17,BJ27:BO326,BK18,0)),BK20)</f>
        <v>#VALUE!</v>
      </c>
      <c r="BL19" s="243" t="s">
        <v>441</v>
      </c>
      <c r="BM19" s="243"/>
      <c r="BN19" s="243"/>
      <c r="BO19" s="243"/>
      <c r="BP19" s="243"/>
      <c r="BQ19" s="243"/>
      <c r="BR19" s="243"/>
    </row>
    <row r="20" spans="1:85" s="261" customFormat="1">
      <c r="A20" s="251"/>
      <c r="B20" s="251"/>
      <c r="C20" s="251"/>
      <c r="D20" s="251"/>
      <c r="E20" s="582"/>
      <c r="F20" s="583"/>
      <c r="G20" s="583"/>
      <c r="H20" s="584"/>
      <c r="I20" s="573"/>
      <c r="J20" s="574"/>
      <c r="K20" s="574"/>
      <c r="L20" s="575"/>
      <c r="M20" s="573"/>
      <c r="N20" s="574"/>
      <c r="O20" s="574"/>
      <c r="P20" s="575"/>
      <c r="Q20" s="573"/>
      <c r="R20" s="574"/>
      <c r="S20" s="574"/>
      <c r="T20" s="575"/>
      <c r="U20" s="573"/>
      <c r="V20" s="574"/>
      <c r="W20" s="574"/>
      <c r="X20" s="575"/>
      <c r="Y20" s="573"/>
      <c r="Z20" s="574"/>
      <c r="AA20" s="574"/>
      <c r="AB20" s="575"/>
      <c r="AC20" s="258"/>
      <c r="AD20" s="259"/>
      <c r="AE20" s="259"/>
      <c r="AF20" s="260"/>
      <c r="AG20" s="258"/>
      <c r="AH20" s="259"/>
      <c r="AI20" s="259"/>
      <c r="AJ20" s="260"/>
      <c r="AK20" s="258"/>
      <c r="AL20" s="259"/>
      <c r="AM20" s="259"/>
      <c r="AN20" s="260"/>
      <c r="AO20" s="258"/>
      <c r="AP20" s="259"/>
      <c r="AQ20" s="259"/>
      <c r="AR20" s="260"/>
      <c r="AS20" s="258"/>
      <c r="AT20" s="259"/>
      <c r="AU20" s="259"/>
      <c r="AV20" s="260"/>
      <c r="AW20" s="258"/>
      <c r="AX20" s="259"/>
      <c r="AY20" s="259"/>
      <c r="AZ20" s="260"/>
      <c r="BG20" s="243"/>
      <c r="BH20" s="243"/>
      <c r="BI20" s="243"/>
      <c r="BJ20" s="123" t="s">
        <v>442</v>
      </c>
      <c r="BK20" s="265" t="e">
        <f>ROUND(VLOOKUP("Rate",BJ333:BO333,BK18,0),2)</f>
        <v>#VALUE!</v>
      </c>
      <c r="BL20" s="243"/>
      <c r="BM20" s="243"/>
      <c r="BN20" s="243"/>
      <c r="BO20" s="243"/>
      <c r="BP20" s="243"/>
      <c r="BQ20" s="243"/>
      <c r="BR20" s="243"/>
      <c r="BS20" s="243"/>
      <c r="BT20" s="244"/>
      <c r="BU20" s="244"/>
      <c r="BV20" s="244"/>
      <c r="BW20" s="244"/>
      <c r="BX20" s="244"/>
      <c r="BY20" s="244"/>
      <c r="BZ20" s="244"/>
      <c r="CA20" s="244"/>
      <c r="CB20" s="244"/>
      <c r="CC20" s="244"/>
      <c r="CD20" s="244"/>
      <c r="CE20" s="244"/>
      <c r="CF20" s="241"/>
      <c r="CG20" s="241"/>
    </row>
    <row r="21" spans="1:85">
      <c r="A21" s="251"/>
      <c r="B21" s="251"/>
      <c r="C21" s="251"/>
      <c r="D21" s="251"/>
      <c r="E21" s="576"/>
      <c r="F21" s="577"/>
      <c r="G21" s="577"/>
      <c r="H21" s="578"/>
      <c r="I21" s="579"/>
      <c r="J21" s="580"/>
      <c r="K21" s="580"/>
      <c r="L21" s="581"/>
      <c r="M21" s="579"/>
      <c r="N21" s="580"/>
      <c r="O21" s="580"/>
      <c r="P21" s="581"/>
      <c r="Q21" s="579"/>
      <c r="R21" s="580"/>
      <c r="S21" s="580"/>
      <c r="T21" s="581"/>
      <c r="U21" s="579"/>
      <c r="V21" s="580"/>
      <c r="W21" s="580"/>
      <c r="X21" s="581"/>
      <c r="Y21" s="579"/>
      <c r="Z21" s="580"/>
      <c r="AA21" s="580"/>
      <c r="AB21" s="581"/>
      <c r="AC21" s="258"/>
      <c r="AD21" s="259"/>
      <c r="AE21" s="259"/>
      <c r="AF21" s="260"/>
      <c r="AG21" s="258"/>
      <c r="AH21" s="259"/>
      <c r="AI21" s="259"/>
      <c r="AJ21" s="260"/>
      <c r="AK21" s="258"/>
      <c r="AL21" s="259"/>
      <c r="AM21" s="259"/>
      <c r="AN21" s="260"/>
      <c r="AO21" s="258"/>
      <c r="AP21" s="259"/>
      <c r="AQ21" s="259"/>
      <c r="AR21" s="260"/>
      <c r="AS21" s="258"/>
      <c r="AT21" s="259"/>
      <c r="AU21" s="259"/>
      <c r="AV21" s="260"/>
      <c r="AW21" s="258"/>
      <c r="AX21" s="259"/>
      <c r="AY21" s="259"/>
      <c r="AZ21" s="260"/>
      <c r="BG21" s="243"/>
      <c r="BH21" s="243"/>
      <c r="BI21" s="243"/>
      <c r="BJ21" s="243"/>
      <c r="BK21" s="243"/>
      <c r="BL21" s="243"/>
      <c r="BM21" s="243"/>
      <c r="BN21" s="243"/>
      <c r="BO21" s="243"/>
      <c r="BP21" s="243"/>
      <c r="BQ21" s="243"/>
      <c r="BR21" s="243"/>
      <c r="BS21" s="243"/>
    </row>
    <row r="22" spans="1:85" s="261" customFormat="1">
      <c r="A22" s="251"/>
      <c r="B22" s="251"/>
      <c r="C22" s="251"/>
      <c r="D22" s="251"/>
      <c r="E22" s="582"/>
      <c r="F22" s="583"/>
      <c r="G22" s="583"/>
      <c r="H22" s="584"/>
      <c r="I22" s="573"/>
      <c r="J22" s="574"/>
      <c r="K22" s="574"/>
      <c r="L22" s="575"/>
      <c r="M22" s="573"/>
      <c r="N22" s="574"/>
      <c r="O22" s="574"/>
      <c r="P22" s="575"/>
      <c r="Q22" s="573"/>
      <c r="R22" s="574"/>
      <c r="S22" s="574"/>
      <c r="T22" s="575"/>
      <c r="U22" s="573"/>
      <c r="V22" s="574"/>
      <c r="W22" s="574"/>
      <c r="X22" s="575"/>
      <c r="Y22" s="573"/>
      <c r="Z22" s="574"/>
      <c r="AA22" s="574"/>
      <c r="AB22" s="575"/>
      <c r="AC22" s="258"/>
      <c r="AD22" s="259"/>
      <c r="AE22" s="259"/>
      <c r="AF22" s="260"/>
      <c r="AG22" s="258"/>
      <c r="AH22" s="259"/>
      <c r="AI22" s="259"/>
      <c r="AJ22" s="260"/>
      <c r="AK22" s="258"/>
      <c r="AL22" s="259"/>
      <c r="AM22" s="259"/>
      <c r="AN22" s="260"/>
      <c r="AO22" s="258"/>
      <c r="AP22" s="259"/>
      <c r="AQ22" s="259"/>
      <c r="AR22" s="260"/>
      <c r="AS22" s="258"/>
      <c r="AT22" s="259"/>
      <c r="AU22" s="259"/>
      <c r="AV22" s="260"/>
      <c r="AW22" s="258"/>
      <c r="AX22" s="259"/>
      <c r="AY22" s="259"/>
      <c r="AZ22" s="260"/>
      <c r="BG22" s="243"/>
      <c r="BH22" s="243"/>
      <c r="BI22" s="243"/>
      <c r="BJ22" s="243"/>
      <c r="BK22" s="243"/>
      <c r="BL22" s="243"/>
      <c r="BM22" s="243"/>
      <c r="BN22" s="243"/>
      <c r="BO22" s="243"/>
      <c r="BP22" s="243"/>
      <c r="BQ22" s="243"/>
      <c r="BR22" s="243"/>
      <c r="BS22" s="243"/>
      <c r="BT22" s="244"/>
      <c r="BU22" s="244"/>
      <c r="BV22" s="244"/>
      <c r="BW22" s="244"/>
      <c r="BX22" s="244"/>
      <c r="BY22" s="244"/>
      <c r="BZ22" s="244"/>
      <c r="CA22" s="244"/>
      <c r="CB22" s="244"/>
      <c r="CC22" s="244"/>
      <c r="CD22" s="244"/>
      <c r="CE22" s="244"/>
    </row>
    <row r="23" spans="1:85">
      <c r="A23" s="251"/>
      <c r="B23" s="251"/>
      <c r="C23" s="251"/>
      <c r="D23" s="251"/>
      <c r="E23" s="576"/>
      <c r="F23" s="577"/>
      <c r="G23" s="577"/>
      <c r="H23" s="578"/>
      <c r="I23" s="579"/>
      <c r="J23" s="580"/>
      <c r="K23" s="580"/>
      <c r="L23" s="581"/>
      <c r="M23" s="579"/>
      <c r="N23" s="580"/>
      <c r="O23" s="580"/>
      <c r="P23" s="581"/>
      <c r="Q23" s="579"/>
      <c r="R23" s="580"/>
      <c r="S23" s="580"/>
      <c r="T23" s="581"/>
      <c r="U23" s="579"/>
      <c r="V23" s="580"/>
      <c r="W23" s="580"/>
      <c r="X23" s="581"/>
      <c r="Y23" s="579"/>
      <c r="Z23" s="580"/>
      <c r="AA23" s="580"/>
      <c r="AB23" s="581"/>
      <c r="AC23" s="258"/>
      <c r="AD23" s="259"/>
      <c r="AE23" s="259"/>
      <c r="AF23" s="260"/>
      <c r="AG23" s="258"/>
      <c r="AH23" s="259"/>
      <c r="AI23" s="259"/>
      <c r="AJ23" s="260"/>
      <c r="AK23" s="258"/>
      <c r="AL23" s="259"/>
      <c r="AM23" s="259"/>
      <c r="AN23" s="260"/>
      <c r="AO23" s="258"/>
      <c r="AP23" s="259"/>
      <c r="AQ23" s="259"/>
      <c r="AR23" s="260"/>
      <c r="AS23" s="258"/>
      <c r="AT23" s="259"/>
      <c r="AU23" s="259"/>
      <c r="AV23" s="260"/>
      <c r="AW23" s="258"/>
      <c r="AX23" s="259"/>
      <c r="AY23" s="259"/>
      <c r="AZ23" s="260"/>
      <c r="BG23" s="243"/>
      <c r="BH23" s="243"/>
      <c r="BI23" s="243"/>
      <c r="BJ23" s="243"/>
      <c r="BK23" s="243"/>
      <c r="BL23" s="243"/>
      <c r="BM23" s="243"/>
      <c r="BN23" s="243"/>
      <c r="BO23" s="243"/>
      <c r="BP23" s="243"/>
      <c r="BQ23" s="243"/>
      <c r="BR23" s="243"/>
      <c r="BS23" s="243"/>
    </row>
    <row r="24" spans="1:85" s="261" customFormat="1">
      <c r="A24" s="251"/>
      <c r="B24" s="251"/>
      <c r="C24" s="251"/>
      <c r="D24" s="251"/>
      <c r="E24" s="582"/>
      <c r="F24" s="583"/>
      <c r="G24" s="583"/>
      <c r="H24" s="584"/>
      <c r="I24" s="573"/>
      <c r="J24" s="574"/>
      <c r="K24" s="574"/>
      <c r="L24" s="575"/>
      <c r="M24" s="573"/>
      <c r="N24" s="574"/>
      <c r="O24" s="574"/>
      <c r="P24" s="575"/>
      <c r="Q24" s="573"/>
      <c r="R24" s="574"/>
      <c r="S24" s="574"/>
      <c r="T24" s="575"/>
      <c r="U24" s="573"/>
      <c r="V24" s="574"/>
      <c r="W24" s="574"/>
      <c r="X24" s="575"/>
      <c r="Y24" s="573"/>
      <c r="Z24" s="574"/>
      <c r="AA24" s="574"/>
      <c r="AB24" s="575"/>
      <c r="AC24" s="258"/>
      <c r="AD24" s="259"/>
      <c r="AE24" s="259"/>
      <c r="AF24" s="260"/>
      <c r="AG24" s="258"/>
      <c r="AH24" s="259"/>
      <c r="AI24" s="259"/>
      <c r="AJ24" s="260"/>
      <c r="AK24" s="258"/>
      <c r="AL24" s="259"/>
      <c r="AM24" s="259"/>
      <c r="AN24" s="260"/>
      <c r="AO24" s="258"/>
      <c r="AP24" s="259"/>
      <c r="AQ24" s="259"/>
      <c r="AR24" s="260"/>
      <c r="AS24" s="258"/>
      <c r="AT24" s="259"/>
      <c r="AU24" s="259"/>
      <c r="AV24" s="260"/>
      <c r="AW24" s="258"/>
      <c r="AX24" s="259"/>
      <c r="AY24" s="259"/>
      <c r="AZ24" s="260"/>
      <c r="BG24" s="243"/>
      <c r="BH24" s="243"/>
      <c r="BI24" s="243"/>
      <c r="BJ24" s="243"/>
      <c r="BK24" s="243"/>
      <c r="BL24" s="243"/>
      <c r="BM24" s="243"/>
      <c r="BN24" s="243"/>
      <c r="BO24" s="243"/>
      <c r="BP24" s="243"/>
      <c r="BQ24" s="243"/>
      <c r="BR24" s="243"/>
      <c r="BS24" s="243"/>
      <c r="BT24" s="244"/>
      <c r="BU24" s="244"/>
      <c r="BV24" s="244"/>
      <c r="BW24" s="244"/>
      <c r="BX24" s="244"/>
      <c r="BY24" s="244"/>
      <c r="BZ24" s="244"/>
      <c r="CA24" s="244"/>
      <c r="CB24" s="244"/>
      <c r="CC24" s="244"/>
      <c r="CD24" s="244"/>
      <c r="CE24" s="244"/>
    </row>
    <row r="25" spans="1:85">
      <c r="A25" s="251"/>
      <c r="B25" s="251"/>
      <c r="C25" s="251"/>
      <c r="D25" s="251"/>
      <c r="E25" s="576"/>
      <c r="F25" s="577"/>
      <c r="G25" s="577"/>
      <c r="H25" s="578"/>
      <c r="I25" s="579"/>
      <c r="J25" s="580"/>
      <c r="K25" s="580"/>
      <c r="L25" s="581"/>
      <c r="M25" s="579"/>
      <c r="N25" s="580"/>
      <c r="O25" s="580"/>
      <c r="P25" s="581"/>
      <c r="Q25" s="579"/>
      <c r="R25" s="580"/>
      <c r="S25" s="580"/>
      <c r="T25" s="581"/>
      <c r="U25" s="579"/>
      <c r="V25" s="580"/>
      <c r="W25" s="580"/>
      <c r="X25" s="581"/>
      <c r="Y25" s="579"/>
      <c r="Z25" s="580"/>
      <c r="AA25" s="580"/>
      <c r="AB25" s="581"/>
      <c r="AC25" s="258"/>
      <c r="AD25" s="259"/>
      <c r="AE25" s="259"/>
      <c r="AF25" s="260"/>
      <c r="AG25" s="258"/>
      <c r="AH25" s="259"/>
      <c r="AI25" s="259"/>
      <c r="AJ25" s="260"/>
      <c r="AK25" s="258"/>
      <c r="AL25" s="259"/>
      <c r="AM25" s="259"/>
      <c r="AN25" s="260"/>
      <c r="AO25" s="258"/>
      <c r="AP25" s="259"/>
      <c r="AQ25" s="259"/>
      <c r="AR25" s="260"/>
      <c r="AS25" s="258"/>
      <c r="AT25" s="259"/>
      <c r="AU25" s="259"/>
      <c r="AV25" s="260"/>
      <c r="AW25" s="258"/>
      <c r="AX25" s="259"/>
      <c r="AY25" s="259"/>
      <c r="AZ25" s="260"/>
      <c r="BG25" s="243"/>
      <c r="BH25" s="243"/>
      <c r="BI25" s="243"/>
      <c r="BJ25" s="266"/>
      <c r="BK25" s="591" t="s">
        <v>443</v>
      </c>
      <c r="BL25" s="592"/>
      <c r="BM25" s="592"/>
      <c r="BN25" s="592"/>
      <c r="BO25" s="593"/>
      <c r="BP25" s="243"/>
      <c r="BQ25" s="243"/>
      <c r="BR25" s="243"/>
      <c r="BS25" s="267"/>
    </row>
    <row r="26" spans="1:85" s="261" customFormat="1">
      <c r="A26" s="251"/>
      <c r="B26" s="251"/>
      <c r="C26" s="251"/>
      <c r="D26" s="251"/>
      <c r="E26" s="582"/>
      <c r="F26" s="583"/>
      <c r="G26" s="583"/>
      <c r="H26" s="584"/>
      <c r="I26" s="573"/>
      <c r="J26" s="574"/>
      <c r="K26" s="574"/>
      <c r="L26" s="575"/>
      <c r="M26" s="573"/>
      <c r="N26" s="574"/>
      <c r="O26" s="574"/>
      <c r="P26" s="575"/>
      <c r="Q26" s="573"/>
      <c r="R26" s="574"/>
      <c r="S26" s="574"/>
      <c r="T26" s="575"/>
      <c r="U26" s="573"/>
      <c r="V26" s="574"/>
      <c r="W26" s="574"/>
      <c r="X26" s="575"/>
      <c r="Y26" s="573"/>
      <c r="Z26" s="574"/>
      <c r="AA26" s="574"/>
      <c r="AB26" s="575"/>
      <c r="AC26" s="258"/>
      <c r="AD26" s="259"/>
      <c r="AE26" s="259"/>
      <c r="AF26" s="260"/>
      <c r="AG26" s="258"/>
      <c r="AH26" s="259"/>
      <c r="AI26" s="259"/>
      <c r="AJ26" s="260"/>
      <c r="AK26" s="258"/>
      <c r="AL26" s="259"/>
      <c r="AM26" s="259"/>
      <c r="AN26" s="260"/>
      <c r="AO26" s="258"/>
      <c r="AP26" s="259"/>
      <c r="AQ26" s="259"/>
      <c r="AR26" s="260"/>
      <c r="AS26" s="258"/>
      <c r="AT26" s="259"/>
      <c r="AU26" s="259"/>
      <c r="AV26" s="260"/>
      <c r="AW26" s="258"/>
      <c r="AX26" s="259"/>
      <c r="AY26" s="259"/>
      <c r="AZ26" s="260"/>
      <c r="BG26" s="243"/>
      <c r="BH26" s="243"/>
      <c r="BI26" s="243"/>
      <c r="BJ26" s="268" t="s">
        <v>405</v>
      </c>
      <c r="BK26" s="269">
        <v>1</v>
      </c>
      <c r="BL26" s="269">
        <v>2</v>
      </c>
      <c r="BM26" s="269">
        <v>3</v>
      </c>
      <c r="BN26" s="269">
        <v>4</v>
      </c>
      <c r="BO26" s="269">
        <v>5</v>
      </c>
      <c r="BP26" s="266"/>
      <c r="BQ26" s="266"/>
      <c r="BR26" s="266"/>
      <c r="BS26" s="270"/>
      <c r="BT26" s="244"/>
      <c r="BU26" s="244"/>
      <c r="BV26" s="244"/>
      <c r="BW26" s="244"/>
      <c r="BX26" s="244"/>
      <c r="BY26" s="244"/>
      <c r="BZ26" s="244"/>
      <c r="CA26" s="244"/>
      <c r="CB26" s="244"/>
      <c r="CC26" s="244"/>
      <c r="CD26" s="244"/>
      <c r="CE26" s="244"/>
    </row>
    <row r="27" spans="1:85">
      <c r="A27" s="251"/>
      <c r="B27" s="251"/>
      <c r="C27" s="251"/>
      <c r="D27" s="251"/>
      <c r="E27" s="576"/>
      <c r="F27" s="577"/>
      <c r="G27" s="577"/>
      <c r="H27" s="578"/>
      <c r="I27" s="579"/>
      <c r="J27" s="580"/>
      <c r="K27" s="580"/>
      <c r="L27" s="581"/>
      <c r="M27" s="579"/>
      <c r="N27" s="580"/>
      <c r="O27" s="580"/>
      <c r="P27" s="581"/>
      <c r="Q27" s="579"/>
      <c r="R27" s="580"/>
      <c r="S27" s="580"/>
      <c r="T27" s="581"/>
      <c r="U27" s="579"/>
      <c r="V27" s="580"/>
      <c r="W27" s="580"/>
      <c r="X27" s="581"/>
      <c r="Y27" s="579"/>
      <c r="Z27" s="580"/>
      <c r="AA27" s="580"/>
      <c r="AB27" s="581"/>
      <c r="AC27" s="258"/>
      <c r="AD27" s="259"/>
      <c r="AE27" s="259"/>
      <c r="AF27" s="260"/>
      <c r="AG27" s="258"/>
      <c r="AH27" s="259"/>
      <c r="AI27" s="259"/>
      <c r="AJ27" s="260"/>
      <c r="AK27" s="258"/>
      <c r="AL27" s="259"/>
      <c r="AM27" s="259"/>
      <c r="AN27" s="260"/>
      <c r="AO27" s="258"/>
      <c r="AP27" s="259"/>
      <c r="AQ27" s="259"/>
      <c r="AR27" s="260"/>
      <c r="AS27" s="258"/>
      <c r="AT27" s="259"/>
      <c r="AU27" s="259"/>
      <c r="AV27" s="260"/>
      <c r="AW27" s="258"/>
      <c r="AX27" s="259"/>
      <c r="AY27" s="259"/>
      <c r="AZ27" s="260"/>
      <c r="BG27" s="243"/>
      <c r="BH27" s="243"/>
      <c r="BI27" s="243"/>
      <c r="BJ27" s="271">
        <v>1</v>
      </c>
      <c r="BK27" s="272">
        <v>12.06</v>
      </c>
      <c r="BL27" s="272">
        <v>14.01</v>
      </c>
      <c r="BM27" s="272">
        <v>16.37</v>
      </c>
      <c r="BN27" s="272">
        <v>17.45</v>
      </c>
      <c r="BO27" s="272">
        <v>19.37</v>
      </c>
      <c r="BP27" s="271"/>
      <c r="BQ27" s="266"/>
      <c r="BR27" s="266"/>
      <c r="BS27" s="270"/>
    </row>
    <row r="28" spans="1:85" s="261" customFormat="1">
      <c r="A28" s="251"/>
      <c r="B28" s="251"/>
      <c r="C28" s="251"/>
      <c r="D28" s="251"/>
      <c r="E28" s="582"/>
      <c r="F28" s="583"/>
      <c r="G28" s="583"/>
      <c r="H28" s="584"/>
      <c r="I28" s="573"/>
      <c r="J28" s="574"/>
      <c r="K28" s="574"/>
      <c r="L28" s="575"/>
      <c r="M28" s="573"/>
      <c r="N28" s="574"/>
      <c r="O28" s="574"/>
      <c r="P28" s="575"/>
      <c r="Q28" s="573"/>
      <c r="R28" s="574"/>
      <c r="S28" s="574"/>
      <c r="T28" s="575"/>
      <c r="U28" s="573"/>
      <c r="V28" s="574"/>
      <c r="W28" s="574"/>
      <c r="X28" s="575"/>
      <c r="Y28" s="573"/>
      <c r="Z28" s="574"/>
      <c r="AA28" s="574"/>
      <c r="AB28" s="575"/>
      <c r="AC28" s="258"/>
      <c r="AD28" s="259"/>
      <c r="AE28" s="259"/>
      <c r="AF28" s="260"/>
      <c r="AG28" s="258"/>
      <c r="AH28" s="259"/>
      <c r="AI28" s="259"/>
      <c r="AJ28" s="260"/>
      <c r="AK28" s="258"/>
      <c r="AL28" s="259"/>
      <c r="AM28" s="259"/>
      <c r="AN28" s="260"/>
      <c r="AO28" s="258"/>
      <c r="AP28" s="259"/>
      <c r="AQ28" s="259"/>
      <c r="AR28" s="260"/>
      <c r="AS28" s="258"/>
      <c r="AT28" s="259"/>
      <c r="AU28" s="259"/>
      <c r="AV28" s="260"/>
      <c r="AW28" s="258"/>
      <c r="AX28" s="259"/>
      <c r="AY28" s="259"/>
      <c r="AZ28" s="260"/>
      <c r="BG28" s="243"/>
      <c r="BH28" s="243"/>
      <c r="BI28" s="243"/>
      <c r="BJ28" s="273">
        <v>2</v>
      </c>
      <c r="BK28" s="274">
        <v>12.06</v>
      </c>
      <c r="BL28" s="274">
        <v>14.01</v>
      </c>
      <c r="BM28" s="274">
        <v>16.37</v>
      </c>
      <c r="BN28" s="274">
        <v>17.45</v>
      </c>
      <c r="BO28" s="274">
        <v>19.37</v>
      </c>
      <c r="BP28" s="273"/>
      <c r="BQ28" s="266"/>
      <c r="BR28" s="266"/>
      <c r="BS28" s="270"/>
      <c r="BT28" s="244"/>
      <c r="BU28" s="244"/>
      <c r="BV28" s="244"/>
      <c r="BW28" s="244"/>
      <c r="BX28" s="244"/>
      <c r="BY28" s="244"/>
      <c r="BZ28" s="244"/>
      <c r="CA28" s="244"/>
      <c r="CB28" s="244"/>
      <c r="CC28" s="244"/>
      <c r="CD28" s="244"/>
      <c r="CE28" s="244"/>
    </row>
    <row r="29" spans="1:85">
      <c r="A29" s="251"/>
      <c r="B29" s="251"/>
      <c r="C29" s="251"/>
      <c r="D29" s="251"/>
      <c r="E29" s="576"/>
      <c r="F29" s="577"/>
      <c r="G29" s="577"/>
      <c r="H29" s="578"/>
      <c r="I29" s="579"/>
      <c r="J29" s="580"/>
      <c r="K29" s="580"/>
      <c r="L29" s="581"/>
      <c r="M29" s="579"/>
      <c r="N29" s="580"/>
      <c r="O29" s="580"/>
      <c r="P29" s="581"/>
      <c r="Q29" s="579"/>
      <c r="R29" s="580"/>
      <c r="S29" s="580"/>
      <c r="T29" s="581"/>
      <c r="U29" s="579"/>
      <c r="V29" s="580"/>
      <c r="W29" s="580"/>
      <c r="X29" s="581"/>
      <c r="Y29" s="579"/>
      <c r="Z29" s="580"/>
      <c r="AA29" s="580"/>
      <c r="AB29" s="581"/>
      <c r="AC29" s="258"/>
      <c r="AD29" s="259"/>
      <c r="AE29" s="259"/>
      <c r="AF29" s="260"/>
      <c r="AG29" s="258"/>
      <c r="AH29" s="259"/>
      <c r="AI29" s="259"/>
      <c r="AJ29" s="260"/>
      <c r="AK29" s="258"/>
      <c r="AL29" s="259"/>
      <c r="AM29" s="259"/>
      <c r="AN29" s="260"/>
      <c r="AO29" s="258"/>
      <c r="AP29" s="259"/>
      <c r="AQ29" s="259"/>
      <c r="AR29" s="260"/>
      <c r="AS29" s="258"/>
      <c r="AT29" s="259"/>
      <c r="AU29" s="259"/>
      <c r="AV29" s="260"/>
      <c r="AW29" s="258"/>
      <c r="AX29" s="259"/>
      <c r="AY29" s="259"/>
      <c r="AZ29" s="260"/>
      <c r="BG29" s="243"/>
      <c r="BH29" s="243"/>
      <c r="BI29" s="243"/>
      <c r="BJ29" s="275">
        <v>3</v>
      </c>
      <c r="BK29" s="274">
        <v>12.06</v>
      </c>
      <c r="BL29" s="274">
        <v>14.01</v>
      </c>
      <c r="BM29" s="274">
        <v>16.37</v>
      </c>
      <c r="BN29" s="274">
        <v>17.45</v>
      </c>
      <c r="BO29" s="274">
        <v>19.37</v>
      </c>
      <c r="BP29" s="275"/>
      <c r="BQ29" s="266"/>
      <c r="BR29" s="266"/>
      <c r="BS29" s="270"/>
    </row>
    <row r="30" spans="1:85" s="261" customFormat="1">
      <c r="A30" s="251"/>
      <c r="B30" s="251"/>
      <c r="C30" s="251"/>
      <c r="D30" s="251"/>
      <c r="E30" s="582"/>
      <c r="F30" s="583"/>
      <c r="G30" s="583"/>
      <c r="H30" s="584"/>
      <c r="I30" s="573"/>
      <c r="J30" s="574"/>
      <c r="K30" s="574"/>
      <c r="L30" s="575"/>
      <c r="M30" s="573"/>
      <c r="N30" s="574"/>
      <c r="O30" s="574"/>
      <c r="P30" s="575"/>
      <c r="Q30" s="573"/>
      <c r="R30" s="574"/>
      <c r="S30" s="574"/>
      <c r="T30" s="575"/>
      <c r="U30" s="573"/>
      <c r="V30" s="574"/>
      <c r="W30" s="574"/>
      <c r="X30" s="575"/>
      <c r="Y30" s="573"/>
      <c r="Z30" s="574"/>
      <c r="AA30" s="574"/>
      <c r="AB30" s="575"/>
      <c r="AC30" s="258"/>
      <c r="AD30" s="259"/>
      <c r="AE30" s="259"/>
      <c r="AF30" s="260"/>
      <c r="AG30" s="258"/>
      <c r="AH30" s="259"/>
      <c r="AI30" s="259"/>
      <c r="AJ30" s="260"/>
      <c r="AK30" s="258"/>
      <c r="AL30" s="259"/>
      <c r="AM30" s="259"/>
      <c r="AN30" s="260"/>
      <c r="AO30" s="258"/>
      <c r="AP30" s="259"/>
      <c r="AQ30" s="259"/>
      <c r="AR30" s="260"/>
      <c r="AS30" s="258"/>
      <c r="AT30" s="259"/>
      <c r="AU30" s="259"/>
      <c r="AV30" s="260"/>
      <c r="AW30" s="258"/>
      <c r="AX30" s="259"/>
      <c r="AY30" s="259"/>
      <c r="AZ30" s="260"/>
      <c r="BG30" s="243"/>
      <c r="BH30" s="243"/>
      <c r="BI30" s="243"/>
      <c r="BJ30" s="275">
        <v>4</v>
      </c>
      <c r="BK30" s="274">
        <v>12.06</v>
      </c>
      <c r="BL30" s="274">
        <v>14.01</v>
      </c>
      <c r="BM30" s="274">
        <v>16.37</v>
      </c>
      <c r="BN30" s="274">
        <v>17.45</v>
      </c>
      <c r="BO30" s="274">
        <v>19.37</v>
      </c>
      <c r="BP30" s="275"/>
      <c r="BQ30" s="266"/>
      <c r="BR30" s="266"/>
      <c r="BS30" s="270"/>
      <c r="BT30" s="244"/>
      <c r="BU30" s="244"/>
      <c r="BV30" s="244"/>
      <c r="BW30" s="244"/>
      <c r="BX30" s="244"/>
      <c r="BY30" s="244"/>
      <c r="BZ30" s="244"/>
      <c r="CA30" s="244"/>
      <c r="CB30" s="244"/>
      <c r="CC30" s="244"/>
      <c r="CD30" s="244"/>
      <c r="CE30" s="244"/>
    </row>
    <row r="31" spans="1:85">
      <c r="A31" s="251"/>
      <c r="B31" s="251"/>
      <c r="C31" s="251"/>
      <c r="D31" s="251"/>
      <c r="E31" s="576"/>
      <c r="F31" s="577"/>
      <c r="G31" s="577"/>
      <c r="H31" s="578"/>
      <c r="I31" s="579"/>
      <c r="J31" s="580"/>
      <c r="K31" s="580"/>
      <c r="L31" s="581"/>
      <c r="M31" s="579"/>
      <c r="N31" s="580"/>
      <c r="O31" s="580"/>
      <c r="P31" s="581"/>
      <c r="Q31" s="579"/>
      <c r="R31" s="580"/>
      <c r="S31" s="580"/>
      <c r="T31" s="581"/>
      <c r="U31" s="579"/>
      <c r="V31" s="580"/>
      <c r="W31" s="580"/>
      <c r="X31" s="581"/>
      <c r="Y31" s="579"/>
      <c r="Z31" s="580"/>
      <c r="AA31" s="580"/>
      <c r="AB31" s="581"/>
      <c r="AC31" s="258"/>
      <c r="AD31" s="259"/>
      <c r="AE31" s="259"/>
      <c r="AF31" s="260"/>
      <c r="AG31" s="258"/>
      <c r="AH31" s="259"/>
      <c r="AI31" s="259"/>
      <c r="AJ31" s="260"/>
      <c r="AK31" s="258"/>
      <c r="AL31" s="259"/>
      <c r="AM31" s="259"/>
      <c r="AN31" s="260"/>
      <c r="AO31" s="258"/>
      <c r="AP31" s="259"/>
      <c r="AQ31" s="259"/>
      <c r="AR31" s="260"/>
      <c r="AS31" s="258"/>
      <c r="AT31" s="259"/>
      <c r="AU31" s="259"/>
      <c r="AV31" s="260"/>
      <c r="AW31" s="258"/>
      <c r="AX31" s="259"/>
      <c r="AY31" s="259"/>
      <c r="AZ31" s="260"/>
      <c r="BG31" s="243"/>
      <c r="BH31" s="243"/>
      <c r="BI31" s="243"/>
      <c r="BJ31" s="276">
        <v>5</v>
      </c>
      <c r="BK31" s="274">
        <v>12.06</v>
      </c>
      <c r="BL31" s="274">
        <v>14.01</v>
      </c>
      <c r="BM31" s="274">
        <v>16.37</v>
      </c>
      <c r="BN31" s="274">
        <v>17.45</v>
      </c>
      <c r="BO31" s="274">
        <v>19.37</v>
      </c>
      <c r="BP31" s="276"/>
      <c r="BQ31" s="266"/>
      <c r="BR31" s="266"/>
      <c r="BS31" s="270"/>
    </row>
    <row r="32" spans="1:85" s="261" customFormat="1">
      <c r="A32" s="251"/>
      <c r="B32" s="251"/>
      <c r="C32" s="251"/>
      <c r="D32" s="251"/>
      <c r="E32" s="582"/>
      <c r="F32" s="583"/>
      <c r="G32" s="583"/>
      <c r="H32" s="584"/>
      <c r="I32" s="573"/>
      <c r="J32" s="574"/>
      <c r="K32" s="574"/>
      <c r="L32" s="575"/>
      <c r="M32" s="573"/>
      <c r="N32" s="574"/>
      <c r="O32" s="574"/>
      <c r="P32" s="575"/>
      <c r="Q32" s="573"/>
      <c r="R32" s="574"/>
      <c r="S32" s="574"/>
      <c r="T32" s="575"/>
      <c r="U32" s="573"/>
      <c r="V32" s="574"/>
      <c r="W32" s="574"/>
      <c r="X32" s="575"/>
      <c r="Y32" s="573"/>
      <c r="Z32" s="574"/>
      <c r="AA32" s="574"/>
      <c r="AB32" s="575"/>
      <c r="AC32" s="258"/>
      <c r="AD32" s="259"/>
      <c r="AE32" s="259"/>
      <c r="AF32" s="260"/>
      <c r="AG32" s="258"/>
      <c r="AH32" s="259"/>
      <c r="AI32" s="259"/>
      <c r="AJ32" s="260"/>
      <c r="AK32" s="258"/>
      <c r="AL32" s="259"/>
      <c r="AM32" s="259"/>
      <c r="AN32" s="260"/>
      <c r="AO32" s="258"/>
      <c r="AP32" s="259"/>
      <c r="AQ32" s="259"/>
      <c r="AR32" s="260"/>
      <c r="AS32" s="258"/>
      <c r="AT32" s="259"/>
      <c r="AU32" s="259"/>
      <c r="AV32" s="260"/>
      <c r="AW32" s="258"/>
      <c r="AX32" s="259"/>
      <c r="AY32" s="259"/>
      <c r="AZ32" s="260"/>
      <c r="BG32" s="243"/>
      <c r="BH32" s="243"/>
      <c r="BI32" s="243"/>
      <c r="BJ32" s="277">
        <v>6</v>
      </c>
      <c r="BK32" s="274">
        <v>12.06</v>
      </c>
      <c r="BL32" s="274">
        <v>14.01</v>
      </c>
      <c r="BM32" s="274">
        <v>16.37</v>
      </c>
      <c r="BN32" s="274">
        <v>17.45</v>
      </c>
      <c r="BO32" s="274">
        <v>19.37</v>
      </c>
      <c r="BP32" s="277"/>
      <c r="BQ32" s="266"/>
      <c r="BR32" s="266"/>
      <c r="BS32" s="270"/>
      <c r="BT32" s="244"/>
      <c r="BU32" s="244"/>
      <c r="BV32" s="244"/>
      <c r="BW32" s="244"/>
      <c r="BX32" s="244"/>
      <c r="BY32" s="244"/>
      <c r="BZ32" s="244"/>
      <c r="CA32" s="244"/>
      <c r="CB32" s="244"/>
      <c r="CC32" s="244"/>
      <c r="CD32" s="244"/>
      <c r="CE32" s="244"/>
    </row>
    <row r="33" spans="1:83">
      <c r="A33" s="251"/>
      <c r="B33" s="251"/>
      <c r="C33" s="251"/>
      <c r="D33" s="251"/>
      <c r="E33" s="576"/>
      <c r="F33" s="577"/>
      <c r="G33" s="577"/>
      <c r="H33" s="578"/>
      <c r="I33" s="579"/>
      <c r="J33" s="580"/>
      <c r="K33" s="580"/>
      <c r="L33" s="581"/>
      <c r="M33" s="579"/>
      <c r="N33" s="580"/>
      <c r="O33" s="580"/>
      <c r="P33" s="581"/>
      <c r="Q33" s="579"/>
      <c r="R33" s="580"/>
      <c r="S33" s="580"/>
      <c r="T33" s="581"/>
      <c r="U33" s="579"/>
      <c r="V33" s="580"/>
      <c r="W33" s="580"/>
      <c r="X33" s="581"/>
      <c r="Y33" s="579"/>
      <c r="Z33" s="580"/>
      <c r="AA33" s="580"/>
      <c r="AB33" s="581"/>
      <c r="AC33" s="258"/>
      <c r="AD33" s="259"/>
      <c r="AE33" s="259"/>
      <c r="AF33" s="260"/>
      <c r="AG33" s="258"/>
      <c r="AH33" s="259"/>
      <c r="AI33" s="259"/>
      <c r="AJ33" s="260"/>
      <c r="AK33" s="258"/>
      <c r="AL33" s="259"/>
      <c r="AM33" s="259"/>
      <c r="AN33" s="260"/>
      <c r="AO33" s="258"/>
      <c r="AP33" s="259"/>
      <c r="AQ33" s="259"/>
      <c r="AR33" s="260"/>
      <c r="AS33" s="258"/>
      <c r="AT33" s="259"/>
      <c r="AU33" s="259"/>
      <c r="AV33" s="260"/>
      <c r="AW33" s="258"/>
      <c r="AX33" s="259"/>
      <c r="AY33" s="259"/>
      <c r="AZ33" s="260"/>
      <c r="BG33" s="243"/>
      <c r="BH33" s="243"/>
      <c r="BI33" s="243"/>
      <c r="BJ33" s="277">
        <v>7</v>
      </c>
      <c r="BK33" s="274">
        <v>12.06</v>
      </c>
      <c r="BL33" s="274">
        <v>14.01</v>
      </c>
      <c r="BM33" s="274">
        <v>16.37</v>
      </c>
      <c r="BN33" s="274">
        <v>17.45</v>
      </c>
      <c r="BO33" s="274">
        <v>19.37</v>
      </c>
      <c r="BP33" s="277"/>
      <c r="BQ33" s="266"/>
      <c r="BR33" s="266"/>
      <c r="BS33" s="270"/>
    </row>
    <row r="34" spans="1:83" s="261" customFormat="1">
      <c r="A34" s="251"/>
      <c r="B34" s="251"/>
      <c r="C34" s="251"/>
      <c r="D34" s="251"/>
      <c r="E34" s="582"/>
      <c r="F34" s="583"/>
      <c r="G34" s="583"/>
      <c r="H34" s="584"/>
      <c r="I34" s="573"/>
      <c r="J34" s="574"/>
      <c r="K34" s="574"/>
      <c r="L34" s="575"/>
      <c r="M34" s="573"/>
      <c r="N34" s="574"/>
      <c r="O34" s="574"/>
      <c r="P34" s="575"/>
      <c r="Q34" s="573"/>
      <c r="R34" s="574"/>
      <c r="S34" s="574"/>
      <c r="T34" s="575"/>
      <c r="U34" s="573"/>
      <c r="V34" s="574"/>
      <c r="W34" s="574"/>
      <c r="X34" s="575"/>
      <c r="Y34" s="573"/>
      <c r="Z34" s="574"/>
      <c r="AA34" s="574"/>
      <c r="AB34" s="575"/>
      <c r="AC34" s="258"/>
      <c r="AD34" s="259"/>
      <c r="AE34" s="259"/>
      <c r="AF34" s="260"/>
      <c r="AG34" s="258"/>
      <c r="AH34" s="259"/>
      <c r="AI34" s="259"/>
      <c r="AJ34" s="260"/>
      <c r="AK34" s="258"/>
      <c r="AL34" s="259"/>
      <c r="AM34" s="259"/>
      <c r="AN34" s="260"/>
      <c r="AO34" s="258"/>
      <c r="AP34" s="259"/>
      <c r="AQ34" s="259"/>
      <c r="AR34" s="260"/>
      <c r="AS34" s="258"/>
      <c r="AT34" s="259"/>
      <c r="AU34" s="259"/>
      <c r="AV34" s="260"/>
      <c r="AW34" s="258"/>
      <c r="AX34" s="259"/>
      <c r="AY34" s="259"/>
      <c r="AZ34" s="260"/>
      <c r="BG34" s="243"/>
      <c r="BH34" s="243"/>
      <c r="BI34" s="243"/>
      <c r="BJ34" s="277">
        <v>8</v>
      </c>
      <c r="BK34" s="274">
        <v>12.06</v>
      </c>
      <c r="BL34" s="274">
        <v>14.01</v>
      </c>
      <c r="BM34" s="274">
        <v>16.37</v>
      </c>
      <c r="BN34" s="274">
        <v>17.45</v>
      </c>
      <c r="BO34" s="274">
        <v>19.37</v>
      </c>
      <c r="BP34" s="277"/>
      <c r="BQ34" s="266"/>
      <c r="BR34" s="266"/>
      <c r="BS34" s="270"/>
      <c r="BT34" s="244"/>
      <c r="BU34" s="244"/>
      <c r="BV34" s="244"/>
      <c r="BW34" s="244"/>
      <c r="BX34" s="244"/>
      <c r="BY34" s="244"/>
      <c r="BZ34" s="244"/>
      <c r="CA34" s="244"/>
      <c r="CB34" s="244"/>
      <c r="CC34" s="244"/>
      <c r="CD34" s="244"/>
      <c r="CE34" s="244"/>
    </row>
    <row r="35" spans="1:83">
      <c r="A35" s="251"/>
      <c r="B35" s="251"/>
      <c r="C35" s="251"/>
      <c r="D35" s="251"/>
      <c r="E35" s="576"/>
      <c r="F35" s="577"/>
      <c r="G35" s="577"/>
      <c r="H35" s="578"/>
      <c r="I35" s="579"/>
      <c r="J35" s="580"/>
      <c r="K35" s="580"/>
      <c r="L35" s="581"/>
      <c r="M35" s="579"/>
      <c r="N35" s="580"/>
      <c r="O35" s="580"/>
      <c r="P35" s="581"/>
      <c r="Q35" s="579"/>
      <c r="R35" s="580"/>
      <c r="S35" s="580"/>
      <c r="T35" s="581"/>
      <c r="U35" s="579"/>
      <c r="V35" s="580"/>
      <c r="W35" s="580"/>
      <c r="X35" s="581"/>
      <c r="Y35" s="579"/>
      <c r="Z35" s="580"/>
      <c r="AA35" s="580"/>
      <c r="AB35" s="581"/>
      <c r="AC35" s="258"/>
      <c r="AD35" s="259"/>
      <c r="AE35" s="259"/>
      <c r="AF35" s="260"/>
      <c r="AG35" s="258"/>
      <c r="AH35" s="259"/>
      <c r="AI35" s="259"/>
      <c r="AJ35" s="260"/>
      <c r="AK35" s="258"/>
      <c r="AL35" s="259"/>
      <c r="AM35" s="259"/>
      <c r="AN35" s="260"/>
      <c r="AO35" s="258"/>
      <c r="AP35" s="259"/>
      <c r="AQ35" s="259"/>
      <c r="AR35" s="260"/>
      <c r="AS35" s="258"/>
      <c r="AT35" s="259"/>
      <c r="AU35" s="259"/>
      <c r="AV35" s="260"/>
      <c r="AW35" s="258"/>
      <c r="AX35" s="259"/>
      <c r="AY35" s="259"/>
      <c r="AZ35" s="260"/>
      <c r="BG35" s="243"/>
      <c r="BH35" s="243"/>
      <c r="BI35" s="243"/>
      <c r="BJ35" s="277">
        <v>9</v>
      </c>
      <c r="BK35" s="274">
        <v>12.06</v>
      </c>
      <c r="BL35" s="274">
        <v>14.01</v>
      </c>
      <c r="BM35" s="274">
        <v>16.37</v>
      </c>
      <c r="BN35" s="274">
        <v>17.45</v>
      </c>
      <c r="BO35" s="274">
        <v>19.37</v>
      </c>
      <c r="BP35" s="277"/>
      <c r="BQ35" s="266"/>
      <c r="BR35" s="266"/>
      <c r="BS35" s="270"/>
    </row>
    <row r="36" spans="1:83" s="261" customFormat="1">
      <c r="A36" s="251"/>
      <c r="B36" s="251"/>
      <c r="C36" s="251"/>
      <c r="D36" s="251"/>
      <c r="E36" s="582"/>
      <c r="F36" s="583"/>
      <c r="G36" s="583"/>
      <c r="H36" s="584"/>
      <c r="I36" s="573"/>
      <c r="J36" s="574"/>
      <c r="K36" s="574"/>
      <c r="L36" s="575"/>
      <c r="M36" s="573"/>
      <c r="N36" s="574"/>
      <c r="O36" s="574"/>
      <c r="P36" s="575"/>
      <c r="Q36" s="573"/>
      <c r="R36" s="574"/>
      <c r="S36" s="574"/>
      <c r="T36" s="575"/>
      <c r="U36" s="573"/>
      <c r="V36" s="574"/>
      <c r="W36" s="574"/>
      <c r="X36" s="575"/>
      <c r="Y36" s="573"/>
      <c r="Z36" s="574"/>
      <c r="AA36" s="574"/>
      <c r="AB36" s="575"/>
      <c r="AC36" s="258"/>
      <c r="AD36" s="259"/>
      <c r="AE36" s="259"/>
      <c r="AF36" s="260"/>
      <c r="AG36" s="258"/>
      <c r="AH36" s="259"/>
      <c r="AI36" s="259"/>
      <c r="AJ36" s="260"/>
      <c r="AK36" s="258"/>
      <c r="AL36" s="259"/>
      <c r="AM36" s="259"/>
      <c r="AN36" s="260"/>
      <c r="AO36" s="258"/>
      <c r="AP36" s="259"/>
      <c r="AQ36" s="259"/>
      <c r="AR36" s="260"/>
      <c r="AS36" s="258"/>
      <c r="AT36" s="259"/>
      <c r="AU36" s="259"/>
      <c r="AV36" s="260"/>
      <c r="AW36" s="258"/>
      <c r="AX36" s="259"/>
      <c r="AY36" s="259"/>
      <c r="AZ36" s="260"/>
      <c r="BG36" s="243"/>
      <c r="BH36" s="243"/>
      <c r="BI36" s="243"/>
      <c r="BJ36" s="277">
        <v>10</v>
      </c>
      <c r="BK36" s="274">
        <v>12.06</v>
      </c>
      <c r="BL36" s="274">
        <v>14.01</v>
      </c>
      <c r="BM36" s="274">
        <v>16.37</v>
      </c>
      <c r="BN36" s="274">
        <v>17.45</v>
      </c>
      <c r="BO36" s="274">
        <v>19.37</v>
      </c>
      <c r="BP36" s="277"/>
      <c r="BQ36" s="266"/>
      <c r="BR36" s="266"/>
      <c r="BS36" s="270"/>
      <c r="BT36" s="244"/>
      <c r="BU36" s="244"/>
      <c r="BV36" s="244"/>
      <c r="BW36" s="244"/>
      <c r="BX36" s="244"/>
      <c r="BY36" s="244"/>
      <c r="BZ36" s="244"/>
      <c r="CA36" s="244"/>
      <c r="CB36" s="244"/>
      <c r="CC36" s="244"/>
      <c r="CD36" s="244"/>
      <c r="CE36" s="244"/>
    </row>
    <row r="37" spans="1:83">
      <c r="A37" s="251"/>
      <c r="B37" s="251"/>
      <c r="C37" s="251"/>
      <c r="D37" s="251"/>
      <c r="E37" s="576"/>
      <c r="F37" s="577"/>
      <c r="G37" s="577"/>
      <c r="H37" s="578"/>
      <c r="I37" s="579"/>
      <c r="J37" s="580"/>
      <c r="K37" s="580"/>
      <c r="L37" s="581"/>
      <c r="M37" s="579"/>
      <c r="N37" s="580"/>
      <c r="O37" s="580"/>
      <c r="P37" s="581"/>
      <c r="Q37" s="579"/>
      <c r="R37" s="580"/>
      <c r="S37" s="580"/>
      <c r="T37" s="581"/>
      <c r="U37" s="579"/>
      <c r="V37" s="580"/>
      <c r="W37" s="580"/>
      <c r="X37" s="581"/>
      <c r="Y37" s="579"/>
      <c r="Z37" s="580"/>
      <c r="AA37" s="580"/>
      <c r="AB37" s="581"/>
      <c r="AC37" s="258"/>
      <c r="AD37" s="259"/>
      <c r="AE37" s="259"/>
      <c r="AF37" s="260"/>
      <c r="AG37" s="258"/>
      <c r="AH37" s="259"/>
      <c r="AI37" s="259"/>
      <c r="AJ37" s="260"/>
      <c r="AK37" s="258"/>
      <c r="AL37" s="259"/>
      <c r="AM37" s="259"/>
      <c r="AN37" s="260"/>
      <c r="AO37" s="258"/>
      <c r="AP37" s="259"/>
      <c r="AQ37" s="259"/>
      <c r="AR37" s="260"/>
      <c r="AS37" s="258"/>
      <c r="AT37" s="259"/>
      <c r="AU37" s="259"/>
      <c r="AV37" s="260"/>
      <c r="AW37" s="258"/>
      <c r="AX37" s="259"/>
      <c r="AY37" s="259"/>
      <c r="AZ37" s="260"/>
      <c r="BG37" s="243"/>
      <c r="BH37" s="243"/>
      <c r="BI37" s="243"/>
      <c r="BJ37" s="278">
        <v>11</v>
      </c>
      <c r="BK37" s="274">
        <v>12.48</v>
      </c>
      <c r="BL37" s="274">
        <v>14.45</v>
      </c>
      <c r="BM37" s="274">
        <v>16.96</v>
      </c>
      <c r="BN37" s="274">
        <v>18.07</v>
      </c>
      <c r="BO37" s="274">
        <v>20.100000000000001</v>
      </c>
      <c r="BP37" s="278"/>
      <c r="BQ37" s="266"/>
      <c r="BR37" s="266"/>
      <c r="BS37" s="270"/>
    </row>
    <row r="38" spans="1:83" s="261" customFormat="1">
      <c r="A38" s="251"/>
      <c r="B38" s="251"/>
      <c r="C38" s="251"/>
      <c r="D38" s="251"/>
      <c r="E38" s="582"/>
      <c r="F38" s="583"/>
      <c r="G38" s="583"/>
      <c r="H38" s="584"/>
      <c r="I38" s="573"/>
      <c r="J38" s="574"/>
      <c r="K38" s="574"/>
      <c r="L38" s="575"/>
      <c r="M38" s="573"/>
      <c r="N38" s="574"/>
      <c r="O38" s="574"/>
      <c r="P38" s="575"/>
      <c r="Q38" s="573"/>
      <c r="R38" s="574"/>
      <c r="S38" s="574"/>
      <c r="T38" s="575"/>
      <c r="U38" s="573"/>
      <c r="V38" s="574"/>
      <c r="W38" s="574"/>
      <c r="X38" s="575"/>
      <c r="Y38" s="573"/>
      <c r="Z38" s="574"/>
      <c r="AA38" s="574"/>
      <c r="AB38" s="575"/>
      <c r="AC38" s="258"/>
      <c r="AD38" s="259"/>
      <c r="AE38" s="259"/>
      <c r="AF38" s="260"/>
      <c r="AG38" s="258"/>
      <c r="AH38" s="259"/>
      <c r="AI38" s="259"/>
      <c r="AJ38" s="260"/>
      <c r="AK38" s="258"/>
      <c r="AL38" s="259"/>
      <c r="AM38" s="259"/>
      <c r="AN38" s="260"/>
      <c r="AO38" s="258"/>
      <c r="AP38" s="259"/>
      <c r="AQ38" s="259"/>
      <c r="AR38" s="260"/>
      <c r="AS38" s="258"/>
      <c r="AT38" s="259"/>
      <c r="AU38" s="259"/>
      <c r="AV38" s="260"/>
      <c r="AW38" s="258"/>
      <c r="AX38" s="259"/>
      <c r="AY38" s="259"/>
      <c r="AZ38" s="260"/>
      <c r="BG38" s="243"/>
      <c r="BH38" s="243"/>
      <c r="BI38" s="243"/>
      <c r="BJ38" s="278">
        <v>12</v>
      </c>
      <c r="BK38" s="274">
        <v>12.9</v>
      </c>
      <c r="BL38" s="274">
        <v>14.89</v>
      </c>
      <c r="BM38" s="274">
        <v>17.55</v>
      </c>
      <c r="BN38" s="274">
        <v>18.690000000000001</v>
      </c>
      <c r="BO38" s="274">
        <v>20.83</v>
      </c>
      <c r="BP38" s="278"/>
      <c r="BQ38" s="266"/>
      <c r="BR38" s="266"/>
      <c r="BS38" s="270"/>
      <c r="BT38" s="244"/>
      <c r="BU38" s="244"/>
      <c r="BV38" s="244"/>
      <c r="BW38" s="244"/>
      <c r="BX38" s="244"/>
      <c r="BY38" s="244"/>
      <c r="BZ38" s="244"/>
      <c r="CA38" s="244"/>
      <c r="CB38" s="244"/>
      <c r="CC38" s="244"/>
      <c r="CD38" s="244"/>
      <c r="CE38" s="244"/>
    </row>
    <row r="39" spans="1:83">
      <c r="A39" s="251"/>
      <c r="B39" s="251"/>
      <c r="C39" s="251"/>
      <c r="D39" s="251"/>
      <c r="E39" s="576"/>
      <c r="F39" s="577"/>
      <c r="G39" s="577"/>
      <c r="H39" s="578"/>
      <c r="I39" s="579"/>
      <c r="J39" s="580"/>
      <c r="K39" s="580"/>
      <c r="L39" s="581"/>
      <c r="M39" s="579"/>
      <c r="N39" s="580"/>
      <c r="O39" s="580"/>
      <c r="P39" s="581"/>
      <c r="Q39" s="579"/>
      <c r="R39" s="580"/>
      <c r="S39" s="580"/>
      <c r="T39" s="581"/>
      <c r="U39" s="579"/>
      <c r="V39" s="580"/>
      <c r="W39" s="580"/>
      <c r="X39" s="581"/>
      <c r="Y39" s="579"/>
      <c r="Z39" s="580"/>
      <c r="AA39" s="580"/>
      <c r="AB39" s="581"/>
      <c r="AC39" s="258"/>
      <c r="AD39" s="259"/>
      <c r="AE39" s="259"/>
      <c r="AF39" s="260"/>
      <c r="AG39" s="258"/>
      <c r="AH39" s="259"/>
      <c r="AI39" s="259"/>
      <c r="AJ39" s="260"/>
      <c r="AK39" s="258"/>
      <c r="AL39" s="259"/>
      <c r="AM39" s="259"/>
      <c r="AN39" s="260"/>
      <c r="AO39" s="258"/>
      <c r="AP39" s="259"/>
      <c r="AQ39" s="259"/>
      <c r="AR39" s="260"/>
      <c r="AS39" s="258"/>
      <c r="AT39" s="259"/>
      <c r="AU39" s="259"/>
      <c r="AV39" s="260"/>
      <c r="AW39" s="258"/>
      <c r="AX39" s="259"/>
      <c r="AY39" s="259"/>
      <c r="AZ39" s="260"/>
      <c r="BG39" s="243"/>
      <c r="BH39" s="243"/>
      <c r="BI39" s="243"/>
      <c r="BJ39" s="278">
        <v>13</v>
      </c>
      <c r="BK39" s="274">
        <v>13.32</v>
      </c>
      <c r="BL39" s="274">
        <v>15.33</v>
      </c>
      <c r="BM39" s="274">
        <v>18.13</v>
      </c>
      <c r="BN39" s="274">
        <v>19.309999999999999</v>
      </c>
      <c r="BO39" s="274">
        <v>21.56</v>
      </c>
      <c r="BP39" s="278"/>
      <c r="BQ39" s="266"/>
      <c r="BR39" s="266"/>
      <c r="BS39" s="270"/>
    </row>
    <row r="40" spans="1:83" s="261" customFormat="1">
      <c r="A40" s="251"/>
      <c r="B40" s="251"/>
      <c r="C40" s="251"/>
      <c r="D40" s="251"/>
      <c r="E40" s="582"/>
      <c r="F40" s="583"/>
      <c r="G40" s="583"/>
      <c r="H40" s="584"/>
      <c r="I40" s="573"/>
      <c r="J40" s="574"/>
      <c r="K40" s="574"/>
      <c r="L40" s="575"/>
      <c r="M40" s="573"/>
      <c r="N40" s="574"/>
      <c r="O40" s="574"/>
      <c r="P40" s="575"/>
      <c r="Q40" s="573"/>
      <c r="R40" s="574"/>
      <c r="S40" s="574"/>
      <c r="T40" s="575"/>
      <c r="U40" s="573"/>
      <c r="V40" s="574"/>
      <c r="W40" s="574"/>
      <c r="X40" s="575"/>
      <c r="Y40" s="573"/>
      <c r="Z40" s="574"/>
      <c r="AA40" s="574"/>
      <c r="AB40" s="575"/>
      <c r="AC40" s="258"/>
      <c r="AD40" s="259"/>
      <c r="AE40" s="259"/>
      <c r="AF40" s="260"/>
      <c r="AG40" s="258"/>
      <c r="AH40" s="259"/>
      <c r="AI40" s="259"/>
      <c r="AJ40" s="260"/>
      <c r="AK40" s="258"/>
      <c r="AL40" s="259"/>
      <c r="AM40" s="259"/>
      <c r="AN40" s="260"/>
      <c r="AO40" s="258"/>
      <c r="AP40" s="259"/>
      <c r="AQ40" s="259"/>
      <c r="AR40" s="260"/>
      <c r="AS40" s="258"/>
      <c r="AT40" s="259"/>
      <c r="AU40" s="259"/>
      <c r="AV40" s="260"/>
      <c r="AW40" s="258"/>
      <c r="AX40" s="259"/>
      <c r="AY40" s="259"/>
      <c r="AZ40" s="260"/>
      <c r="BG40" s="243"/>
      <c r="BH40" s="243"/>
      <c r="BI40" s="243"/>
      <c r="BJ40" s="278">
        <v>14</v>
      </c>
      <c r="BK40" s="274">
        <v>13.74</v>
      </c>
      <c r="BL40" s="274">
        <v>15.76</v>
      </c>
      <c r="BM40" s="274">
        <v>18.72</v>
      </c>
      <c r="BN40" s="274">
        <v>19.93</v>
      </c>
      <c r="BO40" s="274">
        <v>22.28</v>
      </c>
      <c r="BP40" s="278"/>
      <c r="BQ40" s="266"/>
      <c r="BR40" s="266"/>
      <c r="BS40" s="270"/>
      <c r="BT40" s="244"/>
      <c r="BU40" s="244"/>
      <c r="BV40" s="244"/>
      <c r="BW40" s="244"/>
      <c r="BX40" s="244"/>
      <c r="BY40" s="244"/>
      <c r="BZ40" s="244"/>
      <c r="CA40" s="244"/>
      <c r="CB40" s="244"/>
      <c r="CC40" s="244"/>
      <c r="CD40" s="244"/>
      <c r="CE40" s="244"/>
    </row>
    <row r="41" spans="1:83">
      <c r="A41" s="251"/>
      <c r="B41" s="251"/>
      <c r="C41" s="251"/>
      <c r="D41" s="251"/>
      <c r="E41" s="576"/>
      <c r="F41" s="577"/>
      <c r="G41" s="577"/>
      <c r="H41" s="578"/>
      <c r="I41" s="579"/>
      <c r="J41" s="580"/>
      <c r="K41" s="580"/>
      <c r="L41" s="581"/>
      <c r="M41" s="579"/>
      <c r="N41" s="580"/>
      <c r="O41" s="580"/>
      <c r="P41" s="581"/>
      <c r="Q41" s="579"/>
      <c r="R41" s="580"/>
      <c r="S41" s="580"/>
      <c r="T41" s="581"/>
      <c r="U41" s="579"/>
      <c r="V41" s="580"/>
      <c r="W41" s="580"/>
      <c r="X41" s="581"/>
      <c r="Y41" s="579"/>
      <c r="Z41" s="580"/>
      <c r="AA41" s="580"/>
      <c r="AB41" s="581"/>
      <c r="AC41" s="258"/>
      <c r="AD41" s="259"/>
      <c r="AE41" s="259"/>
      <c r="AF41" s="260"/>
      <c r="AG41" s="258"/>
      <c r="AH41" s="259"/>
      <c r="AI41" s="259"/>
      <c r="AJ41" s="260"/>
      <c r="AK41" s="258"/>
      <c r="AL41" s="259"/>
      <c r="AM41" s="259"/>
      <c r="AN41" s="260"/>
      <c r="AO41" s="258"/>
      <c r="AP41" s="259"/>
      <c r="AQ41" s="259"/>
      <c r="AR41" s="260"/>
      <c r="AS41" s="258"/>
      <c r="AT41" s="259"/>
      <c r="AU41" s="259"/>
      <c r="AV41" s="260"/>
      <c r="AW41" s="258"/>
      <c r="AX41" s="259"/>
      <c r="AY41" s="259"/>
      <c r="AZ41" s="260"/>
      <c r="BG41" s="243"/>
      <c r="BH41" s="243"/>
      <c r="BI41" s="243"/>
      <c r="BJ41" s="278">
        <v>15</v>
      </c>
      <c r="BK41" s="274">
        <v>14.16</v>
      </c>
      <c r="BL41" s="274">
        <v>16.2</v>
      </c>
      <c r="BM41" s="274">
        <v>19.3</v>
      </c>
      <c r="BN41" s="274">
        <v>20.55</v>
      </c>
      <c r="BO41" s="274">
        <v>23.01</v>
      </c>
      <c r="BP41" s="278"/>
      <c r="BQ41" s="266"/>
      <c r="BR41" s="266"/>
      <c r="BS41" s="270"/>
    </row>
    <row r="42" spans="1:83" s="261" customFormat="1">
      <c r="A42" s="251"/>
      <c r="B42" s="251"/>
      <c r="C42" s="251"/>
      <c r="D42" s="251"/>
      <c r="E42" s="582"/>
      <c r="F42" s="583"/>
      <c r="G42" s="583"/>
      <c r="H42" s="584"/>
      <c r="I42" s="573"/>
      <c r="J42" s="574"/>
      <c r="K42" s="574"/>
      <c r="L42" s="575"/>
      <c r="M42" s="573"/>
      <c r="N42" s="574"/>
      <c r="O42" s="574"/>
      <c r="P42" s="575"/>
      <c r="Q42" s="573"/>
      <c r="R42" s="574"/>
      <c r="S42" s="574"/>
      <c r="T42" s="575"/>
      <c r="U42" s="573"/>
      <c r="V42" s="574"/>
      <c r="W42" s="574"/>
      <c r="X42" s="575"/>
      <c r="Y42" s="573"/>
      <c r="Z42" s="574"/>
      <c r="AA42" s="574"/>
      <c r="AB42" s="575"/>
      <c r="AC42" s="258"/>
      <c r="AD42" s="259"/>
      <c r="AE42" s="259"/>
      <c r="AF42" s="260"/>
      <c r="AG42" s="258"/>
      <c r="AH42" s="259"/>
      <c r="AI42" s="259"/>
      <c r="AJ42" s="260"/>
      <c r="AK42" s="258"/>
      <c r="AL42" s="259"/>
      <c r="AM42" s="259"/>
      <c r="AN42" s="260"/>
      <c r="AO42" s="258"/>
      <c r="AP42" s="259"/>
      <c r="AQ42" s="259"/>
      <c r="AR42" s="260"/>
      <c r="AS42" s="258"/>
      <c r="AT42" s="259"/>
      <c r="AU42" s="259"/>
      <c r="AV42" s="260"/>
      <c r="AW42" s="258"/>
      <c r="AX42" s="259"/>
      <c r="AY42" s="259"/>
      <c r="AZ42" s="260"/>
      <c r="BG42" s="243"/>
      <c r="BH42" s="243"/>
      <c r="BI42" s="243"/>
      <c r="BJ42" s="278">
        <v>16</v>
      </c>
      <c r="BK42" s="274">
        <v>14.58</v>
      </c>
      <c r="BL42" s="274">
        <v>16.64</v>
      </c>
      <c r="BM42" s="274">
        <v>19.89</v>
      </c>
      <c r="BN42" s="274">
        <v>21.17</v>
      </c>
      <c r="BO42" s="274">
        <v>23.74</v>
      </c>
      <c r="BP42" s="278"/>
      <c r="BQ42" s="266"/>
      <c r="BR42" s="266"/>
      <c r="BS42" s="270"/>
      <c r="BT42" s="244"/>
      <c r="BU42" s="244"/>
      <c r="BV42" s="244"/>
      <c r="BW42" s="244"/>
      <c r="BX42" s="244"/>
      <c r="BY42" s="244"/>
      <c r="BZ42" s="244"/>
      <c r="CA42" s="244"/>
      <c r="CB42" s="244"/>
      <c r="CC42" s="244"/>
      <c r="CD42" s="244"/>
      <c r="CE42" s="244"/>
    </row>
    <row r="43" spans="1:83">
      <c r="A43" s="251"/>
      <c r="B43" s="251"/>
      <c r="C43" s="251"/>
      <c r="D43" s="251"/>
      <c r="E43" s="576"/>
      <c r="F43" s="577"/>
      <c r="G43" s="577"/>
      <c r="H43" s="578"/>
      <c r="I43" s="579"/>
      <c r="J43" s="580"/>
      <c r="K43" s="580"/>
      <c r="L43" s="581"/>
      <c r="M43" s="579"/>
      <c r="N43" s="580"/>
      <c r="O43" s="580"/>
      <c r="P43" s="581"/>
      <c r="Q43" s="579"/>
      <c r="R43" s="580"/>
      <c r="S43" s="580"/>
      <c r="T43" s="581"/>
      <c r="U43" s="579"/>
      <c r="V43" s="580"/>
      <c r="W43" s="580"/>
      <c r="X43" s="581"/>
      <c r="Y43" s="579"/>
      <c r="Z43" s="580"/>
      <c r="AA43" s="580"/>
      <c r="AB43" s="581"/>
      <c r="AC43" s="258"/>
      <c r="AD43" s="259"/>
      <c r="AE43" s="259"/>
      <c r="AF43" s="260"/>
      <c r="AG43" s="258"/>
      <c r="AH43" s="259"/>
      <c r="AI43" s="259"/>
      <c r="AJ43" s="260"/>
      <c r="AK43" s="258"/>
      <c r="AL43" s="259"/>
      <c r="AM43" s="259"/>
      <c r="AN43" s="260"/>
      <c r="AO43" s="258"/>
      <c r="AP43" s="259"/>
      <c r="AQ43" s="259"/>
      <c r="AR43" s="260"/>
      <c r="AS43" s="258"/>
      <c r="AT43" s="259"/>
      <c r="AU43" s="259"/>
      <c r="AV43" s="260"/>
      <c r="AW43" s="258"/>
      <c r="AX43" s="259"/>
      <c r="AY43" s="259"/>
      <c r="AZ43" s="260"/>
      <c r="BG43" s="243"/>
      <c r="BH43" s="243"/>
      <c r="BI43" s="243"/>
      <c r="BJ43" s="278">
        <v>17</v>
      </c>
      <c r="BK43" s="274">
        <v>15</v>
      </c>
      <c r="BL43" s="274">
        <v>17.079999999999998</v>
      </c>
      <c r="BM43" s="274">
        <v>20.47</v>
      </c>
      <c r="BN43" s="274">
        <v>21.79</v>
      </c>
      <c r="BO43" s="274">
        <v>24.47</v>
      </c>
      <c r="BP43" s="278"/>
      <c r="BQ43" s="266"/>
      <c r="BR43" s="266"/>
      <c r="BS43" s="270"/>
    </row>
    <row r="44" spans="1:83" s="261" customFormat="1">
      <c r="A44" s="251"/>
      <c r="B44" s="251"/>
      <c r="C44" s="251"/>
      <c r="D44" s="251"/>
      <c r="E44" s="582"/>
      <c r="F44" s="583"/>
      <c r="G44" s="583"/>
      <c r="H44" s="584"/>
      <c r="I44" s="573"/>
      <c r="J44" s="574"/>
      <c r="K44" s="574"/>
      <c r="L44" s="575"/>
      <c r="M44" s="573"/>
      <c r="N44" s="574"/>
      <c r="O44" s="574"/>
      <c r="P44" s="575"/>
      <c r="Q44" s="573"/>
      <c r="R44" s="574"/>
      <c r="S44" s="574"/>
      <c r="T44" s="575"/>
      <c r="U44" s="573"/>
      <c r="V44" s="574"/>
      <c r="W44" s="574"/>
      <c r="X44" s="575"/>
      <c r="Y44" s="573"/>
      <c r="Z44" s="574"/>
      <c r="AA44" s="574"/>
      <c r="AB44" s="575"/>
      <c r="AC44" s="258"/>
      <c r="AD44" s="259"/>
      <c r="AE44" s="259"/>
      <c r="AF44" s="260"/>
      <c r="AG44" s="258"/>
      <c r="AH44" s="259"/>
      <c r="AI44" s="259"/>
      <c r="AJ44" s="260"/>
      <c r="AK44" s="258"/>
      <c r="AL44" s="259"/>
      <c r="AM44" s="259"/>
      <c r="AN44" s="260"/>
      <c r="AO44" s="258"/>
      <c r="AP44" s="259"/>
      <c r="AQ44" s="259"/>
      <c r="AR44" s="260"/>
      <c r="AS44" s="258"/>
      <c r="AT44" s="259"/>
      <c r="AU44" s="259"/>
      <c r="AV44" s="260"/>
      <c r="AW44" s="258"/>
      <c r="AX44" s="259"/>
      <c r="AY44" s="259"/>
      <c r="AZ44" s="260"/>
      <c r="BG44" s="243"/>
      <c r="BH44" s="243"/>
      <c r="BI44" s="243"/>
      <c r="BJ44" s="278">
        <v>18</v>
      </c>
      <c r="BK44" s="274">
        <v>15.42</v>
      </c>
      <c r="BL44" s="274">
        <v>17.52</v>
      </c>
      <c r="BM44" s="274">
        <v>21.06</v>
      </c>
      <c r="BN44" s="274">
        <v>22.41</v>
      </c>
      <c r="BO44" s="274">
        <v>25.2</v>
      </c>
      <c r="BP44" s="278"/>
      <c r="BQ44" s="266"/>
      <c r="BR44" s="266"/>
      <c r="BS44" s="270"/>
      <c r="BT44" s="244"/>
      <c r="BU44" s="244"/>
      <c r="BV44" s="244"/>
      <c r="BW44" s="244"/>
      <c r="BX44" s="244"/>
      <c r="BY44" s="244"/>
      <c r="BZ44" s="244"/>
      <c r="CA44" s="244"/>
      <c r="CB44" s="244"/>
      <c r="CC44" s="244"/>
      <c r="CD44" s="244"/>
      <c r="CE44" s="244"/>
    </row>
    <row r="45" spans="1:83">
      <c r="A45" s="251"/>
      <c r="B45" s="251"/>
      <c r="C45" s="251"/>
      <c r="D45" s="251"/>
      <c r="E45" s="576"/>
      <c r="F45" s="577"/>
      <c r="G45" s="577"/>
      <c r="H45" s="578"/>
      <c r="I45" s="579"/>
      <c r="J45" s="580"/>
      <c r="K45" s="580"/>
      <c r="L45" s="581"/>
      <c r="M45" s="579"/>
      <c r="N45" s="580"/>
      <c r="O45" s="580"/>
      <c r="P45" s="581"/>
      <c r="Q45" s="579"/>
      <c r="R45" s="580"/>
      <c r="S45" s="580"/>
      <c r="T45" s="581"/>
      <c r="U45" s="579"/>
      <c r="V45" s="580"/>
      <c r="W45" s="580"/>
      <c r="X45" s="581"/>
      <c r="Y45" s="579"/>
      <c r="Z45" s="580"/>
      <c r="AA45" s="580"/>
      <c r="AB45" s="581"/>
      <c r="AC45" s="258"/>
      <c r="AD45" s="259"/>
      <c r="AE45" s="259"/>
      <c r="AF45" s="260"/>
      <c r="AG45" s="258"/>
      <c r="AH45" s="259"/>
      <c r="AI45" s="259"/>
      <c r="AJ45" s="260"/>
      <c r="AK45" s="258"/>
      <c r="AL45" s="259"/>
      <c r="AM45" s="259"/>
      <c r="AN45" s="260"/>
      <c r="AO45" s="258"/>
      <c r="AP45" s="259"/>
      <c r="AQ45" s="259"/>
      <c r="AR45" s="260"/>
      <c r="AS45" s="258"/>
      <c r="AT45" s="259"/>
      <c r="AU45" s="259"/>
      <c r="AV45" s="260"/>
      <c r="AW45" s="258"/>
      <c r="AX45" s="259"/>
      <c r="AY45" s="259"/>
      <c r="AZ45" s="260"/>
      <c r="BG45" s="243"/>
      <c r="BH45" s="243"/>
      <c r="BI45" s="243"/>
      <c r="BJ45" s="278">
        <v>19</v>
      </c>
      <c r="BK45" s="274">
        <v>15.84</v>
      </c>
      <c r="BL45" s="274">
        <v>17.95</v>
      </c>
      <c r="BM45" s="274">
        <v>21.65</v>
      </c>
      <c r="BN45" s="274">
        <v>23.03</v>
      </c>
      <c r="BO45" s="274">
        <v>25.92</v>
      </c>
      <c r="BP45" s="278"/>
      <c r="BQ45" s="266"/>
      <c r="BR45" s="266"/>
      <c r="BS45" s="270"/>
    </row>
    <row r="46" spans="1:83" s="261" customFormat="1">
      <c r="A46" s="251"/>
      <c r="B46" s="251"/>
      <c r="C46" s="251"/>
      <c r="D46" s="251"/>
      <c r="E46" s="582"/>
      <c r="F46" s="583"/>
      <c r="G46" s="583"/>
      <c r="H46" s="584"/>
      <c r="I46" s="573"/>
      <c r="J46" s="574"/>
      <c r="K46" s="574"/>
      <c r="L46" s="575"/>
      <c r="M46" s="573"/>
      <c r="N46" s="574"/>
      <c r="O46" s="574"/>
      <c r="P46" s="575"/>
      <c r="Q46" s="573"/>
      <c r="R46" s="574"/>
      <c r="S46" s="574"/>
      <c r="T46" s="575"/>
      <c r="U46" s="573"/>
      <c r="V46" s="574"/>
      <c r="W46" s="574"/>
      <c r="X46" s="575"/>
      <c r="Y46" s="573"/>
      <c r="Z46" s="574"/>
      <c r="AA46" s="574"/>
      <c r="AB46" s="575"/>
      <c r="AC46" s="258"/>
      <c r="AD46" s="259"/>
      <c r="AE46" s="259"/>
      <c r="AF46" s="260"/>
      <c r="AG46" s="258"/>
      <c r="AH46" s="259"/>
      <c r="AI46" s="259"/>
      <c r="AJ46" s="260"/>
      <c r="AK46" s="258"/>
      <c r="AL46" s="259"/>
      <c r="AM46" s="259"/>
      <c r="AN46" s="260"/>
      <c r="AO46" s="258"/>
      <c r="AP46" s="259"/>
      <c r="AQ46" s="259"/>
      <c r="AR46" s="260"/>
      <c r="AS46" s="258"/>
      <c r="AT46" s="259"/>
      <c r="AU46" s="259"/>
      <c r="AV46" s="260"/>
      <c r="AW46" s="258"/>
      <c r="AX46" s="259"/>
      <c r="AY46" s="259"/>
      <c r="AZ46" s="260"/>
      <c r="BG46" s="243"/>
      <c r="BH46" s="243"/>
      <c r="BI46" s="243"/>
      <c r="BJ46" s="278">
        <v>20</v>
      </c>
      <c r="BK46" s="274">
        <v>16.260000000000002</v>
      </c>
      <c r="BL46" s="274">
        <v>18.39</v>
      </c>
      <c r="BM46" s="274">
        <v>22.23</v>
      </c>
      <c r="BN46" s="274">
        <v>23.66</v>
      </c>
      <c r="BO46" s="274">
        <v>26.65</v>
      </c>
      <c r="BP46" s="278"/>
      <c r="BQ46" s="266"/>
      <c r="BR46" s="266"/>
      <c r="BS46" s="270"/>
      <c r="BT46" s="244"/>
      <c r="BU46" s="244"/>
      <c r="BV46" s="244"/>
      <c r="BW46" s="244"/>
      <c r="BX46" s="244"/>
      <c r="BY46" s="244"/>
      <c r="BZ46" s="244"/>
      <c r="CA46" s="244"/>
      <c r="CB46" s="244"/>
      <c r="CC46" s="244"/>
      <c r="CD46" s="244"/>
      <c r="CE46" s="244"/>
    </row>
    <row r="47" spans="1:83">
      <c r="A47" s="251"/>
      <c r="B47" s="251"/>
      <c r="C47" s="251"/>
      <c r="D47" s="251"/>
      <c r="E47" s="576"/>
      <c r="F47" s="577"/>
      <c r="G47" s="577"/>
      <c r="H47" s="578"/>
      <c r="I47" s="579"/>
      <c r="J47" s="580"/>
      <c r="K47" s="580"/>
      <c r="L47" s="581"/>
      <c r="M47" s="579"/>
      <c r="N47" s="580"/>
      <c r="O47" s="580"/>
      <c r="P47" s="581"/>
      <c r="Q47" s="579"/>
      <c r="R47" s="580"/>
      <c r="S47" s="580"/>
      <c r="T47" s="581"/>
      <c r="U47" s="579"/>
      <c r="V47" s="580"/>
      <c r="W47" s="580"/>
      <c r="X47" s="581"/>
      <c r="Y47" s="579"/>
      <c r="Z47" s="580"/>
      <c r="AA47" s="580"/>
      <c r="AB47" s="581"/>
      <c r="AC47" s="258"/>
      <c r="AD47" s="259"/>
      <c r="AE47" s="259"/>
      <c r="AF47" s="260"/>
      <c r="AG47" s="258"/>
      <c r="AH47" s="259"/>
      <c r="AI47" s="259"/>
      <c r="AJ47" s="260"/>
      <c r="AK47" s="258"/>
      <c r="AL47" s="259"/>
      <c r="AM47" s="259"/>
      <c r="AN47" s="260"/>
      <c r="AO47" s="258"/>
      <c r="AP47" s="259"/>
      <c r="AQ47" s="259"/>
      <c r="AR47" s="260"/>
      <c r="AS47" s="258"/>
      <c r="AT47" s="259"/>
      <c r="AU47" s="259"/>
      <c r="AV47" s="260"/>
      <c r="AW47" s="258"/>
      <c r="AX47" s="259"/>
      <c r="AY47" s="259"/>
      <c r="AZ47" s="260"/>
      <c r="BG47" s="243"/>
      <c r="BH47" s="243"/>
      <c r="BI47" s="243"/>
      <c r="BJ47" s="279">
        <v>21</v>
      </c>
      <c r="BK47" s="274">
        <v>16.68</v>
      </c>
      <c r="BL47" s="274">
        <v>18.829999999999998</v>
      </c>
      <c r="BM47" s="274">
        <v>22.82</v>
      </c>
      <c r="BN47" s="274">
        <v>24.28</v>
      </c>
      <c r="BO47" s="274">
        <v>27.38</v>
      </c>
      <c r="BP47" s="279"/>
      <c r="BQ47" s="266"/>
      <c r="BR47" s="266"/>
      <c r="BS47" s="270"/>
    </row>
    <row r="48" spans="1:83" s="261" customFormat="1">
      <c r="A48" s="251"/>
      <c r="B48" s="251"/>
      <c r="C48" s="251"/>
      <c r="D48" s="251"/>
      <c r="E48" s="582"/>
      <c r="F48" s="583"/>
      <c r="G48" s="583"/>
      <c r="H48" s="584"/>
      <c r="I48" s="573"/>
      <c r="J48" s="574"/>
      <c r="K48" s="574"/>
      <c r="L48" s="575"/>
      <c r="M48" s="573"/>
      <c r="N48" s="574"/>
      <c r="O48" s="574"/>
      <c r="P48" s="575"/>
      <c r="Q48" s="573"/>
      <c r="R48" s="574"/>
      <c r="S48" s="574"/>
      <c r="T48" s="575"/>
      <c r="U48" s="573"/>
      <c r="V48" s="574"/>
      <c r="W48" s="574"/>
      <c r="X48" s="575"/>
      <c r="Y48" s="573"/>
      <c r="Z48" s="574"/>
      <c r="AA48" s="574"/>
      <c r="AB48" s="575"/>
      <c r="AC48" s="258"/>
      <c r="AD48" s="259"/>
      <c r="AE48" s="259"/>
      <c r="AF48" s="260"/>
      <c r="AG48" s="258"/>
      <c r="AH48" s="259"/>
      <c r="AI48" s="259"/>
      <c r="AJ48" s="260"/>
      <c r="AK48" s="258"/>
      <c r="AL48" s="259"/>
      <c r="AM48" s="259"/>
      <c r="AN48" s="260"/>
      <c r="AO48" s="258"/>
      <c r="AP48" s="259"/>
      <c r="AQ48" s="259"/>
      <c r="AR48" s="260"/>
      <c r="AS48" s="258"/>
      <c r="AT48" s="259"/>
      <c r="AU48" s="259"/>
      <c r="AV48" s="260"/>
      <c r="AW48" s="258"/>
      <c r="AX48" s="259"/>
      <c r="AY48" s="259"/>
      <c r="AZ48" s="260"/>
      <c r="BG48" s="243"/>
      <c r="BH48" s="243"/>
      <c r="BI48" s="243"/>
      <c r="BJ48" s="279">
        <v>22</v>
      </c>
      <c r="BK48" s="274">
        <v>17.100000000000001</v>
      </c>
      <c r="BL48" s="274">
        <v>19.27</v>
      </c>
      <c r="BM48" s="274">
        <v>23.4</v>
      </c>
      <c r="BN48" s="274">
        <v>24.9</v>
      </c>
      <c r="BO48" s="274">
        <v>28.11</v>
      </c>
      <c r="BP48" s="279"/>
      <c r="BQ48" s="266"/>
      <c r="BR48" s="266"/>
      <c r="BS48" s="270"/>
      <c r="BT48" s="244"/>
      <c r="BU48" s="244"/>
      <c r="BV48" s="244"/>
      <c r="BW48" s="244"/>
      <c r="BX48" s="244"/>
      <c r="BY48" s="244"/>
      <c r="BZ48" s="244"/>
      <c r="CA48" s="244"/>
      <c r="CB48" s="244"/>
      <c r="CC48" s="244"/>
      <c r="CD48" s="244"/>
      <c r="CE48" s="244"/>
    </row>
    <row r="49" spans="1:83">
      <c r="A49" s="251"/>
      <c r="B49" s="251"/>
      <c r="C49" s="251"/>
      <c r="D49" s="251"/>
      <c r="E49" s="576"/>
      <c r="F49" s="577"/>
      <c r="G49" s="577"/>
      <c r="H49" s="578"/>
      <c r="I49" s="579"/>
      <c r="J49" s="580"/>
      <c r="K49" s="580"/>
      <c r="L49" s="581"/>
      <c r="M49" s="579"/>
      <c r="N49" s="580"/>
      <c r="O49" s="580"/>
      <c r="P49" s="581"/>
      <c r="Q49" s="579"/>
      <c r="R49" s="580"/>
      <c r="S49" s="580"/>
      <c r="T49" s="581"/>
      <c r="U49" s="579"/>
      <c r="V49" s="580"/>
      <c r="W49" s="580"/>
      <c r="X49" s="581"/>
      <c r="Y49" s="579"/>
      <c r="Z49" s="580"/>
      <c r="AA49" s="580"/>
      <c r="AB49" s="581"/>
      <c r="AC49" s="258"/>
      <c r="AD49" s="259"/>
      <c r="AE49" s="259"/>
      <c r="AF49" s="260"/>
      <c r="AG49" s="258"/>
      <c r="AH49" s="259"/>
      <c r="AI49" s="259"/>
      <c r="AJ49" s="260"/>
      <c r="AK49" s="258"/>
      <c r="AL49" s="259"/>
      <c r="AM49" s="259"/>
      <c r="AN49" s="260"/>
      <c r="AO49" s="258"/>
      <c r="AP49" s="259"/>
      <c r="AQ49" s="259"/>
      <c r="AR49" s="260"/>
      <c r="AS49" s="258"/>
      <c r="AT49" s="259"/>
      <c r="AU49" s="259"/>
      <c r="AV49" s="260"/>
      <c r="AW49" s="258"/>
      <c r="AX49" s="259"/>
      <c r="AY49" s="259"/>
      <c r="AZ49" s="260"/>
      <c r="BG49" s="243"/>
      <c r="BH49" s="243"/>
      <c r="BI49" s="243"/>
      <c r="BJ49" s="279">
        <v>23</v>
      </c>
      <c r="BK49" s="274">
        <v>17.52</v>
      </c>
      <c r="BL49" s="274">
        <v>19.71</v>
      </c>
      <c r="BM49" s="274">
        <v>23.99</v>
      </c>
      <c r="BN49" s="274">
        <v>25.52</v>
      </c>
      <c r="BO49" s="274">
        <v>28.83</v>
      </c>
      <c r="BP49" s="279"/>
      <c r="BQ49" s="266"/>
      <c r="BR49" s="266"/>
      <c r="BS49" s="270"/>
    </row>
    <row r="50" spans="1:83" s="261" customFormat="1">
      <c r="A50" s="251"/>
      <c r="B50" s="251"/>
      <c r="C50" s="251"/>
      <c r="D50" s="251"/>
      <c r="E50" s="582"/>
      <c r="F50" s="583"/>
      <c r="G50" s="583"/>
      <c r="H50" s="584"/>
      <c r="I50" s="573"/>
      <c r="J50" s="574"/>
      <c r="K50" s="574"/>
      <c r="L50" s="575"/>
      <c r="M50" s="573"/>
      <c r="N50" s="574"/>
      <c r="O50" s="574"/>
      <c r="P50" s="575"/>
      <c r="Q50" s="573"/>
      <c r="R50" s="574"/>
      <c r="S50" s="574"/>
      <c r="T50" s="575"/>
      <c r="U50" s="573"/>
      <c r="V50" s="574"/>
      <c r="W50" s="574"/>
      <c r="X50" s="575"/>
      <c r="Y50" s="573"/>
      <c r="Z50" s="574"/>
      <c r="AA50" s="574"/>
      <c r="AB50" s="575"/>
      <c r="AC50" s="258"/>
      <c r="AD50" s="259"/>
      <c r="AE50" s="259"/>
      <c r="AF50" s="260"/>
      <c r="AG50" s="258"/>
      <c r="AH50" s="259"/>
      <c r="AI50" s="259"/>
      <c r="AJ50" s="260"/>
      <c r="AK50" s="258"/>
      <c r="AL50" s="259"/>
      <c r="AM50" s="259"/>
      <c r="AN50" s="260"/>
      <c r="AO50" s="258"/>
      <c r="AP50" s="259"/>
      <c r="AQ50" s="259"/>
      <c r="AR50" s="260"/>
      <c r="AS50" s="258"/>
      <c r="AT50" s="259"/>
      <c r="AU50" s="259"/>
      <c r="AV50" s="260"/>
      <c r="AW50" s="258"/>
      <c r="AX50" s="259"/>
      <c r="AY50" s="259"/>
      <c r="AZ50" s="260"/>
      <c r="BG50" s="243"/>
      <c r="BH50" s="243"/>
      <c r="BI50" s="243"/>
      <c r="BJ50" s="279">
        <v>24</v>
      </c>
      <c r="BK50" s="274">
        <v>17.940000000000001</v>
      </c>
      <c r="BL50" s="274">
        <v>20.14</v>
      </c>
      <c r="BM50" s="274">
        <v>24.57</v>
      </c>
      <c r="BN50" s="274">
        <v>26.14</v>
      </c>
      <c r="BO50" s="274">
        <v>29.56</v>
      </c>
      <c r="BP50" s="279"/>
      <c r="BQ50" s="266"/>
      <c r="BR50" s="266"/>
      <c r="BS50" s="270"/>
      <c r="BT50" s="244"/>
      <c r="BU50" s="244"/>
      <c r="BV50" s="244"/>
      <c r="BW50" s="244"/>
      <c r="BX50" s="244"/>
      <c r="BY50" s="244"/>
      <c r="BZ50" s="244"/>
      <c r="CA50" s="244"/>
      <c r="CB50" s="244"/>
      <c r="CC50" s="244"/>
      <c r="CD50" s="244"/>
      <c r="CE50" s="244"/>
    </row>
    <row r="51" spans="1:83">
      <c r="A51" s="251"/>
      <c r="B51" s="251"/>
      <c r="C51" s="251"/>
      <c r="D51" s="251"/>
      <c r="E51" s="576"/>
      <c r="F51" s="577"/>
      <c r="G51" s="577"/>
      <c r="H51" s="578"/>
      <c r="I51" s="579"/>
      <c r="J51" s="580"/>
      <c r="K51" s="580"/>
      <c r="L51" s="581"/>
      <c r="M51" s="579"/>
      <c r="N51" s="580"/>
      <c r="O51" s="580"/>
      <c r="P51" s="581"/>
      <c r="Q51" s="579"/>
      <c r="R51" s="580"/>
      <c r="S51" s="580"/>
      <c r="T51" s="581"/>
      <c r="U51" s="579"/>
      <c r="V51" s="580"/>
      <c r="W51" s="580"/>
      <c r="X51" s="581"/>
      <c r="Y51" s="579"/>
      <c r="Z51" s="580"/>
      <c r="AA51" s="580"/>
      <c r="AB51" s="581"/>
      <c r="AC51" s="258"/>
      <c r="AD51" s="259"/>
      <c r="AE51" s="259"/>
      <c r="AF51" s="260"/>
      <c r="AG51" s="258"/>
      <c r="AH51" s="259"/>
      <c r="AI51" s="259"/>
      <c r="AJ51" s="260"/>
      <c r="AK51" s="258"/>
      <c r="AL51" s="259"/>
      <c r="AM51" s="259"/>
      <c r="AN51" s="260"/>
      <c r="AO51" s="258"/>
      <c r="AP51" s="259"/>
      <c r="AQ51" s="259"/>
      <c r="AR51" s="260"/>
      <c r="AS51" s="258"/>
      <c r="AT51" s="259"/>
      <c r="AU51" s="259"/>
      <c r="AV51" s="260"/>
      <c r="AW51" s="258"/>
      <c r="AX51" s="259"/>
      <c r="AY51" s="259"/>
      <c r="AZ51" s="260"/>
      <c r="BG51" s="243"/>
      <c r="BH51" s="243"/>
      <c r="BI51" s="243"/>
      <c r="BJ51" s="279">
        <v>25</v>
      </c>
      <c r="BK51" s="274">
        <v>18.36</v>
      </c>
      <c r="BL51" s="274">
        <v>20.58</v>
      </c>
      <c r="BM51" s="274">
        <v>25.16</v>
      </c>
      <c r="BN51" s="274">
        <v>26.76</v>
      </c>
      <c r="BO51" s="274">
        <v>30.29</v>
      </c>
      <c r="BP51" s="279"/>
      <c r="BQ51" s="266"/>
      <c r="BR51" s="266"/>
      <c r="BS51" s="270"/>
    </row>
    <row r="52" spans="1:83" s="261" customFormat="1">
      <c r="A52" s="251"/>
      <c r="B52" s="251"/>
      <c r="C52" s="251"/>
      <c r="D52" s="251"/>
      <c r="E52" s="582"/>
      <c r="F52" s="583"/>
      <c r="G52" s="583"/>
      <c r="H52" s="584"/>
      <c r="I52" s="573"/>
      <c r="J52" s="574"/>
      <c r="K52" s="574"/>
      <c r="L52" s="575"/>
      <c r="M52" s="573"/>
      <c r="N52" s="574"/>
      <c r="O52" s="574"/>
      <c r="P52" s="575"/>
      <c r="Q52" s="573"/>
      <c r="R52" s="574"/>
      <c r="S52" s="574"/>
      <c r="T52" s="575"/>
      <c r="U52" s="573"/>
      <c r="V52" s="574"/>
      <c r="W52" s="574"/>
      <c r="X52" s="575"/>
      <c r="Y52" s="573"/>
      <c r="Z52" s="574"/>
      <c r="AA52" s="574"/>
      <c r="AB52" s="575"/>
      <c r="AC52" s="258"/>
      <c r="AD52" s="259"/>
      <c r="AE52" s="259"/>
      <c r="AF52" s="260"/>
      <c r="AG52" s="258"/>
      <c r="AH52" s="259"/>
      <c r="AI52" s="259"/>
      <c r="AJ52" s="260"/>
      <c r="AK52" s="258"/>
      <c r="AL52" s="259"/>
      <c r="AM52" s="259"/>
      <c r="AN52" s="260"/>
      <c r="AO52" s="258"/>
      <c r="AP52" s="259"/>
      <c r="AQ52" s="259"/>
      <c r="AR52" s="260"/>
      <c r="AS52" s="258"/>
      <c r="AT52" s="259"/>
      <c r="AU52" s="259"/>
      <c r="AV52" s="260"/>
      <c r="AW52" s="258"/>
      <c r="AX52" s="259"/>
      <c r="AY52" s="259"/>
      <c r="AZ52" s="260"/>
      <c r="BG52" s="243"/>
      <c r="BH52" s="243"/>
      <c r="BI52" s="243"/>
      <c r="BJ52" s="279">
        <v>26</v>
      </c>
      <c r="BK52" s="274">
        <v>18.78</v>
      </c>
      <c r="BL52" s="274">
        <v>21.02</v>
      </c>
      <c r="BM52" s="274">
        <v>25.75</v>
      </c>
      <c r="BN52" s="274">
        <v>27.38</v>
      </c>
      <c r="BO52" s="274">
        <v>31.02</v>
      </c>
      <c r="BP52" s="279"/>
      <c r="BQ52" s="266"/>
      <c r="BR52" s="266"/>
      <c r="BS52" s="270"/>
      <c r="BT52" s="244"/>
      <c r="BU52" s="244"/>
      <c r="BV52" s="244"/>
      <c r="BW52" s="244"/>
      <c r="BX52" s="244"/>
      <c r="BY52" s="244"/>
      <c r="BZ52" s="244"/>
      <c r="CA52" s="244"/>
      <c r="CB52" s="244"/>
      <c r="CC52" s="244"/>
      <c r="CD52" s="244"/>
      <c r="CE52" s="244"/>
    </row>
    <row r="53" spans="1:83">
      <c r="A53" s="251"/>
      <c r="B53" s="251"/>
      <c r="C53" s="251"/>
      <c r="D53" s="251"/>
      <c r="E53" s="576"/>
      <c r="F53" s="577"/>
      <c r="G53" s="577"/>
      <c r="H53" s="578"/>
      <c r="I53" s="579"/>
      <c r="J53" s="580"/>
      <c r="K53" s="580"/>
      <c r="L53" s="581"/>
      <c r="M53" s="579"/>
      <c r="N53" s="580"/>
      <c r="O53" s="580"/>
      <c r="P53" s="581"/>
      <c r="Q53" s="579"/>
      <c r="R53" s="580"/>
      <c r="S53" s="580"/>
      <c r="T53" s="581"/>
      <c r="U53" s="579"/>
      <c r="V53" s="580"/>
      <c r="W53" s="580"/>
      <c r="X53" s="581"/>
      <c r="Y53" s="579"/>
      <c r="Z53" s="580"/>
      <c r="AA53" s="580"/>
      <c r="AB53" s="581"/>
      <c r="AC53" s="258"/>
      <c r="AD53" s="259"/>
      <c r="AE53" s="259"/>
      <c r="AF53" s="260"/>
      <c r="AG53" s="258"/>
      <c r="AH53" s="259"/>
      <c r="AI53" s="259"/>
      <c r="AJ53" s="260"/>
      <c r="AK53" s="258"/>
      <c r="AL53" s="259"/>
      <c r="AM53" s="259"/>
      <c r="AN53" s="260"/>
      <c r="AO53" s="258"/>
      <c r="AP53" s="259"/>
      <c r="AQ53" s="259"/>
      <c r="AR53" s="260"/>
      <c r="AS53" s="258"/>
      <c r="AT53" s="259"/>
      <c r="AU53" s="259"/>
      <c r="AV53" s="260"/>
      <c r="AW53" s="258"/>
      <c r="AX53" s="259"/>
      <c r="AY53" s="259"/>
      <c r="AZ53" s="260"/>
      <c r="BG53" s="243"/>
      <c r="BH53" s="243"/>
      <c r="BI53" s="243"/>
      <c r="BJ53" s="279">
        <v>27</v>
      </c>
      <c r="BK53" s="274">
        <v>19.2</v>
      </c>
      <c r="BL53" s="274">
        <v>21.46</v>
      </c>
      <c r="BM53" s="274">
        <v>26.33</v>
      </c>
      <c r="BN53" s="274">
        <v>28</v>
      </c>
      <c r="BO53" s="274">
        <v>31.75</v>
      </c>
      <c r="BP53" s="279"/>
      <c r="BQ53" s="266"/>
      <c r="BR53" s="266"/>
      <c r="BS53" s="270"/>
    </row>
    <row r="54" spans="1:83" s="261" customFormat="1">
      <c r="A54" s="251"/>
      <c r="B54" s="251"/>
      <c r="C54" s="251"/>
      <c r="D54" s="251"/>
      <c r="E54" s="582"/>
      <c r="F54" s="583"/>
      <c r="G54" s="583"/>
      <c r="H54" s="584"/>
      <c r="I54" s="573"/>
      <c r="J54" s="574"/>
      <c r="K54" s="574"/>
      <c r="L54" s="575"/>
      <c r="M54" s="573"/>
      <c r="N54" s="574"/>
      <c r="O54" s="574"/>
      <c r="P54" s="575"/>
      <c r="Q54" s="573"/>
      <c r="R54" s="574"/>
      <c r="S54" s="574"/>
      <c r="T54" s="575"/>
      <c r="U54" s="573"/>
      <c r="V54" s="574"/>
      <c r="W54" s="574"/>
      <c r="X54" s="575"/>
      <c r="Y54" s="573"/>
      <c r="Z54" s="574"/>
      <c r="AA54" s="574"/>
      <c r="AB54" s="575"/>
      <c r="AC54" s="258"/>
      <c r="AD54" s="259"/>
      <c r="AE54" s="259"/>
      <c r="AF54" s="260"/>
      <c r="AG54" s="258"/>
      <c r="AH54" s="259"/>
      <c r="AI54" s="259"/>
      <c r="AJ54" s="260"/>
      <c r="AK54" s="258"/>
      <c r="AL54" s="259"/>
      <c r="AM54" s="259"/>
      <c r="AN54" s="260"/>
      <c r="AO54" s="258"/>
      <c r="AP54" s="259"/>
      <c r="AQ54" s="259"/>
      <c r="AR54" s="260"/>
      <c r="AS54" s="258"/>
      <c r="AT54" s="259"/>
      <c r="AU54" s="259"/>
      <c r="AV54" s="260"/>
      <c r="AW54" s="258"/>
      <c r="AX54" s="259"/>
      <c r="AY54" s="259"/>
      <c r="AZ54" s="260"/>
      <c r="BG54" s="243"/>
      <c r="BH54" s="243"/>
      <c r="BI54" s="243"/>
      <c r="BJ54" s="279">
        <v>28</v>
      </c>
      <c r="BK54" s="274">
        <v>19.62</v>
      </c>
      <c r="BL54" s="274">
        <v>21.9</v>
      </c>
      <c r="BM54" s="274">
        <v>26.92</v>
      </c>
      <c r="BN54" s="274">
        <v>28.62</v>
      </c>
      <c r="BO54" s="274">
        <v>32.47</v>
      </c>
      <c r="BP54" s="279"/>
      <c r="BQ54" s="266"/>
      <c r="BR54" s="266"/>
      <c r="BS54" s="270"/>
      <c r="BT54" s="244"/>
      <c r="BU54" s="244"/>
      <c r="BV54" s="244"/>
      <c r="BW54" s="244"/>
      <c r="BX54" s="244"/>
      <c r="BY54" s="244"/>
      <c r="BZ54" s="244"/>
      <c r="CA54" s="244"/>
      <c r="CB54" s="244"/>
      <c r="CC54" s="244"/>
      <c r="CD54" s="244"/>
      <c r="CE54" s="244"/>
    </row>
    <row r="55" spans="1:83">
      <c r="A55" s="251"/>
      <c r="B55" s="251"/>
      <c r="C55" s="251"/>
      <c r="D55" s="251"/>
      <c r="E55" s="576"/>
      <c r="F55" s="577"/>
      <c r="G55" s="577"/>
      <c r="H55" s="578"/>
      <c r="I55" s="579"/>
      <c r="J55" s="580"/>
      <c r="K55" s="580"/>
      <c r="L55" s="581"/>
      <c r="M55" s="579"/>
      <c r="N55" s="580"/>
      <c r="O55" s="580"/>
      <c r="P55" s="581"/>
      <c r="Q55" s="579"/>
      <c r="R55" s="580"/>
      <c r="S55" s="580"/>
      <c r="T55" s="581"/>
      <c r="U55" s="579"/>
      <c r="V55" s="580"/>
      <c r="W55" s="580"/>
      <c r="X55" s="581"/>
      <c r="Y55" s="579"/>
      <c r="Z55" s="580"/>
      <c r="AA55" s="580"/>
      <c r="AB55" s="581"/>
      <c r="AC55" s="258"/>
      <c r="AD55" s="259"/>
      <c r="AE55" s="259"/>
      <c r="AF55" s="260"/>
      <c r="AG55" s="258"/>
      <c r="AH55" s="259"/>
      <c r="AI55" s="259"/>
      <c r="AJ55" s="260"/>
      <c r="AK55" s="258"/>
      <c r="AL55" s="259"/>
      <c r="AM55" s="259"/>
      <c r="AN55" s="260"/>
      <c r="AO55" s="258"/>
      <c r="AP55" s="259"/>
      <c r="AQ55" s="259"/>
      <c r="AR55" s="260"/>
      <c r="AS55" s="258"/>
      <c r="AT55" s="259"/>
      <c r="AU55" s="259"/>
      <c r="AV55" s="260"/>
      <c r="AW55" s="258"/>
      <c r="AX55" s="259"/>
      <c r="AY55" s="259"/>
      <c r="AZ55" s="260"/>
      <c r="BG55" s="243"/>
      <c r="BH55" s="243"/>
      <c r="BI55" s="243"/>
      <c r="BJ55" s="279">
        <v>29</v>
      </c>
      <c r="BK55" s="274">
        <v>20.04</v>
      </c>
      <c r="BL55" s="274">
        <v>22.33</v>
      </c>
      <c r="BM55" s="274">
        <v>27.5</v>
      </c>
      <c r="BN55" s="274">
        <v>29.24</v>
      </c>
      <c r="BO55" s="274">
        <v>33.200000000000003</v>
      </c>
      <c r="BP55" s="279"/>
      <c r="BQ55" s="266"/>
      <c r="BR55" s="266"/>
      <c r="BS55" s="270"/>
    </row>
    <row r="56" spans="1:83">
      <c r="A56" s="251"/>
      <c r="B56" s="251"/>
      <c r="C56" s="251"/>
      <c r="D56" s="251"/>
      <c r="E56" s="582"/>
      <c r="F56" s="583"/>
      <c r="G56" s="583"/>
      <c r="H56" s="584"/>
      <c r="I56" s="573"/>
      <c r="J56" s="574"/>
      <c r="K56" s="574"/>
      <c r="L56" s="575"/>
      <c r="M56" s="573"/>
      <c r="N56" s="574"/>
      <c r="O56" s="574"/>
      <c r="P56" s="575"/>
      <c r="Q56" s="573"/>
      <c r="R56" s="574"/>
      <c r="S56" s="574"/>
      <c r="T56" s="575"/>
      <c r="U56" s="573"/>
      <c r="V56" s="574"/>
      <c r="W56" s="574"/>
      <c r="X56" s="575"/>
      <c r="Y56" s="573"/>
      <c r="Z56" s="574"/>
      <c r="AA56" s="574"/>
      <c r="AB56" s="575"/>
      <c r="AC56" s="258"/>
      <c r="AD56" s="259"/>
      <c r="AE56" s="259"/>
      <c r="AF56" s="260"/>
      <c r="AG56" s="258"/>
      <c r="AH56" s="259"/>
      <c r="AI56" s="259"/>
      <c r="AJ56" s="260"/>
      <c r="AK56" s="258"/>
      <c r="AL56" s="259"/>
      <c r="AM56" s="259"/>
      <c r="AN56" s="260"/>
      <c r="AO56" s="258"/>
      <c r="AP56" s="259"/>
      <c r="AQ56" s="259"/>
      <c r="AR56" s="260"/>
      <c r="AS56" s="258"/>
      <c r="AT56" s="259"/>
      <c r="AU56" s="259"/>
      <c r="AV56" s="260"/>
      <c r="AW56" s="258"/>
      <c r="AX56" s="259"/>
      <c r="AY56" s="259"/>
      <c r="AZ56" s="260"/>
      <c r="BG56" s="243"/>
      <c r="BH56" s="243"/>
      <c r="BI56" s="243"/>
      <c r="BJ56" s="279">
        <v>30</v>
      </c>
      <c r="BK56" s="274">
        <v>20.47</v>
      </c>
      <c r="BL56" s="274">
        <v>22.77</v>
      </c>
      <c r="BM56" s="274">
        <v>28.09</v>
      </c>
      <c r="BN56" s="274">
        <v>29.86</v>
      </c>
      <c r="BO56" s="274">
        <v>33.93</v>
      </c>
      <c r="BP56" s="279"/>
      <c r="BQ56" s="266"/>
      <c r="BR56" s="266"/>
      <c r="BS56" s="270"/>
    </row>
    <row r="57" spans="1:83">
      <c r="A57" s="251"/>
      <c r="B57" s="251"/>
      <c r="C57" s="251"/>
      <c r="D57" s="251"/>
      <c r="E57" s="576"/>
      <c r="F57" s="577"/>
      <c r="G57" s="577"/>
      <c r="H57" s="578"/>
      <c r="I57" s="579"/>
      <c r="J57" s="580"/>
      <c r="K57" s="580"/>
      <c r="L57" s="581"/>
      <c r="M57" s="579"/>
      <c r="N57" s="580"/>
      <c r="O57" s="580"/>
      <c r="P57" s="581"/>
      <c r="Q57" s="579"/>
      <c r="R57" s="580"/>
      <c r="S57" s="580"/>
      <c r="T57" s="581"/>
      <c r="U57" s="579"/>
      <c r="V57" s="580"/>
      <c r="W57" s="580"/>
      <c r="X57" s="581"/>
      <c r="Y57" s="579"/>
      <c r="Z57" s="580"/>
      <c r="AA57" s="580"/>
      <c r="AB57" s="581"/>
      <c r="AC57" s="258"/>
      <c r="AD57" s="259"/>
      <c r="AE57" s="259"/>
      <c r="AF57" s="260"/>
      <c r="AG57" s="258"/>
      <c r="AH57" s="259"/>
      <c r="AI57" s="259"/>
      <c r="AJ57" s="260"/>
      <c r="AK57" s="258"/>
      <c r="AL57" s="259"/>
      <c r="AM57" s="259"/>
      <c r="AN57" s="260"/>
      <c r="AO57" s="258"/>
      <c r="AP57" s="259"/>
      <c r="AQ57" s="259"/>
      <c r="AR57" s="260"/>
      <c r="AS57" s="258"/>
      <c r="AT57" s="259"/>
      <c r="AU57" s="259"/>
      <c r="AV57" s="260"/>
      <c r="AW57" s="258"/>
      <c r="AX57" s="259"/>
      <c r="AY57" s="259"/>
      <c r="AZ57" s="260"/>
      <c r="BG57" s="243"/>
      <c r="BH57" s="243"/>
      <c r="BI57" s="243"/>
      <c r="BJ57" s="280">
        <v>31</v>
      </c>
      <c r="BK57" s="274">
        <v>20.89</v>
      </c>
      <c r="BL57" s="274">
        <v>23.21</v>
      </c>
      <c r="BM57" s="274">
        <v>28.68</v>
      </c>
      <c r="BN57" s="274">
        <v>30.48</v>
      </c>
      <c r="BO57" s="274">
        <v>34.659999999999997</v>
      </c>
      <c r="BP57" s="280"/>
      <c r="BQ57" s="266"/>
      <c r="BR57" s="266"/>
      <c r="BS57" s="270"/>
    </row>
    <row r="58" spans="1:83">
      <c r="A58" s="251"/>
      <c r="B58" s="251"/>
      <c r="C58" s="251"/>
      <c r="D58" s="251"/>
      <c r="E58" s="582"/>
      <c r="F58" s="583"/>
      <c r="G58" s="583"/>
      <c r="H58" s="584"/>
      <c r="I58" s="573"/>
      <c r="J58" s="574"/>
      <c r="K58" s="574"/>
      <c r="L58" s="575"/>
      <c r="M58" s="573"/>
      <c r="N58" s="574"/>
      <c r="O58" s="574"/>
      <c r="P58" s="575"/>
      <c r="Q58" s="573"/>
      <c r="R58" s="574"/>
      <c r="S58" s="574"/>
      <c r="T58" s="575"/>
      <c r="U58" s="573"/>
      <c r="V58" s="574"/>
      <c r="W58" s="574"/>
      <c r="X58" s="575"/>
      <c r="Y58" s="573"/>
      <c r="Z58" s="574"/>
      <c r="AA58" s="574"/>
      <c r="AB58" s="575"/>
      <c r="AC58" s="258"/>
      <c r="AD58" s="259"/>
      <c r="AE58" s="259"/>
      <c r="AF58" s="260"/>
      <c r="AG58" s="258"/>
      <c r="AH58" s="259"/>
      <c r="AI58" s="259"/>
      <c r="AJ58" s="260"/>
      <c r="AK58" s="258"/>
      <c r="AL58" s="259"/>
      <c r="AM58" s="259"/>
      <c r="AN58" s="260"/>
      <c r="AO58" s="258"/>
      <c r="AP58" s="259"/>
      <c r="AQ58" s="259"/>
      <c r="AR58" s="260"/>
      <c r="AS58" s="258"/>
      <c r="AT58" s="259"/>
      <c r="AU58" s="259"/>
      <c r="AV58" s="260"/>
      <c r="AW58" s="258"/>
      <c r="AX58" s="259"/>
      <c r="AY58" s="259"/>
      <c r="AZ58" s="260"/>
      <c r="BG58" s="243"/>
      <c r="BH58" s="243"/>
      <c r="BI58" s="243"/>
      <c r="BJ58" s="280">
        <v>32</v>
      </c>
      <c r="BK58" s="274">
        <v>21.31</v>
      </c>
      <c r="BL58" s="274">
        <v>23.65</v>
      </c>
      <c r="BM58" s="274">
        <v>29.26</v>
      </c>
      <c r="BN58" s="274">
        <v>31.1</v>
      </c>
      <c r="BO58" s="274">
        <v>35.39</v>
      </c>
      <c r="BP58" s="280"/>
      <c r="BQ58" s="266"/>
      <c r="BR58" s="266"/>
      <c r="BS58" s="270"/>
    </row>
    <row r="59" spans="1:83">
      <c r="A59" s="251"/>
      <c r="B59" s="251"/>
      <c r="C59" s="251"/>
      <c r="D59" s="251"/>
      <c r="E59" s="576"/>
      <c r="F59" s="577"/>
      <c r="G59" s="577"/>
      <c r="H59" s="578"/>
      <c r="I59" s="579"/>
      <c r="J59" s="580"/>
      <c r="K59" s="580"/>
      <c r="L59" s="581"/>
      <c r="M59" s="579"/>
      <c r="N59" s="580"/>
      <c r="O59" s="580"/>
      <c r="P59" s="581"/>
      <c r="Q59" s="579"/>
      <c r="R59" s="580"/>
      <c r="S59" s="580"/>
      <c r="T59" s="581"/>
      <c r="U59" s="579"/>
      <c r="V59" s="580"/>
      <c r="W59" s="580"/>
      <c r="X59" s="581"/>
      <c r="Y59" s="579"/>
      <c r="Z59" s="580"/>
      <c r="AA59" s="580"/>
      <c r="AB59" s="581"/>
      <c r="AC59" s="258"/>
      <c r="AD59" s="259"/>
      <c r="AE59" s="259"/>
      <c r="AF59" s="260"/>
      <c r="AG59" s="258"/>
      <c r="AH59" s="259"/>
      <c r="AI59" s="259"/>
      <c r="AJ59" s="260"/>
      <c r="AK59" s="258"/>
      <c r="AL59" s="259"/>
      <c r="AM59" s="259"/>
      <c r="AN59" s="260"/>
      <c r="AO59" s="258"/>
      <c r="AP59" s="259"/>
      <c r="AQ59" s="259"/>
      <c r="AR59" s="260"/>
      <c r="AS59" s="258"/>
      <c r="AT59" s="259"/>
      <c r="AU59" s="259"/>
      <c r="AV59" s="260"/>
      <c r="AW59" s="258"/>
      <c r="AX59" s="259"/>
      <c r="AY59" s="259"/>
      <c r="AZ59" s="260"/>
      <c r="BG59" s="243"/>
      <c r="BH59" s="243"/>
      <c r="BI59" s="243"/>
      <c r="BJ59" s="280">
        <v>33</v>
      </c>
      <c r="BK59" s="274">
        <v>21.73</v>
      </c>
      <c r="BL59" s="274">
        <v>24.08</v>
      </c>
      <c r="BM59" s="274">
        <v>29.85</v>
      </c>
      <c r="BN59" s="274">
        <v>31.72</v>
      </c>
      <c r="BO59" s="274">
        <v>36.11</v>
      </c>
      <c r="BP59" s="280"/>
      <c r="BQ59" s="266"/>
      <c r="BR59" s="266"/>
      <c r="BS59" s="270"/>
    </row>
    <row r="60" spans="1:83">
      <c r="A60" s="251"/>
      <c r="B60" s="251"/>
      <c r="C60" s="251"/>
      <c r="D60" s="251"/>
      <c r="E60" s="582"/>
      <c r="F60" s="583"/>
      <c r="G60" s="583"/>
      <c r="H60" s="584"/>
      <c r="I60" s="573"/>
      <c r="J60" s="574"/>
      <c r="K60" s="574"/>
      <c r="L60" s="575"/>
      <c r="M60" s="573"/>
      <c r="N60" s="574"/>
      <c r="O60" s="574"/>
      <c r="P60" s="575"/>
      <c r="Q60" s="573"/>
      <c r="R60" s="574"/>
      <c r="S60" s="574"/>
      <c r="T60" s="575"/>
      <c r="U60" s="573"/>
      <c r="V60" s="574"/>
      <c r="W60" s="574"/>
      <c r="X60" s="575"/>
      <c r="Y60" s="573"/>
      <c r="Z60" s="574"/>
      <c r="AA60" s="574"/>
      <c r="AB60" s="575"/>
      <c r="AC60" s="258"/>
      <c r="AD60" s="259"/>
      <c r="AE60" s="259"/>
      <c r="AF60" s="260"/>
      <c r="AG60" s="258"/>
      <c r="AH60" s="259"/>
      <c r="AI60" s="259"/>
      <c r="AJ60" s="260"/>
      <c r="AK60" s="258"/>
      <c r="AL60" s="259"/>
      <c r="AM60" s="259"/>
      <c r="AN60" s="260"/>
      <c r="AO60" s="258"/>
      <c r="AP60" s="259"/>
      <c r="AQ60" s="259"/>
      <c r="AR60" s="260"/>
      <c r="AS60" s="258"/>
      <c r="AT60" s="259"/>
      <c r="AU60" s="259"/>
      <c r="AV60" s="260"/>
      <c r="AW60" s="258"/>
      <c r="AX60" s="259"/>
      <c r="AY60" s="259"/>
      <c r="AZ60" s="260"/>
      <c r="BG60" s="243"/>
      <c r="BH60" s="243"/>
      <c r="BI60" s="243"/>
      <c r="BJ60" s="280">
        <v>34</v>
      </c>
      <c r="BK60" s="274">
        <v>22.15</v>
      </c>
      <c r="BL60" s="274">
        <v>24.52</v>
      </c>
      <c r="BM60" s="274">
        <v>30.43</v>
      </c>
      <c r="BN60" s="274">
        <v>32.340000000000003</v>
      </c>
      <c r="BO60" s="274">
        <v>36.840000000000003</v>
      </c>
      <c r="BP60" s="280"/>
      <c r="BQ60" s="266"/>
      <c r="BR60" s="266"/>
      <c r="BS60" s="270"/>
    </row>
    <row r="61" spans="1:83">
      <c r="A61" s="251"/>
      <c r="B61" s="251"/>
      <c r="C61" s="251"/>
      <c r="D61" s="251"/>
      <c r="E61" s="576"/>
      <c r="F61" s="577"/>
      <c r="G61" s="577"/>
      <c r="H61" s="578"/>
      <c r="I61" s="579"/>
      <c r="J61" s="580"/>
      <c r="K61" s="580"/>
      <c r="L61" s="581"/>
      <c r="M61" s="579"/>
      <c r="N61" s="580"/>
      <c r="O61" s="580"/>
      <c r="P61" s="581"/>
      <c r="Q61" s="579"/>
      <c r="R61" s="580"/>
      <c r="S61" s="580"/>
      <c r="T61" s="581"/>
      <c r="U61" s="579"/>
      <c r="V61" s="580"/>
      <c r="W61" s="580"/>
      <c r="X61" s="581"/>
      <c r="Y61" s="579"/>
      <c r="Z61" s="580"/>
      <c r="AA61" s="580"/>
      <c r="AB61" s="581"/>
      <c r="AC61" s="258"/>
      <c r="AD61" s="259"/>
      <c r="AE61" s="259"/>
      <c r="AF61" s="260"/>
      <c r="AG61" s="258"/>
      <c r="AH61" s="259"/>
      <c r="AI61" s="259"/>
      <c r="AJ61" s="260"/>
      <c r="AK61" s="258"/>
      <c r="AL61" s="259"/>
      <c r="AM61" s="259"/>
      <c r="AN61" s="260"/>
      <c r="AO61" s="258"/>
      <c r="AP61" s="259"/>
      <c r="AQ61" s="259"/>
      <c r="AR61" s="260"/>
      <c r="AS61" s="258"/>
      <c r="AT61" s="259"/>
      <c r="AU61" s="259"/>
      <c r="AV61" s="260"/>
      <c r="AW61" s="258"/>
      <c r="AX61" s="259"/>
      <c r="AY61" s="259"/>
      <c r="AZ61" s="260"/>
      <c r="BG61" s="243"/>
      <c r="BH61" s="243"/>
      <c r="BI61" s="243"/>
      <c r="BJ61" s="280">
        <v>35</v>
      </c>
      <c r="BK61" s="274">
        <v>22.57</v>
      </c>
      <c r="BL61" s="274">
        <v>24.96</v>
      </c>
      <c r="BM61" s="274">
        <v>31.02</v>
      </c>
      <c r="BN61" s="274">
        <v>32.96</v>
      </c>
      <c r="BO61" s="274">
        <v>37.57</v>
      </c>
      <c r="BP61" s="280"/>
      <c r="BQ61" s="266"/>
      <c r="BR61" s="266"/>
      <c r="BS61" s="270"/>
    </row>
    <row r="62" spans="1:83">
      <c r="A62" s="251"/>
      <c r="B62" s="251"/>
      <c r="C62" s="251"/>
      <c r="D62" s="251"/>
      <c r="E62" s="582"/>
      <c r="F62" s="583"/>
      <c r="G62" s="583"/>
      <c r="H62" s="584"/>
      <c r="I62" s="573"/>
      <c r="J62" s="574"/>
      <c r="K62" s="574"/>
      <c r="L62" s="575"/>
      <c r="M62" s="573"/>
      <c r="N62" s="574"/>
      <c r="O62" s="574"/>
      <c r="P62" s="575"/>
      <c r="Q62" s="573"/>
      <c r="R62" s="574"/>
      <c r="S62" s="574"/>
      <c r="T62" s="575"/>
      <c r="U62" s="573"/>
      <c r="V62" s="574"/>
      <c r="W62" s="574"/>
      <c r="X62" s="575"/>
      <c r="Y62" s="573"/>
      <c r="Z62" s="574"/>
      <c r="AA62" s="574"/>
      <c r="AB62" s="575"/>
      <c r="AC62" s="258"/>
      <c r="AD62" s="259"/>
      <c r="AE62" s="259"/>
      <c r="AF62" s="260"/>
      <c r="AG62" s="258"/>
      <c r="AH62" s="259"/>
      <c r="AI62" s="259"/>
      <c r="AJ62" s="260"/>
      <c r="AK62" s="258"/>
      <c r="AL62" s="259"/>
      <c r="AM62" s="259"/>
      <c r="AN62" s="260"/>
      <c r="AO62" s="258"/>
      <c r="AP62" s="259"/>
      <c r="AQ62" s="259"/>
      <c r="AR62" s="260"/>
      <c r="AS62" s="258"/>
      <c r="AT62" s="259"/>
      <c r="AU62" s="259"/>
      <c r="AV62" s="260"/>
      <c r="AW62" s="258"/>
      <c r="AX62" s="259"/>
      <c r="AY62" s="259"/>
      <c r="AZ62" s="260"/>
      <c r="BG62" s="243"/>
      <c r="BH62" s="243"/>
      <c r="BI62" s="243"/>
      <c r="BJ62" s="280">
        <v>36</v>
      </c>
      <c r="BK62" s="274">
        <v>22.99</v>
      </c>
      <c r="BL62" s="274">
        <v>25.4</v>
      </c>
      <c r="BM62" s="274">
        <v>31.6</v>
      </c>
      <c r="BN62" s="274">
        <v>33.58</v>
      </c>
      <c r="BO62" s="274">
        <v>38.299999999999997</v>
      </c>
      <c r="BP62" s="280"/>
      <c r="BQ62" s="266"/>
      <c r="BR62" s="266"/>
      <c r="BS62" s="270"/>
    </row>
    <row r="63" spans="1:83">
      <c r="A63" s="251"/>
      <c r="B63" s="251"/>
      <c r="C63" s="251"/>
      <c r="D63" s="251"/>
      <c r="E63" s="576"/>
      <c r="F63" s="577"/>
      <c r="G63" s="577"/>
      <c r="H63" s="578"/>
      <c r="I63" s="579"/>
      <c r="J63" s="580"/>
      <c r="K63" s="580"/>
      <c r="L63" s="581"/>
      <c r="M63" s="579"/>
      <c r="N63" s="580"/>
      <c r="O63" s="580"/>
      <c r="P63" s="581"/>
      <c r="Q63" s="579"/>
      <c r="R63" s="580"/>
      <c r="S63" s="580"/>
      <c r="T63" s="581"/>
      <c r="U63" s="579"/>
      <c r="V63" s="580"/>
      <c r="W63" s="580"/>
      <c r="X63" s="581"/>
      <c r="Y63" s="579"/>
      <c r="Z63" s="580"/>
      <c r="AA63" s="580"/>
      <c r="AB63" s="581"/>
      <c r="AC63" s="258"/>
      <c r="AD63" s="259"/>
      <c r="AE63" s="259"/>
      <c r="AF63" s="260"/>
      <c r="AG63" s="258"/>
      <c r="AH63" s="259"/>
      <c r="AI63" s="259"/>
      <c r="AJ63" s="260"/>
      <c r="AK63" s="258"/>
      <c r="AL63" s="259"/>
      <c r="AM63" s="259"/>
      <c r="AN63" s="260"/>
      <c r="AO63" s="258"/>
      <c r="AP63" s="259"/>
      <c r="AQ63" s="259"/>
      <c r="AR63" s="260"/>
      <c r="AS63" s="258"/>
      <c r="AT63" s="259"/>
      <c r="AU63" s="259"/>
      <c r="AV63" s="260"/>
      <c r="AW63" s="258"/>
      <c r="AX63" s="259"/>
      <c r="AY63" s="259"/>
      <c r="AZ63" s="260"/>
      <c r="BG63" s="243"/>
      <c r="BH63" s="243"/>
      <c r="BI63" s="243"/>
      <c r="BJ63" s="280">
        <v>37</v>
      </c>
      <c r="BK63" s="274">
        <v>23.41</v>
      </c>
      <c r="BL63" s="274">
        <v>25.84</v>
      </c>
      <c r="BM63" s="274">
        <v>32.19</v>
      </c>
      <c r="BN63" s="274">
        <v>34.21</v>
      </c>
      <c r="BO63" s="274">
        <v>39.03</v>
      </c>
      <c r="BP63" s="280"/>
      <c r="BQ63" s="266"/>
      <c r="BR63" s="266"/>
      <c r="BS63" s="270"/>
    </row>
    <row r="64" spans="1:83">
      <c r="A64" s="251"/>
      <c r="B64" s="251"/>
      <c r="C64" s="251"/>
      <c r="D64" s="251"/>
      <c r="E64" s="582"/>
      <c r="F64" s="583"/>
      <c r="G64" s="583"/>
      <c r="H64" s="584"/>
      <c r="I64" s="573"/>
      <c r="J64" s="574"/>
      <c r="K64" s="574"/>
      <c r="L64" s="575"/>
      <c r="M64" s="573"/>
      <c r="N64" s="574"/>
      <c r="O64" s="574"/>
      <c r="P64" s="575"/>
      <c r="Q64" s="573"/>
      <c r="R64" s="574"/>
      <c r="S64" s="574"/>
      <c r="T64" s="575"/>
      <c r="U64" s="573"/>
      <c r="V64" s="574"/>
      <c r="W64" s="574"/>
      <c r="X64" s="575"/>
      <c r="Y64" s="573"/>
      <c r="Z64" s="574"/>
      <c r="AA64" s="574"/>
      <c r="AB64" s="575"/>
      <c r="AC64" s="258"/>
      <c r="AD64" s="259"/>
      <c r="AE64" s="259"/>
      <c r="AF64" s="260"/>
      <c r="AG64" s="258"/>
      <c r="AH64" s="259"/>
      <c r="AI64" s="259"/>
      <c r="AJ64" s="260"/>
      <c r="AK64" s="258"/>
      <c r="AL64" s="259"/>
      <c r="AM64" s="259"/>
      <c r="AN64" s="260"/>
      <c r="AO64" s="258"/>
      <c r="AP64" s="259"/>
      <c r="AQ64" s="259"/>
      <c r="AR64" s="260"/>
      <c r="AS64" s="258"/>
      <c r="AT64" s="259"/>
      <c r="AU64" s="259"/>
      <c r="AV64" s="260"/>
      <c r="AW64" s="258"/>
      <c r="AX64" s="259"/>
      <c r="AY64" s="259"/>
      <c r="AZ64" s="260"/>
      <c r="BG64" s="243"/>
      <c r="BH64" s="243"/>
      <c r="BI64" s="243"/>
      <c r="BJ64" s="280">
        <v>38</v>
      </c>
      <c r="BK64" s="274">
        <v>23.83</v>
      </c>
      <c r="BL64" s="274">
        <v>26.27</v>
      </c>
      <c r="BM64" s="274">
        <v>32.78</v>
      </c>
      <c r="BN64" s="274">
        <v>34.83</v>
      </c>
      <c r="BO64" s="274">
        <v>39.75</v>
      </c>
      <c r="BP64" s="280"/>
      <c r="BQ64" s="266"/>
      <c r="BR64" s="266"/>
      <c r="BS64" s="270"/>
    </row>
    <row r="65" spans="1:71">
      <c r="A65" s="251"/>
      <c r="B65" s="251"/>
      <c r="C65" s="251"/>
      <c r="D65" s="251"/>
      <c r="E65" s="576"/>
      <c r="F65" s="577"/>
      <c r="G65" s="577"/>
      <c r="H65" s="578"/>
      <c r="I65" s="579"/>
      <c r="J65" s="580"/>
      <c r="K65" s="580"/>
      <c r="L65" s="581"/>
      <c r="M65" s="579"/>
      <c r="N65" s="580"/>
      <c r="O65" s="580"/>
      <c r="P65" s="581"/>
      <c r="Q65" s="579"/>
      <c r="R65" s="580"/>
      <c r="S65" s="580"/>
      <c r="T65" s="581"/>
      <c r="U65" s="579"/>
      <c r="V65" s="580"/>
      <c r="W65" s="580"/>
      <c r="X65" s="581"/>
      <c r="Y65" s="579"/>
      <c r="Z65" s="580"/>
      <c r="AA65" s="580"/>
      <c r="AB65" s="581"/>
      <c r="AC65" s="258"/>
      <c r="AD65" s="259"/>
      <c r="AE65" s="259"/>
      <c r="AF65" s="260"/>
      <c r="AG65" s="258"/>
      <c r="AH65" s="259"/>
      <c r="AI65" s="259"/>
      <c r="AJ65" s="260"/>
      <c r="AK65" s="258"/>
      <c r="AL65" s="259"/>
      <c r="AM65" s="259"/>
      <c r="AN65" s="260"/>
      <c r="AO65" s="258"/>
      <c r="AP65" s="259"/>
      <c r="AQ65" s="259"/>
      <c r="AR65" s="260"/>
      <c r="AS65" s="258"/>
      <c r="AT65" s="259"/>
      <c r="AU65" s="259"/>
      <c r="AV65" s="260"/>
      <c r="AW65" s="258"/>
      <c r="AX65" s="259"/>
      <c r="AY65" s="259"/>
      <c r="AZ65" s="260"/>
      <c r="BG65" s="243"/>
      <c r="BH65" s="243"/>
      <c r="BI65" s="243"/>
      <c r="BJ65" s="280">
        <v>39</v>
      </c>
      <c r="BK65" s="274">
        <v>24.25</v>
      </c>
      <c r="BL65" s="274">
        <v>26.71</v>
      </c>
      <c r="BM65" s="274">
        <v>33.36</v>
      </c>
      <c r="BN65" s="274">
        <v>35.450000000000003</v>
      </c>
      <c r="BO65" s="274">
        <v>40.479999999999997</v>
      </c>
      <c r="BP65" s="280"/>
      <c r="BQ65" s="266"/>
      <c r="BR65" s="266"/>
      <c r="BS65" s="270"/>
    </row>
    <row r="66" spans="1:71">
      <c r="A66" s="251"/>
      <c r="B66" s="251"/>
      <c r="C66" s="251"/>
      <c r="D66" s="251"/>
      <c r="E66" s="582"/>
      <c r="F66" s="583"/>
      <c r="G66" s="583"/>
      <c r="H66" s="584"/>
      <c r="I66" s="573"/>
      <c r="J66" s="574"/>
      <c r="K66" s="574"/>
      <c r="L66" s="575"/>
      <c r="M66" s="573"/>
      <c r="N66" s="574"/>
      <c r="O66" s="574"/>
      <c r="P66" s="575"/>
      <c r="Q66" s="573"/>
      <c r="R66" s="574"/>
      <c r="S66" s="574"/>
      <c r="T66" s="575"/>
      <c r="U66" s="573"/>
      <c r="V66" s="574"/>
      <c r="W66" s="574"/>
      <c r="X66" s="575"/>
      <c r="Y66" s="573"/>
      <c r="Z66" s="574"/>
      <c r="AA66" s="574"/>
      <c r="AB66" s="575"/>
      <c r="AC66" s="258"/>
      <c r="AD66" s="259"/>
      <c r="AE66" s="259"/>
      <c r="AF66" s="260"/>
      <c r="AG66" s="258"/>
      <c r="AH66" s="259"/>
      <c r="AI66" s="259"/>
      <c r="AJ66" s="260"/>
      <c r="AK66" s="258"/>
      <c r="AL66" s="259"/>
      <c r="AM66" s="259"/>
      <c r="AN66" s="260"/>
      <c r="AO66" s="258"/>
      <c r="AP66" s="259"/>
      <c r="AQ66" s="259"/>
      <c r="AR66" s="260"/>
      <c r="AS66" s="258"/>
      <c r="AT66" s="259"/>
      <c r="AU66" s="259"/>
      <c r="AV66" s="260"/>
      <c r="AW66" s="258"/>
      <c r="AX66" s="259"/>
      <c r="AY66" s="259"/>
      <c r="AZ66" s="260"/>
      <c r="BG66" s="243"/>
      <c r="BH66" s="243"/>
      <c r="BI66" s="243"/>
      <c r="BJ66" s="280">
        <v>40</v>
      </c>
      <c r="BK66" s="274">
        <v>24.67</v>
      </c>
      <c r="BL66" s="274">
        <v>27.15</v>
      </c>
      <c r="BM66" s="274">
        <v>33.950000000000003</v>
      </c>
      <c r="BN66" s="274">
        <v>36.07</v>
      </c>
      <c r="BO66" s="274">
        <v>41.21</v>
      </c>
      <c r="BP66" s="280"/>
      <c r="BQ66" s="266"/>
      <c r="BR66" s="266"/>
      <c r="BS66" s="270"/>
    </row>
    <row r="67" spans="1:71">
      <c r="A67" s="251"/>
      <c r="B67" s="251"/>
      <c r="C67" s="251"/>
      <c r="D67" s="251"/>
      <c r="E67" s="576"/>
      <c r="F67" s="577"/>
      <c r="G67" s="577"/>
      <c r="H67" s="578"/>
      <c r="I67" s="579"/>
      <c r="J67" s="580"/>
      <c r="K67" s="580"/>
      <c r="L67" s="581"/>
      <c r="M67" s="579"/>
      <c r="N67" s="580"/>
      <c r="O67" s="580"/>
      <c r="P67" s="581"/>
      <c r="Q67" s="579"/>
      <c r="R67" s="580"/>
      <c r="S67" s="580"/>
      <c r="T67" s="581"/>
      <c r="U67" s="579"/>
      <c r="V67" s="580"/>
      <c r="W67" s="580"/>
      <c r="X67" s="581"/>
      <c r="Y67" s="579"/>
      <c r="Z67" s="580"/>
      <c r="AA67" s="580"/>
      <c r="AB67" s="581"/>
      <c r="AC67" s="258"/>
      <c r="AD67" s="259"/>
      <c r="AE67" s="259"/>
      <c r="AF67" s="260"/>
      <c r="AG67" s="258"/>
      <c r="AH67" s="259"/>
      <c r="AI67" s="259"/>
      <c r="AJ67" s="260"/>
      <c r="AK67" s="258"/>
      <c r="AL67" s="259"/>
      <c r="AM67" s="259"/>
      <c r="AN67" s="260"/>
      <c r="AO67" s="258"/>
      <c r="AP67" s="259"/>
      <c r="AQ67" s="259"/>
      <c r="AR67" s="260"/>
      <c r="AS67" s="258"/>
      <c r="AT67" s="259"/>
      <c r="AU67" s="259"/>
      <c r="AV67" s="260"/>
      <c r="AW67" s="258"/>
      <c r="AX67" s="259"/>
      <c r="AY67" s="259"/>
      <c r="AZ67" s="260"/>
      <c r="BG67" s="243"/>
      <c r="BH67" s="243"/>
      <c r="BI67" s="243"/>
      <c r="BJ67" s="280">
        <v>41</v>
      </c>
      <c r="BK67" s="274">
        <v>25.09</v>
      </c>
      <c r="BL67" s="274">
        <v>27.59</v>
      </c>
      <c r="BM67" s="274">
        <v>34.53</v>
      </c>
      <c r="BN67" s="274">
        <v>36.69</v>
      </c>
      <c r="BO67" s="274">
        <v>41.94</v>
      </c>
      <c r="BP67" s="280"/>
      <c r="BQ67" s="266"/>
      <c r="BR67" s="266"/>
      <c r="BS67" s="270"/>
    </row>
    <row r="68" spans="1:71">
      <c r="A68" s="251"/>
      <c r="B68" s="251"/>
      <c r="C68" s="251"/>
      <c r="D68" s="251"/>
      <c r="E68" s="582"/>
      <c r="F68" s="583"/>
      <c r="G68" s="583"/>
      <c r="H68" s="584"/>
      <c r="I68" s="573"/>
      <c r="J68" s="574"/>
      <c r="K68" s="574"/>
      <c r="L68" s="575"/>
      <c r="M68" s="573"/>
      <c r="N68" s="574"/>
      <c r="O68" s="574"/>
      <c r="P68" s="575"/>
      <c r="Q68" s="573"/>
      <c r="R68" s="574"/>
      <c r="S68" s="574"/>
      <c r="T68" s="575"/>
      <c r="U68" s="573"/>
      <c r="V68" s="574"/>
      <c r="W68" s="574"/>
      <c r="X68" s="575"/>
      <c r="Y68" s="573"/>
      <c r="Z68" s="574"/>
      <c r="AA68" s="574"/>
      <c r="AB68" s="575"/>
      <c r="AC68" s="258"/>
      <c r="AD68" s="259"/>
      <c r="AE68" s="259"/>
      <c r="AF68" s="260"/>
      <c r="AG68" s="258"/>
      <c r="AH68" s="259"/>
      <c r="AI68" s="259"/>
      <c r="AJ68" s="260"/>
      <c r="AK68" s="258"/>
      <c r="AL68" s="259"/>
      <c r="AM68" s="259"/>
      <c r="AN68" s="260"/>
      <c r="AO68" s="258"/>
      <c r="AP68" s="259"/>
      <c r="AQ68" s="259"/>
      <c r="AR68" s="260"/>
      <c r="AS68" s="258"/>
      <c r="AT68" s="259"/>
      <c r="AU68" s="259"/>
      <c r="AV68" s="260"/>
      <c r="AW68" s="258"/>
      <c r="AX68" s="259"/>
      <c r="AY68" s="259"/>
      <c r="AZ68" s="260"/>
      <c r="BG68" s="243"/>
      <c r="BH68" s="243"/>
      <c r="BI68" s="243"/>
      <c r="BJ68" s="280">
        <v>42</v>
      </c>
      <c r="BK68" s="274">
        <v>25.51</v>
      </c>
      <c r="BL68" s="274">
        <v>28.03</v>
      </c>
      <c r="BM68" s="274">
        <v>35.119999999999997</v>
      </c>
      <c r="BN68" s="274">
        <v>37.31</v>
      </c>
      <c r="BO68" s="274">
        <v>42.66</v>
      </c>
      <c r="BP68" s="280"/>
      <c r="BQ68" s="266"/>
      <c r="BR68" s="266"/>
      <c r="BS68" s="270"/>
    </row>
    <row r="69" spans="1:71">
      <c r="A69" s="251"/>
      <c r="B69" s="251"/>
      <c r="C69" s="251"/>
      <c r="D69" s="251"/>
      <c r="E69" s="576"/>
      <c r="F69" s="577"/>
      <c r="G69" s="577"/>
      <c r="H69" s="578"/>
      <c r="I69" s="579"/>
      <c r="J69" s="580"/>
      <c r="K69" s="580"/>
      <c r="L69" s="581"/>
      <c r="M69" s="579"/>
      <c r="N69" s="580"/>
      <c r="O69" s="580"/>
      <c r="P69" s="581"/>
      <c r="Q69" s="579"/>
      <c r="R69" s="580"/>
      <c r="S69" s="580"/>
      <c r="T69" s="581"/>
      <c r="U69" s="579"/>
      <c r="V69" s="580"/>
      <c r="W69" s="580"/>
      <c r="X69" s="581"/>
      <c r="Y69" s="579"/>
      <c r="Z69" s="580"/>
      <c r="AA69" s="580"/>
      <c r="AB69" s="581"/>
      <c r="AC69" s="258"/>
      <c r="AD69" s="259"/>
      <c r="AE69" s="259"/>
      <c r="AF69" s="260"/>
      <c r="AG69" s="258"/>
      <c r="AH69" s="259"/>
      <c r="AI69" s="259"/>
      <c r="AJ69" s="260"/>
      <c r="AK69" s="258"/>
      <c r="AL69" s="259"/>
      <c r="AM69" s="259"/>
      <c r="AN69" s="260"/>
      <c r="AO69" s="258"/>
      <c r="AP69" s="259"/>
      <c r="AQ69" s="259"/>
      <c r="AR69" s="260"/>
      <c r="AS69" s="258"/>
      <c r="AT69" s="259"/>
      <c r="AU69" s="259"/>
      <c r="AV69" s="260"/>
      <c r="AW69" s="258"/>
      <c r="AX69" s="259"/>
      <c r="AY69" s="259"/>
      <c r="AZ69" s="260"/>
      <c r="BG69" s="243"/>
      <c r="BH69" s="243"/>
      <c r="BI69" s="243"/>
      <c r="BJ69" s="280">
        <v>43</v>
      </c>
      <c r="BK69" s="274">
        <v>25.93</v>
      </c>
      <c r="BL69" s="274">
        <v>28.46</v>
      </c>
      <c r="BM69" s="274">
        <v>35.700000000000003</v>
      </c>
      <c r="BN69" s="274">
        <v>37.93</v>
      </c>
      <c r="BO69" s="274">
        <v>43.39</v>
      </c>
      <c r="BP69" s="280"/>
      <c r="BQ69" s="266"/>
      <c r="BR69" s="266"/>
      <c r="BS69" s="270"/>
    </row>
    <row r="70" spans="1:71">
      <c r="A70" s="251"/>
      <c r="B70" s="251"/>
      <c r="C70" s="251"/>
      <c r="D70" s="251"/>
      <c r="E70" s="582"/>
      <c r="F70" s="583"/>
      <c r="G70" s="583"/>
      <c r="H70" s="584"/>
      <c r="I70" s="573"/>
      <c r="J70" s="574"/>
      <c r="K70" s="574"/>
      <c r="L70" s="575"/>
      <c r="M70" s="573"/>
      <c r="N70" s="574"/>
      <c r="O70" s="574"/>
      <c r="P70" s="575"/>
      <c r="Q70" s="573"/>
      <c r="R70" s="574"/>
      <c r="S70" s="574"/>
      <c r="T70" s="575"/>
      <c r="U70" s="573"/>
      <c r="V70" s="574"/>
      <c r="W70" s="574"/>
      <c r="X70" s="575"/>
      <c r="Y70" s="573"/>
      <c r="Z70" s="574"/>
      <c r="AA70" s="574"/>
      <c r="AB70" s="575"/>
      <c r="AC70" s="258"/>
      <c r="AD70" s="259"/>
      <c r="AE70" s="259"/>
      <c r="AF70" s="260"/>
      <c r="AG70" s="258"/>
      <c r="AH70" s="259"/>
      <c r="AI70" s="259"/>
      <c r="AJ70" s="260"/>
      <c r="AK70" s="258"/>
      <c r="AL70" s="259"/>
      <c r="AM70" s="259"/>
      <c r="AN70" s="260"/>
      <c r="AO70" s="258"/>
      <c r="AP70" s="259"/>
      <c r="AQ70" s="259"/>
      <c r="AR70" s="260"/>
      <c r="AS70" s="258"/>
      <c r="AT70" s="259"/>
      <c r="AU70" s="259"/>
      <c r="AV70" s="260"/>
      <c r="AW70" s="258"/>
      <c r="AX70" s="259"/>
      <c r="AY70" s="259"/>
      <c r="AZ70" s="260"/>
      <c r="BG70" s="243"/>
      <c r="BH70" s="243"/>
      <c r="BI70" s="243"/>
      <c r="BJ70" s="280">
        <v>44</v>
      </c>
      <c r="BK70" s="274">
        <v>26.35</v>
      </c>
      <c r="BL70" s="274">
        <v>28.9</v>
      </c>
      <c r="BM70" s="274">
        <v>36.29</v>
      </c>
      <c r="BN70" s="274">
        <v>38.549999999999997</v>
      </c>
      <c r="BO70" s="274">
        <v>44.12</v>
      </c>
      <c r="BP70" s="280"/>
      <c r="BQ70" s="266"/>
      <c r="BR70" s="266"/>
      <c r="BS70" s="270"/>
    </row>
    <row r="71" spans="1:71">
      <c r="A71" s="251"/>
      <c r="B71" s="251"/>
      <c r="C71" s="251"/>
      <c r="D71" s="251"/>
      <c r="E71" s="576"/>
      <c r="F71" s="577"/>
      <c r="G71" s="577"/>
      <c r="H71" s="578"/>
      <c r="I71" s="579"/>
      <c r="J71" s="580"/>
      <c r="K71" s="580"/>
      <c r="L71" s="581"/>
      <c r="M71" s="579"/>
      <c r="N71" s="580"/>
      <c r="O71" s="580"/>
      <c r="P71" s="581"/>
      <c r="Q71" s="579"/>
      <c r="R71" s="580"/>
      <c r="S71" s="580"/>
      <c r="T71" s="581"/>
      <c r="U71" s="579"/>
      <c r="V71" s="580"/>
      <c r="W71" s="580"/>
      <c r="X71" s="581"/>
      <c r="Y71" s="579"/>
      <c r="Z71" s="580"/>
      <c r="AA71" s="580"/>
      <c r="AB71" s="581"/>
      <c r="AC71" s="258"/>
      <c r="AD71" s="259"/>
      <c r="AE71" s="259"/>
      <c r="AF71" s="260"/>
      <c r="AG71" s="258"/>
      <c r="AH71" s="259"/>
      <c r="AI71" s="259"/>
      <c r="AJ71" s="260"/>
      <c r="AK71" s="258"/>
      <c r="AL71" s="259"/>
      <c r="AM71" s="259"/>
      <c r="AN71" s="260"/>
      <c r="AO71" s="258"/>
      <c r="AP71" s="259"/>
      <c r="AQ71" s="259"/>
      <c r="AR71" s="260"/>
      <c r="AS71" s="258"/>
      <c r="AT71" s="259"/>
      <c r="AU71" s="259"/>
      <c r="AV71" s="260"/>
      <c r="AW71" s="258"/>
      <c r="AX71" s="259"/>
      <c r="AY71" s="259"/>
      <c r="AZ71" s="260"/>
      <c r="BG71" s="243"/>
      <c r="BH71" s="243"/>
      <c r="BI71" s="243"/>
      <c r="BJ71" s="280">
        <v>45</v>
      </c>
      <c r="BK71" s="274">
        <v>26.77</v>
      </c>
      <c r="BL71" s="274">
        <v>29.34</v>
      </c>
      <c r="BM71" s="274">
        <v>36.880000000000003</v>
      </c>
      <c r="BN71" s="274">
        <v>39.17</v>
      </c>
      <c r="BO71" s="274">
        <v>44.85</v>
      </c>
      <c r="BP71" s="280"/>
      <c r="BQ71" s="266"/>
      <c r="BR71" s="266"/>
      <c r="BS71" s="270"/>
    </row>
    <row r="72" spans="1:71">
      <c r="A72" s="251"/>
      <c r="B72" s="251"/>
      <c r="C72" s="251"/>
      <c r="D72" s="251"/>
      <c r="E72" s="582"/>
      <c r="F72" s="583"/>
      <c r="G72" s="583"/>
      <c r="H72" s="584"/>
      <c r="I72" s="573"/>
      <c r="J72" s="574"/>
      <c r="K72" s="574"/>
      <c r="L72" s="575"/>
      <c r="M72" s="573"/>
      <c r="N72" s="574"/>
      <c r="O72" s="574"/>
      <c r="P72" s="575"/>
      <c r="Q72" s="573"/>
      <c r="R72" s="574"/>
      <c r="S72" s="574"/>
      <c r="T72" s="575"/>
      <c r="U72" s="573"/>
      <c r="V72" s="574"/>
      <c r="W72" s="574"/>
      <c r="X72" s="575"/>
      <c r="Y72" s="573"/>
      <c r="Z72" s="574"/>
      <c r="AA72" s="574"/>
      <c r="AB72" s="575"/>
      <c r="AC72" s="258"/>
      <c r="AD72" s="259"/>
      <c r="AE72" s="259"/>
      <c r="AF72" s="260"/>
      <c r="AG72" s="258"/>
      <c r="AH72" s="259"/>
      <c r="AI72" s="259"/>
      <c r="AJ72" s="260"/>
      <c r="AK72" s="258"/>
      <c r="AL72" s="259"/>
      <c r="AM72" s="259"/>
      <c r="AN72" s="260"/>
      <c r="AO72" s="258"/>
      <c r="AP72" s="259"/>
      <c r="AQ72" s="259"/>
      <c r="AR72" s="260"/>
      <c r="AS72" s="258"/>
      <c r="AT72" s="259"/>
      <c r="AU72" s="259"/>
      <c r="AV72" s="260"/>
      <c r="AW72" s="258"/>
      <c r="AX72" s="259"/>
      <c r="AY72" s="259"/>
      <c r="AZ72" s="260"/>
      <c r="BG72" s="243"/>
      <c r="BH72" s="243"/>
      <c r="BI72" s="243"/>
      <c r="BJ72" s="280">
        <v>46</v>
      </c>
      <c r="BK72" s="274">
        <v>27.19</v>
      </c>
      <c r="BL72" s="274">
        <v>29.78</v>
      </c>
      <c r="BM72" s="274">
        <v>37.46</v>
      </c>
      <c r="BN72" s="274">
        <v>39.79</v>
      </c>
      <c r="BO72" s="274">
        <v>45.58</v>
      </c>
      <c r="BP72" s="280"/>
      <c r="BQ72" s="266"/>
      <c r="BR72" s="266"/>
      <c r="BS72" s="270"/>
    </row>
    <row r="73" spans="1:71">
      <c r="A73" s="251"/>
      <c r="B73" s="251"/>
      <c r="C73" s="251"/>
      <c r="D73" s="251"/>
      <c r="E73" s="576"/>
      <c r="F73" s="577"/>
      <c r="G73" s="577"/>
      <c r="H73" s="578"/>
      <c r="I73" s="579"/>
      <c r="J73" s="580"/>
      <c r="K73" s="580"/>
      <c r="L73" s="581"/>
      <c r="M73" s="579"/>
      <c r="N73" s="580"/>
      <c r="O73" s="580"/>
      <c r="P73" s="581"/>
      <c r="Q73" s="579"/>
      <c r="R73" s="580"/>
      <c r="S73" s="580"/>
      <c r="T73" s="581"/>
      <c r="U73" s="579"/>
      <c r="V73" s="580"/>
      <c r="W73" s="580"/>
      <c r="X73" s="581"/>
      <c r="Y73" s="579"/>
      <c r="Z73" s="580"/>
      <c r="AA73" s="580"/>
      <c r="AB73" s="581"/>
      <c r="AC73" s="258"/>
      <c r="AD73" s="259"/>
      <c r="AE73" s="259"/>
      <c r="AF73" s="260"/>
      <c r="AG73" s="258"/>
      <c r="AH73" s="259"/>
      <c r="AI73" s="259"/>
      <c r="AJ73" s="260"/>
      <c r="AK73" s="258"/>
      <c r="AL73" s="259"/>
      <c r="AM73" s="259"/>
      <c r="AN73" s="260"/>
      <c r="AO73" s="258"/>
      <c r="AP73" s="259"/>
      <c r="AQ73" s="259"/>
      <c r="AR73" s="260"/>
      <c r="AS73" s="258"/>
      <c r="AT73" s="259"/>
      <c r="AU73" s="259"/>
      <c r="AV73" s="260"/>
      <c r="AW73" s="258"/>
      <c r="AX73" s="259"/>
      <c r="AY73" s="259"/>
      <c r="AZ73" s="260"/>
      <c r="BG73" s="243"/>
      <c r="BH73" s="243"/>
      <c r="BI73" s="243"/>
      <c r="BJ73" s="280">
        <v>47</v>
      </c>
      <c r="BK73" s="274">
        <v>27.61</v>
      </c>
      <c r="BL73" s="274">
        <v>30.22</v>
      </c>
      <c r="BM73" s="274">
        <v>38.049999999999997</v>
      </c>
      <c r="BN73" s="274">
        <v>40.409999999999997</v>
      </c>
      <c r="BO73" s="274">
        <v>46.3</v>
      </c>
      <c r="BP73" s="280"/>
      <c r="BQ73" s="266"/>
      <c r="BR73" s="266"/>
      <c r="BS73" s="270"/>
    </row>
    <row r="74" spans="1:71">
      <c r="A74" s="251"/>
      <c r="B74" s="251"/>
      <c r="C74" s="251"/>
      <c r="D74" s="251"/>
      <c r="E74" s="582"/>
      <c r="F74" s="583"/>
      <c r="G74" s="583"/>
      <c r="H74" s="584"/>
      <c r="I74" s="573"/>
      <c r="J74" s="574"/>
      <c r="K74" s="574"/>
      <c r="L74" s="575"/>
      <c r="M74" s="573"/>
      <c r="N74" s="574"/>
      <c r="O74" s="574"/>
      <c r="P74" s="575"/>
      <c r="Q74" s="573"/>
      <c r="R74" s="574"/>
      <c r="S74" s="574"/>
      <c r="T74" s="575"/>
      <c r="U74" s="573"/>
      <c r="V74" s="574"/>
      <c r="W74" s="574"/>
      <c r="X74" s="575"/>
      <c r="Y74" s="573"/>
      <c r="Z74" s="574"/>
      <c r="AA74" s="574"/>
      <c r="AB74" s="575"/>
      <c r="AC74" s="258"/>
      <c r="AD74" s="259"/>
      <c r="AE74" s="259"/>
      <c r="AF74" s="260"/>
      <c r="AG74" s="258"/>
      <c r="AH74" s="259"/>
      <c r="AI74" s="259"/>
      <c r="AJ74" s="260"/>
      <c r="AK74" s="258"/>
      <c r="AL74" s="259"/>
      <c r="AM74" s="259"/>
      <c r="AN74" s="260"/>
      <c r="AO74" s="258"/>
      <c r="AP74" s="259"/>
      <c r="AQ74" s="259"/>
      <c r="AR74" s="260"/>
      <c r="AS74" s="258"/>
      <c r="AT74" s="259"/>
      <c r="AU74" s="259"/>
      <c r="AV74" s="260"/>
      <c r="AW74" s="258"/>
      <c r="AX74" s="259"/>
      <c r="AY74" s="259"/>
      <c r="AZ74" s="260"/>
      <c r="BG74" s="243"/>
      <c r="BH74" s="243"/>
      <c r="BI74" s="243"/>
      <c r="BJ74" s="280">
        <v>48</v>
      </c>
      <c r="BK74" s="274">
        <v>28.03</v>
      </c>
      <c r="BL74" s="274">
        <v>30.65</v>
      </c>
      <c r="BM74" s="274">
        <v>38.630000000000003</v>
      </c>
      <c r="BN74" s="274">
        <v>41.03</v>
      </c>
      <c r="BO74" s="274">
        <v>47.03</v>
      </c>
      <c r="BP74" s="280"/>
      <c r="BQ74" s="266"/>
      <c r="BR74" s="266"/>
      <c r="BS74" s="270"/>
    </row>
    <row r="75" spans="1:71">
      <c r="A75" s="251"/>
      <c r="B75" s="251"/>
      <c r="C75" s="251"/>
      <c r="D75" s="251"/>
      <c r="E75" s="576"/>
      <c r="F75" s="577"/>
      <c r="G75" s="577"/>
      <c r="H75" s="578"/>
      <c r="I75" s="579"/>
      <c r="J75" s="580"/>
      <c r="K75" s="580"/>
      <c r="L75" s="581"/>
      <c r="M75" s="579"/>
      <c r="N75" s="580"/>
      <c r="O75" s="580"/>
      <c r="P75" s="581"/>
      <c r="Q75" s="579"/>
      <c r="R75" s="580"/>
      <c r="S75" s="580"/>
      <c r="T75" s="581"/>
      <c r="U75" s="579"/>
      <c r="V75" s="580"/>
      <c r="W75" s="580"/>
      <c r="X75" s="581"/>
      <c r="Y75" s="579"/>
      <c r="Z75" s="580"/>
      <c r="AA75" s="580"/>
      <c r="AB75" s="581"/>
      <c r="AC75" s="258"/>
      <c r="AD75" s="259"/>
      <c r="AE75" s="259"/>
      <c r="AF75" s="260"/>
      <c r="AG75" s="258"/>
      <c r="AH75" s="259"/>
      <c r="AI75" s="259"/>
      <c r="AJ75" s="260"/>
      <c r="AK75" s="258"/>
      <c r="AL75" s="259"/>
      <c r="AM75" s="259"/>
      <c r="AN75" s="260"/>
      <c r="AO75" s="258"/>
      <c r="AP75" s="259"/>
      <c r="AQ75" s="259"/>
      <c r="AR75" s="260"/>
      <c r="AS75" s="258"/>
      <c r="AT75" s="259"/>
      <c r="AU75" s="259"/>
      <c r="AV75" s="260"/>
      <c r="AW75" s="258"/>
      <c r="AX75" s="259"/>
      <c r="AY75" s="259"/>
      <c r="AZ75" s="260"/>
      <c r="BG75" s="243"/>
      <c r="BH75" s="243"/>
      <c r="BI75" s="243"/>
      <c r="BJ75" s="280">
        <v>49</v>
      </c>
      <c r="BK75" s="274">
        <v>28.45</v>
      </c>
      <c r="BL75" s="274">
        <v>31.09</v>
      </c>
      <c r="BM75" s="274">
        <v>39.22</v>
      </c>
      <c r="BN75" s="274">
        <v>41.65</v>
      </c>
      <c r="BO75" s="274">
        <v>47.76</v>
      </c>
      <c r="BP75" s="280"/>
      <c r="BQ75" s="266"/>
      <c r="BR75" s="266"/>
      <c r="BS75" s="270"/>
    </row>
    <row r="76" spans="1:71">
      <c r="A76" s="251"/>
      <c r="B76" s="251"/>
      <c r="C76" s="251"/>
      <c r="D76" s="251"/>
      <c r="E76" s="582"/>
      <c r="F76" s="583"/>
      <c r="G76" s="583"/>
      <c r="H76" s="584"/>
      <c r="I76" s="573"/>
      <c r="J76" s="574"/>
      <c r="K76" s="574"/>
      <c r="L76" s="575"/>
      <c r="M76" s="573"/>
      <c r="N76" s="574"/>
      <c r="O76" s="574"/>
      <c r="P76" s="575"/>
      <c r="Q76" s="573"/>
      <c r="R76" s="574"/>
      <c r="S76" s="574"/>
      <c r="T76" s="575"/>
      <c r="U76" s="573"/>
      <c r="V76" s="574"/>
      <c r="W76" s="574"/>
      <c r="X76" s="575"/>
      <c r="Y76" s="573"/>
      <c r="Z76" s="574"/>
      <c r="AA76" s="574"/>
      <c r="AB76" s="575"/>
      <c r="AC76" s="258"/>
      <c r="AD76" s="259"/>
      <c r="AE76" s="259"/>
      <c r="AF76" s="260"/>
      <c r="AG76" s="258"/>
      <c r="AH76" s="259"/>
      <c r="AI76" s="259"/>
      <c r="AJ76" s="260"/>
      <c r="AK76" s="258"/>
      <c r="AL76" s="259"/>
      <c r="AM76" s="259"/>
      <c r="AN76" s="260"/>
      <c r="AO76" s="258"/>
      <c r="AP76" s="259"/>
      <c r="AQ76" s="259"/>
      <c r="AR76" s="260"/>
      <c r="AS76" s="258"/>
      <c r="AT76" s="259"/>
      <c r="AU76" s="259"/>
      <c r="AV76" s="260"/>
      <c r="AW76" s="258"/>
      <c r="AX76" s="259"/>
      <c r="AY76" s="259"/>
      <c r="AZ76" s="260"/>
      <c r="BG76" s="243"/>
      <c r="BH76" s="243"/>
      <c r="BI76" s="243"/>
      <c r="BJ76" s="280">
        <v>50</v>
      </c>
      <c r="BK76" s="274">
        <v>28.88</v>
      </c>
      <c r="BL76" s="274">
        <v>31.53</v>
      </c>
      <c r="BM76" s="274">
        <v>39.81</v>
      </c>
      <c r="BN76" s="274">
        <v>42.27</v>
      </c>
      <c r="BO76" s="274">
        <v>48.49</v>
      </c>
      <c r="BP76" s="280"/>
      <c r="BQ76" s="266"/>
      <c r="BR76" s="266"/>
      <c r="BS76" s="270"/>
    </row>
    <row r="77" spans="1:71">
      <c r="A77" s="251"/>
      <c r="B77" s="251"/>
      <c r="C77" s="251"/>
      <c r="D77" s="251"/>
      <c r="E77" s="576"/>
      <c r="F77" s="577"/>
      <c r="G77" s="577"/>
      <c r="H77" s="578"/>
      <c r="I77" s="579"/>
      <c r="J77" s="580"/>
      <c r="K77" s="580"/>
      <c r="L77" s="581"/>
      <c r="M77" s="579"/>
      <c r="N77" s="580"/>
      <c r="O77" s="580"/>
      <c r="P77" s="581"/>
      <c r="Q77" s="579"/>
      <c r="R77" s="580"/>
      <c r="S77" s="580"/>
      <c r="T77" s="581"/>
      <c r="U77" s="579"/>
      <c r="V77" s="580"/>
      <c r="W77" s="580"/>
      <c r="X77" s="581"/>
      <c r="Y77" s="579"/>
      <c r="Z77" s="580"/>
      <c r="AA77" s="580"/>
      <c r="AB77" s="581"/>
      <c r="AC77" s="258"/>
      <c r="AD77" s="259"/>
      <c r="AE77" s="259"/>
      <c r="AF77" s="260"/>
      <c r="AG77" s="258"/>
      <c r="AH77" s="259"/>
      <c r="AI77" s="259"/>
      <c r="AJ77" s="260"/>
      <c r="AK77" s="258"/>
      <c r="AL77" s="259"/>
      <c r="AM77" s="259"/>
      <c r="AN77" s="260"/>
      <c r="AO77" s="258"/>
      <c r="AP77" s="259"/>
      <c r="AQ77" s="259"/>
      <c r="AR77" s="260"/>
      <c r="AS77" s="258"/>
      <c r="AT77" s="259"/>
      <c r="AU77" s="259"/>
      <c r="AV77" s="260"/>
      <c r="AW77" s="258"/>
      <c r="AX77" s="259"/>
      <c r="AY77" s="259"/>
      <c r="AZ77" s="260"/>
      <c r="BG77" s="243"/>
      <c r="BH77" s="243"/>
      <c r="BI77" s="243"/>
      <c r="BJ77" s="280">
        <v>51</v>
      </c>
      <c r="BK77" s="274">
        <v>29.3</v>
      </c>
      <c r="BL77" s="274">
        <v>31.97</v>
      </c>
      <c r="BM77" s="274">
        <v>40.39</v>
      </c>
      <c r="BN77" s="274">
        <v>42.89</v>
      </c>
      <c r="BO77" s="274">
        <v>49.22</v>
      </c>
      <c r="BP77" s="280"/>
      <c r="BQ77" s="266"/>
      <c r="BR77" s="266"/>
      <c r="BS77" s="270"/>
    </row>
    <row r="78" spans="1:71">
      <c r="A78" s="251"/>
      <c r="B78" s="251"/>
      <c r="C78" s="251"/>
      <c r="D78" s="251"/>
      <c r="E78" s="582"/>
      <c r="F78" s="583"/>
      <c r="G78" s="583"/>
      <c r="H78" s="584"/>
      <c r="I78" s="573"/>
      <c r="J78" s="574"/>
      <c r="K78" s="574"/>
      <c r="L78" s="575"/>
      <c r="M78" s="573"/>
      <c r="N78" s="574"/>
      <c r="O78" s="574"/>
      <c r="P78" s="575"/>
      <c r="Q78" s="573"/>
      <c r="R78" s="574"/>
      <c r="S78" s="574"/>
      <c r="T78" s="575"/>
      <c r="U78" s="573"/>
      <c r="V78" s="574"/>
      <c r="W78" s="574"/>
      <c r="X78" s="575"/>
      <c r="Y78" s="573"/>
      <c r="Z78" s="574"/>
      <c r="AA78" s="574"/>
      <c r="AB78" s="575"/>
      <c r="AC78" s="258"/>
      <c r="AD78" s="259"/>
      <c r="AE78" s="259"/>
      <c r="AF78" s="260"/>
      <c r="AG78" s="258"/>
      <c r="AH78" s="259"/>
      <c r="AI78" s="259"/>
      <c r="AJ78" s="260"/>
      <c r="AK78" s="258"/>
      <c r="AL78" s="259"/>
      <c r="AM78" s="259"/>
      <c r="AN78" s="260"/>
      <c r="AO78" s="258"/>
      <c r="AP78" s="259"/>
      <c r="AQ78" s="259"/>
      <c r="AR78" s="260"/>
      <c r="AS78" s="258"/>
      <c r="AT78" s="259"/>
      <c r="AU78" s="259"/>
      <c r="AV78" s="260"/>
      <c r="AW78" s="258"/>
      <c r="AX78" s="259"/>
      <c r="AY78" s="259"/>
      <c r="AZ78" s="260"/>
      <c r="BG78" s="243"/>
      <c r="BH78" s="243"/>
      <c r="BI78" s="243"/>
      <c r="BJ78" s="280">
        <v>52</v>
      </c>
      <c r="BK78" s="274">
        <v>29.72</v>
      </c>
      <c r="BL78" s="274">
        <v>32.4</v>
      </c>
      <c r="BM78" s="274">
        <v>40.98</v>
      </c>
      <c r="BN78" s="274">
        <v>43.51</v>
      </c>
      <c r="BO78" s="274">
        <v>49.94</v>
      </c>
      <c r="BP78" s="280"/>
      <c r="BQ78" s="266"/>
      <c r="BR78" s="266"/>
      <c r="BS78" s="270"/>
    </row>
    <row r="79" spans="1:71">
      <c r="A79" s="251"/>
      <c r="B79" s="251"/>
      <c r="C79" s="251"/>
      <c r="D79" s="251"/>
      <c r="E79" s="576"/>
      <c r="F79" s="577"/>
      <c r="G79" s="577"/>
      <c r="H79" s="578"/>
      <c r="I79" s="579"/>
      <c r="J79" s="580"/>
      <c r="K79" s="580"/>
      <c r="L79" s="581"/>
      <c r="M79" s="579"/>
      <c r="N79" s="580"/>
      <c r="O79" s="580"/>
      <c r="P79" s="581"/>
      <c r="Q79" s="579"/>
      <c r="R79" s="580"/>
      <c r="S79" s="580"/>
      <c r="T79" s="581"/>
      <c r="U79" s="579"/>
      <c r="V79" s="580"/>
      <c r="W79" s="580"/>
      <c r="X79" s="581"/>
      <c r="Y79" s="579"/>
      <c r="Z79" s="580"/>
      <c r="AA79" s="580"/>
      <c r="AB79" s="581"/>
      <c r="AC79" s="258"/>
      <c r="AD79" s="259"/>
      <c r="AE79" s="259"/>
      <c r="AF79" s="260"/>
      <c r="AG79" s="258"/>
      <c r="AH79" s="259"/>
      <c r="AI79" s="259"/>
      <c r="AJ79" s="260"/>
      <c r="AK79" s="258"/>
      <c r="AL79" s="259"/>
      <c r="AM79" s="259"/>
      <c r="AN79" s="260"/>
      <c r="AO79" s="258"/>
      <c r="AP79" s="259"/>
      <c r="AQ79" s="259"/>
      <c r="AR79" s="260"/>
      <c r="AS79" s="258"/>
      <c r="AT79" s="259"/>
      <c r="AU79" s="259"/>
      <c r="AV79" s="260"/>
      <c r="AW79" s="258"/>
      <c r="AX79" s="259"/>
      <c r="AY79" s="259"/>
      <c r="AZ79" s="260"/>
      <c r="BG79" s="243"/>
      <c r="BH79" s="243"/>
      <c r="BI79" s="243"/>
      <c r="BJ79" s="280">
        <v>53</v>
      </c>
      <c r="BK79" s="274">
        <v>30.14</v>
      </c>
      <c r="BL79" s="274">
        <v>32.840000000000003</v>
      </c>
      <c r="BM79" s="274">
        <v>41.56</v>
      </c>
      <c r="BN79" s="274">
        <v>44.14</v>
      </c>
      <c r="BO79" s="274">
        <v>50.67</v>
      </c>
      <c r="BP79" s="280"/>
      <c r="BQ79" s="266"/>
      <c r="BR79" s="266"/>
      <c r="BS79" s="270"/>
    </row>
    <row r="80" spans="1:71">
      <c r="A80" s="251"/>
      <c r="B80" s="251"/>
      <c r="C80" s="251"/>
      <c r="D80" s="251"/>
      <c r="E80" s="582"/>
      <c r="F80" s="583"/>
      <c r="G80" s="583"/>
      <c r="H80" s="584"/>
      <c r="I80" s="573"/>
      <c r="J80" s="574"/>
      <c r="K80" s="574"/>
      <c r="L80" s="575"/>
      <c r="M80" s="573"/>
      <c r="N80" s="574"/>
      <c r="O80" s="574"/>
      <c r="P80" s="575"/>
      <c r="Q80" s="573"/>
      <c r="R80" s="574"/>
      <c r="S80" s="574"/>
      <c r="T80" s="575"/>
      <c r="U80" s="573"/>
      <c r="V80" s="574"/>
      <c r="W80" s="574"/>
      <c r="X80" s="575"/>
      <c r="Y80" s="573"/>
      <c r="Z80" s="574"/>
      <c r="AA80" s="574"/>
      <c r="AB80" s="575"/>
      <c r="AC80" s="258"/>
      <c r="AD80" s="259"/>
      <c r="AE80" s="259"/>
      <c r="AF80" s="260"/>
      <c r="AG80" s="258"/>
      <c r="AH80" s="259"/>
      <c r="AI80" s="259"/>
      <c r="AJ80" s="260"/>
      <c r="AK80" s="258"/>
      <c r="AL80" s="259"/>
      <c r="AM80" s="259"/>
      <c r="AN80" s="260"/>
      <c r="AO80" s="258"/>
      <c r="AP80" s="259"/>
      <c r="AQ80" s="259"/>
      <c r="AR80" s="260"/>
      <c r="AS80" s="258"/>
      <c r="AT80" s="259"/>
      <c r="AU80" s="259"/>
      <c r="AV80" s="260"/>
      <c r="AW80" s="258"/>
      <c r="AX80" s="259"/>
      <c r="AY80" s="259"/>
      <c r="AZ80" s="260"/>
      <c r="BG80" s="243"/>
      <c r="BH80" s="243"/>
      <c r="BI80" s="243"/>
      <c r="BJ80" s="280">
        <v>54</v>
      </c>
      <c r="BK80" s="274">
        <v>30.56</v>
      </c>
      <c r="BL80" s="274">
        <v>33.28</v>
      </c>
      <c r="BM80" s="274">
        <v>42.15</v>
      </c>
      <c r="BN80" s="274">
        <v>44.76</v>
      </c>
      <c r="BO80" s="274">
        <v>51.4</v>
      </c>
      <c r="BP80" s="280"/>
      <c r="BQ80" s="266"/>
      <c r="BR80" s="266"/>
      <c r="BS80" s="270"/>
    </row>
    <row r="81" spans="1:71">
      <c r="A81" s="251"/>
      <c r="B81" s="251"/>
      <c r="C81" s="251"/>
      <c r="D81" s="251"/>
      <c r="E81" s="576"/>
      <c r="F81" s="577"/>
      <c r="G81" s="577"/>
      <c r="H81" s="578"/>
      <c r="I81" s="579"/>
      <c r="J81" s="580"/>
      <c r="K81" s="580"/>
      <c r="L81" s="581"/>
      <c r="M81" s="579"/>
      <c r="N81" s="580"/>
      <c r="O81" s="580"/>
      <c r="P81" s="581"/>
      <c r="Q81" s="579"/>
      <c r="R81" s="580"/>
      <c r="S81" s="580"/>
      <c r="T81" s="581"/>
      <c r="U81" s="579"/>
      <c r="V81" s="580"/>
      <c r="W81" s="580"/>
      <c r="X81" s="581"/>
      <c r="Y81" s="579"/>
      <c r="Z81" s="580"/>
      <c r="AA81" s="580"/>
      <c r="AB81" s="581"/>
      <c r="AC81" s="258"/>
      <c r="AD81" s="259"/>
      <c r="AE81" s="259"/>
      <c r="AF81" s="260"/>
      <c r="AG81" s="258"/>
      <c r="AH81" s="259"/>
      <c r="AI81" s="259"/>
      <c r="AJ81" s="260"/>
      <c r="AK81" s="258"/>
      <c r="AL81" s="259"/>
      <c r="AM81" s="259"/>
      <c r="AN81" s="260"/>
      <c r="AO81" s="258"/>
      <c r="AP81" s="259"/>
      <c r="AQ81" s="259"/>
      <c r="AR81" s="260"/>
      <c r="AS81" s="258"/>
      <c r="AT81" s="259"/>
      <c r="AU81" s="259"/>
      <c r="AV81" s="260"/>
      <c r="AW81" s="258"/>
      <c r="AX81" s="259"/>
      <c r="AY81" s="259"/>
      <c r="AZ81" s="260"/>
      <c r="BG81" s="243"/>
      <c r="BH81" s="243"/>
      <c r="BI81" s="243"/>
      <c r="BJ81" s="280">
        <v>55</v>
      </c>
      <c r="BK81" s="274">
        <v>30.98</v>
      </c>
      <c r="BL81" s="274">
        <v>33.72</v>
      </c>
      <c r="BM81" s="274">
        <v>42.73</v>
      </c>
      <c r="BN81" s="274">
        <v>45.38</v>
      </c>
      <c r="BO81" s="274">
        <v>52.13</v>
      </c>
      <c r="BP81" s="280"/>
      <c r="BQ81" s="266"/>
      <c r="BR81" s="266"/>
      <c r="BS81" s="270"/>
    </row>
    <row r="82" spans="1:71">
      <c r="A82" s="251"/>
      <c r="B82" s="251"/>
      <c r="C82" s="251"/>
      <c r="D82" s="251"/>
      <c r="E82" s="582"/>
      <c r="F82" s="583"/>
      <c r="G82" s="583"/>
      <c r="H82" s="584"/>
      <c r="I82" s="573"/>
      <c r="J82" s="574"/>
      <c r="K82" s="574"/>
      <c r="L82" s="575"/>
      <c r="M82" s="573"/>
      <c r="N82" s="574"/>
      <c r="O82" s="574"/>
      <c r="P82" s="575"/>
      <c r="Q82" s="573"/>
      <c r="R82" s="574"/>
      <c r="S82" s="574"/>
      <c r="T82" s="575"/>
      <c r="U82" s="573"/>
      <c r="V82" s="574"/>
      <c r="W82" s="574"/>
      <c r="X82" s="575"/>
      <c r="Y82" s="573"/>
      <c r="Z82" s="574"/>
      <c r="AA82" s="574"/>
      <c r="AB82" s="575"/>
      <c r="AC82" s="258"/>
      <c r="AD82" s="259"/>
      <c r="AE82" s="259"/>
      <c r="AF82" s="260"/>
      <c r="AG82" s="258"/>
      <c r="AH82" s="259"/>
      <c r="AI82" s="259"/>
      <c r="AJ82" s="260"/>
      <c r="AK82" s="258"/>
      <c r="AL82" s="259"/>
      <c r="AM82" s="259"/>
      <c r="AN82" s="260"/>
      <c r="AO82" s="258"/>
      <c r="AP82" s="259"/>
      <c r="AQ82" s="259"/>
      <c r="AR82" s="260"/>
      <c r="AS82" s="258"/>
      <c r="AT82" s="259"/>
      <c r="AU82" s="259"/>
      <c r="AV82" s="260"/>
      <c r="AW82" s="258"/>
      <c r="AX82" s="259"/>
      <c r="AY82" s="259"/>
      <c r="AZ82" s="260"/>
      <c r="BG82" s="243"/>
      <c r="BH82" s="243"/>
      <c r="BI82" s="243"/>
      <c r="BJ82" s="280">
        <v>56</v>
      </c>
      <c r="BK82" s="274">
        <v>31.4</v>
      </c>
      <c r="BL82" s="274">
        <v>34.159999999999997</v>
      </c>
      <c r="BM82" s="274">
        <v>43.32</v>
      </c>
      <c r="BN82" s="274">
        <v>46</v>
      </c>
      <c r="BO82" s="274">
        <v>52.86</v>
      </c>
      <c r="BP82" s="280"/>
      <c r="BQ82" s="266"/>
      <c r="BR82" s="266"/>
      <c r="BS82" s="270"/>
    </row>
    <row r="83" spans="1:71">
      <c r="A83" s="251"/>
      <c r="B83" s="251"/>
      <c r="C83" s="251"/>
      <c r="D83" s="251"/>
      <c r="E83" s="576"/>
      <c r="F83" s="577"/>
      <c r="G83" s="577"/>
      <c r="H83" s="578"/>
      <c r="I83" s="579"/>
      <c r="J83" s="580"/>
      <c r="K83" s="580"/>
      <c r="L83" s="581"/>
      <c r="M83" s="579"/>
      <c r="N83" s="580"/>
      <c r="O83" s="580"/>
      <c r="P83" s="581"/>
      <c r="Q83" s="579"/>
      <c r="R83" s="580"/>
      <c r="S83" s="580"/>
      <c r="T83" s="581"/>
      <c r="U83" s="579"/>
      <c r="V83" s="580"/>
      <c r="W83" s="580"/>
      <c r="X83" s="581"/>
      <c r="Y83" s="579"/>
      <c r="Z83" s="580"/>
      <c r="AA83" s="580"/>
      <c r="AB83" s="581"/>
      <c r="AC83" s="258"/>
      <c r="AD83" s="259"/>
      <c r="AE83" s="259"/>
      <c r="AF83" s="260"/>
      <c r="AG83" s="258"/>
      <c r="AH83" s="259"/>
      <c r="AI83" s="259"/>
      <c r="AJ83" s="260"/>
      <c r="AK83" s="258"/>
      <c r="AL83" s="259"/>
      <c r="AM83" s="259"/>
      <c r="AN83" s="260"/>
      <c r="AO83" s="258"/>
      <c r="AP83" s="259"/>
      <c r="AQ83" s="259"/>
      <c r="AR83" s="260"/>
      <c r="AS83" s="258"/>
      <c r="AT83" s="259"/>
      <c r="AU83" s="259"/>
      <c r="AV83" s="260"/>
      <c r="AW83" s="258"/>
      <c r="AX83" s="259"/>
      <c r="AY83" s="259"/>
      <c r="AZ83" s="260"/>
      <c r="BG83" s="243"/>
      <c r="BH83" s="243"/>
      <c r="BI83" s="243"/>
      <c r="BJ83" s="280">
        <v>57</v>
      </c>
      <c r="BK83" s="274">
        <v>31.82</v>
      </c>
      <c r="BL83" s="274">
        <v>34.590000000000003</v>
      </c>
      <c r="BM83" s="274">
        <v>43.91</v>
      </c>
      <c r="BN83" s="274">
        <v>46.62</v>
      </c>
      <c r="BO83" s="274">
        <v>53.58</v>
      </c>
      <c r="BP83" s="280"/>
      <c r="BQ83" s="266"/>
      <c r="BR83" s="266"/>
      <c r="BS83" s="270"/>
    </row>
    <row r="84" spans="1:71">
      <c r="A84" s="251"/>
      <c r="B84" s="251"/>
      <c r="C84" s="251"/>
      <c r="D84" s="251"/>
      <c r="E84" s="582"/>
      <c r="F84" s="583"/>
      <c r="G84" s="583"/>
      <c r="H84" s="584"/>
      <c r="I84" s="573"/>
      <c r="J84" s="574"/>
      <c r="K84" s="574"/>
      <c r="L84" s="575"/>
      <c r="M84" s="573"/>
      <c r="N84" s="574"/>
      <c r="O84" s="574"/>
      <c r="P84" s="575"/>
      <c r="Q84" s="573"/>
      <c r="R84" s="574"/>
      <c r="S84" s="574"/>
      <c r="T84" s="575"/>
      <c r="U84" s="573"/>
      <c r="V84" s="574"/>
      <c r="W84" s="574"/>
      <c r="X84" s="575"/>
      <c r="Y84" s="573"/>
      <c r="Z84" s="574"/>
      <c r="AA84" s="574"/>
      <c r="AB84" s="575"/>
      <c r="AC84" s="258"/>
      <c r="AD84" s="259"/>
      <c r="AE84" s="259"/>
      <c r="AF84" s="260"/>
      <c r="AG84" s="258"/>
      <c r="AH84" s="259"/>
      <c r="AI84" s="259"/>
      <c r="AJ84" s="260"/>
      <c r="AK84" s="258"/>
      <c r="AL84" s="259"/>
      <c r="AM84" s="259"/>
      <c r="AN84" s="260"/>
      <c r="AO84" s="258"/>
      <c r="AP84" s="259"/>
      <c r="AQ84" s="259"/>
      <c r="AR84" s="260"/>
      <c r="AS84" s="258"/>
      <c r="AT84" s="259"/>
      <c r="AU84" s="259"/>
      <c r="AV84" s="260"/>
      <c r="AW84" s="258"/>
      <c r="AX84" s="259"/>
      <c r="AY84" s="259"/>
      <c r="AZ84" s="260"/>
      <c r="BG84" s="243"/>
      <c r="BH84" s="243"/>
      <c r="BI84" s="243"/>
      <c r="BJ84" s="280">
        <v>58</v>
      </c>
      <c r="BK84" s="274">
        <v>32.24</v>
      </c>
      <c r="BL84" s="274">
        <v>35.03</v>
      </c>
      <c r="BM84" s="274">
        <v>44.49</v>
      </c>
      <c r="BN84" s="274">
        <v>47.24</v>
      </c>
      <c r="BO84" s="274">
        <v>54.31</v>
      </c>
      <c r="BP84" s="280"/>
      <c r="BQ84" s="266"/>
      <c r="BR84" s="266"/>
      <c r="BS84" s="270"/>
    </row>
    <row r="85" spans="1:71">
      <c r="A85" s="251"/>
      <c r="B85" s="251"/>
      <c r="C85" s="251"/>
      <c r="D85" s="251"/>
      <c r="E85" s="576"/>
      <c r="F85" s="577"/>
      <c r="G85" s="577"/>
      <c r="H85" s="578"/>
      <c r="I85" s="579"/>
      <c r="J85" s="580"/>
      <c r="K85" s="580"/>
      <c r="L85" s="581"/>
      <c r="M85" s="579"/>
      <c r="N85" s="580"/>
      <c r="O85" s="580"/>
      <c r="P85" s="581"/>
      <c r="Q85" s="579"/>
      <c r="R85" s="580"/>
      <c r="S85" s="580"/>
      <c r="T85" s="581"/>
      <c r="U85" s="579"/>
      <c r="V85" s="580"/>
      <c r="W85" s="580"/>
      <c r="X85" s="581"/>
      <c r="Y85" s="579"/>
      <c r="Z85" s="580"/>
      <c r="AA85" s="580"/>
      <c r="AB85" s="581"/>
      <c r="AC85" s="258"/>
      <c r="AD85" s="259"/>
      <c r="AE85" s="259"/>
      <c r="AF85" s="260"/>
      <c r="AG85" s="258"/>
      <c r="AH85" s="259"/>
      <c r="AI85" s="259"/>
      <c r="AJ85" s="260"/>
      <c r="AK85" s="258"/>
      <c r="AL85" s="259"/>
      <c r="AM85" s="259"/>
      <c r="AN85" s="260"/>
      <c r="AO85" s="258"/>
      <c r="AP85" s="259"/>
      <c r="AQ85" s="259"/>
      <c r="AR85" s="260"/>
      <c r="AS85" s="258"/>
      <c r="AT85" s="259"/>
      <c r="AU85" s="259"/>
      <c r="AV85" s="260"/>
      <c r="AW85" s="258"/>
      <c r="AX85" s="259"/>
      <c r="AY85" s="259"/>
      <c r="AZ85" s="260"/>
      <c r="BG85" s="243"/>
      <c r="BH85" s="243"/>
      <c r="BI85" s="243"/>
      <c r="BJ85" s="280">
        <v>59</v>
      </c>
      <c r="BK85" s="274">
        <v>32.659999999999997</v>
      </c>
      <c r="BL85" s="274">
        <v>35.47</v>
      </c>
      <c r="BM85" s="274">
        <v>45.08</v>
      </c>
      <c r="BN85" s="274">
        <v>47.86</v>
      </c>
      <c r="BO85" s="274">
        <v>55.04</v>
      </c>
      <c r="BP85" s="280"/>
      <c r="BQ85" s="266"/>
      <c r="BR85" s="266"/>
      <c r="BS85" s="270"/>
    </row>
    <row r="86" spans="1:71">
      <c r="A86" s="251"/>
      <c r="B86" s="251"/>
      <c r="C86" s="251"/>
      <c r="D86" s="251"/>
      <c r="E86" s="582"/>
      <c r="F86" s="583"/>
      <c r="G86" s="583"/>
      <c r="H86" s="584"/>
      <c r="I86" s="573"/>
      <c r="J86" s="574"/>
      <c r="K86" s="574"/>
      <c r="L86" s="575"/>
      <c r="M86" s="573"/>
      <c r="N86" s="574"/>
      <c r="O86" s="574"/>
      <c r="P86" s="575"/>
      <c r="Q86" s="573"/>
      <c r="R86" s="574"/>
      <c r="S86" s="574"/>
      <c r="T86" s="575"/>
      <c r="U86" s="573"/>
      <c r="V86" s="574"/>
      <c r="W86" s="574"/>
      <c r="X86" s="575"/>
      <c r="Y86" s="573"/>
      <c r="Z86" s="574"/>
      <c r="AA86" s="574"/>
      <c r="AB86" s="575"/>
      <c r="AC86" s="258"/>
      <c r="AD86" s="259"/>
      <c r="AE86" s="259"/>
      <c r="AF86" s="260"/>
      <c r="AG86" s="258"/>
      <c r="AH86" s="259"/>
      <c r="AI86" s="259"/>
      <c r="AJ86" s="260"/>
      <c r="AK86" s="258"/>
      <c r="AL86" s="259"/>
      <c r="AM86" s="259"/>
      <c r="AN86" s="260"/>
      <c r="AO86" s="258"/>
      <c r="AP86" s="259"/>
      <c r="AQ86" s="259"/>
      <c r="AR86" s="260"/>
      <c r="AS86" s="258"/>
      <c r="AT86" s="259"/>
      <c r="AU86" s="259"/>
      <c r="AV86" s="260"/>
      <c r="AW86" s="258"/>
      <c r="AX86" s="259"/>
      <c r="AY86" s="259"/>
      <c r="AZ86" s="260"/>
      <c r="BG86" s="243"/>
      <c r="BH86" s="243"/>
      <c r="BI86" s="243"/>
      <c r="BJ86" s="280">
        <v>60</v>
      </c>
      <c r="BK86" s="274">
        <v>33.08</v>
      </c>
      <c r="BL86" s="274">
        <v>35.909999999999997</v>
      </c>
      <c r="BM86" s="274">
        <v>45.66</v>
      </c>
      <c r="BN86" s="274">
        <v>48.48</v>
      </c>
      <c r="BO86" s="274">
        <v>55.77</v>
      </c>
      <c r="BP86" s="280"/>
      <c r="BQ86" s="266"/>
      <c r="BR86" s="266"/>
      <c r="BS86" s="270"/>
    </row>
    <row r="87" spans="1:71">
      <c r="A87" s="251"/>
      <c r="B87" s="251"/>
      <c r="C87" s="251"/>
      <c r="D87" s="251"/>
      <c r="E87" s="576"/>
      <c r="F87" s="577"/>
      <c r="G87" s="577"/>
      <c r="H87" s="578"/>
      <c r="I87" s="579"/>
      <c r="J87" s="580"/>
      <c r="K87" s="580"/>
      <c r="L87" s="581"/>
      <c r="M87" s="579"/>
      <c r="N87" s="580"/>
      <c r="O87" s="580"/>
      <c r="P87" s="581"/>
      <c r="Q87" s="579"/>
      <c r="R87" s="580"/>
      <c r="S87" s="580"/>
      <c r="T87" s="581"/>
      <c r="U87" s="579"/>
      <c r="V87" s="580"/>
      <c r="W87" s="580"/>
      <c r="X87" s="581"/>
      <c r="Y87" s="579"/>
      <c r="Z87" s="580"/>
      <c r="AA87" s="580"/>
      <c r="AB87" s="581"/>
      <c r="AC87" s="258"/>
      <c r="AD87" s="259"/>
      <c r="AE87" s="259"/>
      <c r="AF87" s="260"/>
      <c r="AG87" s="258"/>
      <c r="AH87" s="259"/>
      <c r="AI87" s="259"/>
      <c r="AJ87" s="260"/>
      <c r="AK87" s="258"/>
      <c r="AL87" s="259"/>
      <c r="AM87" s="259"/>
      <c r="AN87" s="260"/>
      <c r="AO87" s="258"/>
      <c r="AP87" s="259"/>
      <c r="AQ87" s="259"/>
      <c r="AR87" s="260"/>
      <c r="AS87" s="258"/>
      <c r="AT87" s="259"/>
      <c r="AU87" s="259"/>
      <c r="AV87" s="260"/>
      <c r="AW87" s="258"/>
      <c r="AX87" s="259"/>
      <c r="AY87" s="259"/>
      <c r="AZ87" s="260"/>
      <c r="BG87" s="243"/>
      <c r="BH87" s="243"/>
      <c r="BI87" s="243"/>
      <c r="BJ87" s="280">
        <v>61</v>
      </c>
      <c r="BK87" s="274">
        <v>33.5</v>
      </c>
      <c r="BL87" s="274">
        <v>36.35</v>
      </c>
      <c r="BM87" s="274">
        <v>46.25</v>
      </c>
      <c r="BN87" s="274">
        <v>49.1</v>
      </c>
      <c r="BO87" s="274">
        <v>56.49</v>
      </c>
      <c r="BP87" s="280"/>
      <c r="BQ87" s="266"/>
      <c r="BR87" s="266"/>
      <c r="BS87" s="270"/>
    </row>
    <row r="88" spans="1:71">
      <c r="A88" s="251"/>
      <c r="B88" s="251"/>
      <c r="C88" s="251"/>
      <c r="D88" s="251"/>
      <c r="E88" s="582"/>
      <c r="F88" s="583"/>
      <c r="G88" s="583"/>
      <c r="H88" s="584"/>
      <c r="I88" s="573"/>
      <c r="J88" s="574"/>
      <c r="K88" s="574"/>
      <c r="L88" s="575"/>
      <c r="M88" s="573"/>
      <c r="N88" s="574"/>
      <c r="O88" s="574"/>
      <c r="P88" s="575"/>
      <c r="Q88" s="573"/>
      <c r="R88" s="574"/>
      <c r="S88" s="574"/>
      <c r="T88" s="575"/>
      <c r="U88" s="573"/>
      <c r="V88" s="574"/>
      <c r="W88" s="574"/>
      <c r="X88" s="575"/>
      <c r="Y88" s="573"/>
      <c r="Z88" s="574"/>
      <c r="AA88" s="574"/>
      <c r="AB88" s="575"/>
      <c r="AC88" s="258"/>
      <c r="AD88" s="259"/>
      <c r="AE88" s="259"/>
      <c r="AF88" s="260"/>
      <c r="AG88" s="258"/>
      <c r="AH88" s="259"/>
      <c r="AI88" s="259"/>
      <c r="AJ88" s="260"/>
      <c r="AK88" s="258"/>
      <c r="AL88" s="259"/>
      <c r="AM88" s="259"/>
      <c r="AN88" s="260"/>
      <c r="AO88" s="258"/>
      <c r="AP88" s="259"/>
      <c r="AQ88" s="259"/>
      <c r="AR88" s="260"/>
      <c r="AS88" s="258"/>
      <c r="AT88" s="259"/>
      <c r="AU88" s="259"/>
      <c r="AV88" s="260"/>
      <c r="AW88" s="258"/>
      <c r="AX88" s="259"/>
      <c r="AY88" s="259"/>
      <c r="AZ88" s="260"/>
      <c r="BG88" s="243"/>
      <c r="BH88" s="243"/>
      <c r="BI88" s="243"/>
      <c r="BJ88" s="280">
        <v>62</v>
      </c>
      <c r="BK88" s="274">
        <v>33.92</v>
      </c>
      <c r="BL88" s="274">
        <v>36.78</v>
      </c>
      <c r="BM88" s="274">
        <v>46.84</v>
      </c>
      <c r="BN88" s="274">
        <v>49.72</v>
      </c>
      <c r="BO88" s="274">
        <v>57.22</v>
      </c>
      <c r="BP88" s="280"/>
      <c r="BQ88" s="266"/>
      <c r="BR88" s="266"/>
      <c r="BS88" s="270"/>
    </row>
    <row r="89" spans="1:71">
      <c r="A89" s="251"/>
      <c r="B89" s="251"/>
      <c r="C89" s="251"/>
      <c r="D89" s="251"/>
      <c r="E89" s="576"/>
      <c r="F89" s="577"/>
      <c r="G89" s="577"/>
      <c r="H89" s="578"/>
      <c r="I89" s="579"/>
      <c r="J89" s="580"/>
      <c r="K89" s="580"/>
      <c r="L89" s="581"/>
      <c r="M89" s="579"/>
      <c r="N89" s="580"/>
      <c r="O89" s="580"/>
      <c r="P89" s="581"/>
      <c r="Q89" s="579"/>
      <c r="R89" s="580"/>
      <c r="S89" s="580"/>
      <c r="T89" s="581"/>
      <c r="U89" s="579"/>
      <c r="V89" s="580"/>
      <c r="W89" s="580"/>
      <c r="X89" s="581"/>
      <c r="Y89" s="579"/>
      <c r="Z89" s="580"/>
      <c r="AA89" s="580"/>
      <c r="AB89" s="581"/>
      <c r="AC89" s="258"/>
      <c r="AD89" s="259"/>
      <c r="AE89" s="259"/>
      <c r="AF89" s="260"/>
      <c r="AG89" s="258"/>
      <c r="AH89" s="259"/>
      <c r="AI89" s="259"/>
      <c r="AJ89" s="260"/>
      <c r="AK89" s="258"/>
      <c r="AL89" s="259"/>
      <c r="AM89" s="259"/>
      <c r="AN89" s="260"/>
      <c r="AO89" s="258"/>
      <c r="AP89" s="259"/>
      <c r="AQ89" s="259"/>
      <c r="AR89" s="260"/>
      <c r="AS89" s="258"/>
      <c r="AT89" s="259"/>
      <c r="AU89" s="259"/>
      <c r="AV89" s="260"/>
      <c r="AW89" s="258"/>
      <c r="AX89" s="259"/>
      <c r="AY89" s="259"/>
      <c r="AZ89" s="260"/>
      <c r="BG89" s="243"/>
      <c r="BH89" s="243"/>
      <c r="BI89" s="243"/>
      <c r="BJ89" s="280">
        <v>63</v>
      </c>
      <c r="BK89" s="274">
        <v>34.340000000000003</v>
      </c>
      <c r="BL89" s="274">
        <v>37.22</v>
      </c>
      <c r="BM89" s="274">
        <v>47.42</v>
      </c>
      <c r="BN89" s="274">
        <v>50.34</v>
      </c>
      <c r="BO89" s="274">
        <v>57.95</v>
      </c>
      <c r="BP89" s="280"/>
      <c r="BQ89" s="266"/>
      <c r="BR89" s="266"/>
      <c r="BS89" s="270"/>
    </row>
    <row r="90" spans="1:71">
      <c r="A90" s="251"/>
      <c r="B90" s="251"/>
      <c r="C90" s="251"/>
      <c r="D90" s="251"/>
      <c r="E90" s="582"/>
      <c r="F90" s="583"/>
      <c r="G90" s="583"/>
      <c r="H90" s="584"/>
      <c r="I90" s="573"/>
      <c r="J90" s="574"/>
      <c r="K90" s="574"/>
      <c r="L90" s="575"/>
      <c r="M90" s="573"/>
      <c r="N90" s="574"/>
      <c r="O90" s="574"/>
      <c r="P90" s="575"/>
      <c r="Q90" s="573"/>
      <c r="R90" s="574"/>
      <c r="S90" s="574"/>
      <c r="T90" s="575"/>
      <c r="U90" s="573"/>
      <c r="V90" s="574"/>
      <c r="W90" s="574"/>
      <c r="X90" s="575"/>
      <c r="Y90" s="573"/>
      <c r="Z90" s="574"/>
      <c r="AA90" s="574"/>
      <c r="AB90" s="575"/>
      <c r="AC90" s="258"/>
      <c r="AD90" s="259"/>
      <c r="AE90" s="259"/>
      <c r="AF90" s="260"/>
      <c r="AG90" s="258"/>
      <c r="AH90" s="259"/>
      <c r="AI90" s="259"/>
      <c r="AJ90" s="260"/>
      <c r="AK90" s="258"/>
      <c r="AL90" s="259"/>
      <c r="AM90" s="259"/>
      <c r="AN90" s="260"/>
      <c r="AO90" s="258"/>
      <c r="AP90" s="259"/>
      <c r="AQ90" s="259"/>
      <c r="AR90" s="260"/>
      <c r="AS90" s="258"/>
      <c r="AT90" s="259"/>
      <c r="AU90" s="259"/>
      <c r="AV90" s="260"/>
      <c r="AW90" s="258"/>
      <c r="AX90" s="259"/>
      <c r="AY90" s="259"/>
      <c r="AZ90" s="260"/>
      <c r="BG90" s="243"/>
      <c r="BH90" s="243"/>
      <c r="BI90" s="243"/>
      <c r="BJ90" s="280">
        <v>64</v>
      </c>
      <c r="BK90" s="274">
        <v>34.76</v>
      </c>
      <c r="BL90" s="274">
        <v>37.659999999999997</v>
      </c>
      <c r="BM90" s="274">
        <v>48.01</v>
      </c>
      <c r="BN90" s="274">
        <v>50.96</v>
      </c>
      <c r="BO90" s="274">
        <v>58.68</v>
      </c>
      <c r="BP90" s="280"/>
      <c r="BQ90" s="266"/>
      <c r="BR90" s="266"/>
      <c r="BS90" s="270"/>
    </row>
    <row r="91" spans="1:71">
      <c r="A91" s="251"/>
      <c r="B91" s="251"/>
      <c r="C91" s="251"/>
      <c r="D91" s="251"/>
      <c r="E91" s="576"/>
      <c r="F91" s="577"/>
      <c r="G91" s="577"/>
      <c r="H91" s="578"/>
      <c r="I91" s="579"/>
      <c r="J91" s="580"/>
      <c r="K91" s="580"/>
      <c r="L91" s="581"/>
      <c r="M91" s="579"/>
      <c r="N91" s="580"/>
      <c r="O91" s="580"/>
      <c r="P91" s="581"/>
      <c r="Q91" s="579"/>
      <c r="R91" s="580"/>
      <c r="S91" s="580"/>
      <c r="T91" s="581"/>
      <c r="U91" s="579"/>
      <c r="V91" s="580"/>
      <c r="W91" s="580"/>
      <c r="X91" s="581"/>
      <c r="Y91" s="579"/>
      <c r="Z91" s="580"/>
      <c r="AA91" s="580"/>
      <c r="AB91" s="581"/>
      <c r="AC91" s="258"/>
      <c r="AD91" s="259"/>
      <c r="AE91" s="259"/>
      <c r="AF91" s="260"/>
      <c r="AG91" s="258"/>
      <c r="AH91" s="259"/>
      <c r="AI91" s="259"/>
      <c r="AJ91" s="260"/>
      <c r="AK91" s="258"/>
      <c r="AL91" s="259"/>
      <c r="AM91" s="259"/>
      <c r="AN91" s="260"/>
      <c r="AO91" s="258"/>
      <c r="AP91" s="259"/>
      <c r="AQ91" s="259"/>
      <c r="AR91" s="260"/>
      <c r="AS91" s="258"/>
      <c r="AT91" s="259"/>
      <c r="AU91" s="259"/>
      <c r="AV91" s="260"/>
      <c r="AW91" s="258"/>
      <c r="AX91" s="259"/>
      <c r="AY91" s="259"/>
      <c r="AZ91" s="260"/>
      <c r="BG91" s="243"/>
      <c r="BH91" s="243"/>
      <c r="BI91" s="243"/>
      <c r="BJ91" s="280">
        <v>65</v>
      </c>
      <c r="BK91" s="274">
        <v>35.18</v>
      </c>
      <c r="BL91" s="274">
        <v>38.1</v>
      </c>
      <c r="BM91" s="274">
        <v>48.59</v>
      </c>
      <c r="BN91" s="274">
        <v>51.58</v>
      </c>
      <c r="BO91" s="274">
        <v>59.41</v>
      </c>
      <c r="BP91" s="280"/>
      <c r="BQ91" s="266"/>
      <c r="BR91" s="266"/>
      <c r="BS91" s="270"/>
    </row>
    <row r="92" spans="1:71">
      <c r="A92" s="251"/>
      <c r="B92" s="251"/>
      <c r="C92" s="251"/>
      <c r="D92" s="251"/>
      <c r="E92" s="582"/>
      <c r="F92" s="583"/>
      <c r="G92" s="583"/>
      <c r="H92" s="584"/>
      <c r="I92" s="573"/>
      <c r="J92" s="574"/>
      <c r="K92" s="574"/>
      <c r="L92" s="575"/>
      <c r="M92" s="573"/>
      <c r="N92" s="574"/>
      <c r="O92" s="574"/>
      <c r="P92" s="575"/>
      <c r="Q92" s="573"/>
      <c r="R92" s="574"/>
      <c r="S92" s="574"/>
      <c r="T92" s="575"/>
      <c r="U92" s="573"/>
      <c r="V92" s="574"/>
      <c r="W92" s="574"/>
      <c r="X92" s="575"/>
      <c r="Y92" s="573"/>
      <c r="Z92" s="574"/>
      <c r="AA92" s="574"/>
      <c r="AB92" s="575"/>
      <c r="AC92" s="258"/>
      <c r="AD92" s="259"/>
      <c r="AE92" s="259"/>
      <c r="AF92" s="260"/>
      <c r="AG92" s="258"/>
      <c r="AH92" s="259"/>
      <c r="AI92" s="259"/>
      <c r="AJ92" s="260"/>
      <c r="AK92" s="258"/>
      <c r="AL92" s="259"/>
      <c r="AM92" s="259"/>
      <c r="AN92" s="260"/>
      <c r="AO92" s="258"/>
      <c r="AP92" s="259"/>
      <c r="AQ92" s="259"/>
      <c r="AR92" s="260"/>
      <c r="AS92" s="258"/>
      <c r="AT92" s="259"/>
      <c r="AU92" s="259"/>
      <c r="AV92" s="260"/>
      <c r="AW92" s="258"/>
      <c r="AX92" s="259"/>
      <c r="AY92" s="259"/>
      <c r="AZ92" s="260"/>
      <c r="BG92" s="243"/>
      <c r="BH92" s="243"/>
      <c r="BI92" s="243"/>
      <c r="BJ92" s="280">
        <v>66</v>
      </c>
      <c r="BK92" s="274">
        <v>35.6</v>
      </c>
      <c r="BL92" s="274">
        <v>38.54</v>
      </c>
      <c r="BM92" s="274">
        <v>49.18</v>
      </c>
      <c r="BN92" s="274">
        <v>52.2</v>
      </c>
      <c r="BO92" s="274">
        <v>60.13</v>
      </c>
      <c r="BP92" s="280"/>
      <c r="BQ92" s="266"/>
      <c r="BR92" s="266"/>
      <c r="BS92" s="270"/>
    </row>
    <row r="93" spans="1:71">
      <c r="A93" s="251"/>
      <c r="B93" s="251"/>
      <c r="C93" s="251"/>
      <c r="D93" s="251"/>
      <c r="E93" s="576"/>
      <c r="F93" s="577"/>
      <c r="G93" s="577"/>
      <c r="H93" s="578"/>
      <c r="I93" s="579"/>
      <c r="J93" s="580"/>
      <c r="K93" s="580"/>
      <c r="L93" s="581"/>
      <c r="M93" s="579"/>
      <c r="N93" s="580"/>
      <c r="O93" s="580"/>
      <c r="P93" s="581"/>
      <c r="Q93" s="579"/>
      <c r="R93" s="580"/>
      <c r="S93" s="580"/>
      <c r="T93" s="581"/>
      <c r="U93" s="579"/>
      <c r="V93" s="580"/>
      <c r="W93" s="580"/>
      <c r="X93" s="581"/>
      <c r="Y93" s="579"/>
      <c r="Z93" s="580"/>
      <c r="AA93" s="580"/>
      <c r="AB93" s="581"/>
      <c r="AC93" s="258"/>
      <c r="AD93" s="259"/>
      <c r="AE93" s="259"/>
      <c r="AF93" s="260"/>
      <c r="AG93" s="258"/>
      <c r="AH93" s="259"/>
      <c r="AI93" s="259"/>
      <c r="AJ93" s="260"/>
      <c r="AK93" s="258"/>
      <c r="AL93" s="259"/>
      <c r="AM93" s="259"/>
      <c r="AN93" s="260"/>
      <c r="AO93" s="258"/>
      <c r="AP93" s="259"/>
      <c r="AQ93" s="259"/>
      <c r="AR93" s="260"/>
      <c r="AS93" s="258"/>
      <c r="AT93" s="259"/>
      <c r="AU93" s="259"/>
      <c r="AV93" s="260"/>
      <c r="AW93" s="258"/>
      <c r="AX93" s="259"/>
      <c r="AY93" s="259"/>
      <c r="AZ93" s="260"/>
      <c r="BG93" s="243"/>
      <c r="BH93" s="243"/>
      <c r="BI93" s="243"/>
      <c r="BJ93" s="280">
        <v>67</v>
      </c>
      <c r="BK93" s="274">
        <v>36.020000000000003</v>
      </c>
      <c r="BL93" s="274">
        <v>38.97</v>
      </c>
      <c r="BM93" s="274">
        <v>49.76</v>
      </c>
      <c r="BN93" s="274">
        <v>52.82</v>
      </c>
      <c r="BO93" s="274">
        <v>60.86</v>
      </c>
      <c r="BP93" s="280"/>
      <c r="BQ93" s="266"/>
      <c r="BR93" s="266"/>
      <c r="BS93" s="270"/>
    </row>
    <row r="94" spans="1:71">
      <c r="A94" s="251"/>
      <c r="B94" s="251"/>
      <c r="C94" s="251"/>
      <c r="D94" s="251"/>
      <c r="E94" s="582"/>
      <c r="F94" s="583"/>
      <c r="G94" s="583"/>
      <c r="H94" s="584"/>
      <c r="I94" s="573"/>
      <c r="J94" s="574"/>
      <c r="K94" s="574"/>
      <c r="L94" s="575"/>
      <c r="M94" s="573"/>
      <c r="N94" s="574"/>
      <c r="O94" s="574"/>
      <c r="P94" s="575"/>
      <c r="Q94" s="573"/>
      <c r="R94" s="574"/>
      <c r="S94" s="574"/>
      <c r="T94" s="575"/>
      <c r="U94" s="573"/>
      <c r="V94" s="574"/>
      <c r="W94" s="574"/>
      <c r="X94" s="575"/>
      <c r="Y94" s="573"/>
      <c r="Z94" s="574"/>
      <c r="AA94" s="574"/>
      <c r="AB94" s="575"/>
      <c r="AC94" s="258"/>
      <c r="AD94" s="259"/>
      <c r="AE94" s="259"/>
      <c r="AF94" s="260"/>
      <c r="AG94" s="258"/>
      <c r="AH94" s="259"/>
      <c r="AI94" s="259"/>
      <c r="AJ94" s="260"/>
      <c r="AK94" s="258"/>
      <c r="AL94" s="259"/>
      <c r="AM94" s="259"/>
      <c r="AN94" s="260"/>
      <c r="AO94" s="258"/>
      <c r="AP94" s="259"/>
      <c r="AQ94" s="259"/>
      <c r="AR94" s="260"/>
      <c r="AS94" s="258"/>
      <c r="AT94" s="259"/>
      <c r="AU94" s="259"/>
      <c r="AV94" s="260"/>
      <c r="AW94" s="258"/>
      <c r="AX94" s="259"/>
      <c r="AY94" s="259"/>
      <c r="AZ94" s="260"/>
      <c r="BG94" s="243"/>
      <c r="BH94" s="243"/>
      <c r="BI94" s="243"/>
      <c r="BJ94" s="280">
        <v>68</v>
      </c>
      <c r="BK94" s="274">
        <v>36.44</v>
      </c>
      <c r="BL94" s="274">
        <v>39.409999999999997</v>
      </c>
      <c r="BM94" s="274">
        <v>50.35</v>
      </c>
      <c r="BN94" s="274">
        <v>53.44</v>
      </c>
      <c r="BO94" s="274">
        <v>61.59</v>
      </c>
      <c r="BP94" s="280"/>
      <c r="BQ94" s="266"/>
      <c r="BR94" s="266"/>
      <c r="BS94" s="270"/>
    </row>
    <row r="95" spans="1:71">
      <c r="A95" s="251"/>
      <c r="B95" s="251"/>
      <c r="C95" s="251"/>
      <c r="D95" s="251"/>
      <c r="E95" s="576"/>
      <c r="F95" s="577"/>
      <c r="G95" s="577"/>
      <c r="H95" s="578"/>
      <c r="I95" s="579"/>
      <c r="J95" s="580"/>
      <c r="K95" s="580"/>
      <c r="L95" s="581"/>
      <c r="M95" s="579"/>
      <c r="N95" s="580"/>
      <c r="O95" s="580"/>
      <c r="P95" s="581"/>
      <c r="Q95" s="579"/>
      <c r="R95" s="580"/>
      <c r="S95" s="580"/>
      <c r="T95" s="581"/>
      <c r="U95" s="579"/>
      <c r="V95" s="580"/>
      <c r="W95" s="580"/>
      <c r="X95" s="581"/>
      <c r="Y95" s="579"/>
      <c r="Z95" s="580"/>
      <c r="AA95" s="580"/>
      <c r="AB95" s="581"/>
      <c r="AC95" s="258"/>
      <c r="AD95" s="259"/>
      <c r="AE95" s="259"/>
      <c r="AF95" s="260"/>
      <c r="AG95" s="258"/>
      <c r="AH95" s="259"/>
      <c r="AI95" s="259"/>
      <c r="AJ95" s="260"/>
      <c r="AK95" s="258"/>
      <c r="AL95" s="259"/>
      <c r="AM95" s="259"/>
      <c r="AN95" s="260"/>
      <c r="AO95" s="258"/>
      <c r="AP95" s="259"/>
      <c r="AQ95" s="259"/>
      <c r="AR95" s="260"/>
      <c r="AS95" s="258"/>
      <c r="AT95" s="259"/>
      <c r="AU95" s="259"/>
      <c r="AV95" s="260"/>
      <c r="AW95" s="258"/>
      <c r="AX95" s="259"/>
      <c r="AY95" s="259"/>
      <c r="AZ95" s="260"/>
      <c r="BG95" s="243"/>
      <c r="BH95" s="243"/>
      <c r="BI95" s="243"/>
      <c r="BJ95" s="280">
        <v>69</v>
      </c>
      <c r="BK95" s="274">
        <v>36.86</v>
      </c>
      <c r="BL95" s="274">
        <v>39.85</v>
      </c>
      <c r="BM95" s="274">
        <v>50.94</v>
      </c>
      <c r="BN95" s="274">
        <v>54.06</v>
      </c>
      <c r="BO95" s="274">
        <v>62.32</v>
      </c>
      <c r="BP95" s="280"/>
      <c r="BQ95" s="266"/>
      <c r="BR95" s="266"/>
      <c r="BS95" s="270"/>
    </row>
    <row r="96" spans="1:71">
      <c r="A96" s="251"/>
      <c r="B96" s="251"/>
      <c r="C96" s="251"/>
      <c r="D96" s="251"/>
      <c r="E96" s="582"/>
      <c r="F96" s="583"/>
      <c r="G96" s="583"/>
      <c r="H96" s="584"/>
      <c r="I96" s="573"/>
      <c r="J96" s="574"/>
      <c r="K96" s="574"/>
      <c r="L96" s="575"/>
      <c r="M96" s="573"/>
      <c r="N96" s="574"/>
      <c r="O96" s="574"/>
      <c r="P96" s="575"/>
      <c r="Q96" s="573"/>
      <c r="R96" s="574"/>
      <c r="S96" s="574"/>
      <c r="T96" s="575"/>
      <c r="U96" s="573"/>
      <c r="V96" s="574"/>
      <c r="W96" s="574"/>
      <c r="X96" s="575"/>
      <c r="Y96" s="573"/>
      <c r="Z96" s="574"/>
      <c r="AA96" s="574"/>
      <c r="AB96" s="575"/>
      <c r="AC96" s="258"/>
      <c r="AD96" s="259"/>
      <c r="AE96" s="259"/>
      <c r="AF96" s="260"/>
      <c r="AG96" s="258"/>
      <c r="AH96" s="259"/>
      <c r="AI96" s="259"/>
      <c r="AJ96" s="260"/>
      <c r="AK96" s="258"/>
      <c r="AL96" s="259"/>
      <c r="AM96" s="259"/>
      <c r="AN96" s="260"/>
      <c r="AO96" s="258"/>
      <c r="AP96" s="259"/>
      <c r="AQ96" s="259"/>
      <c r="AR96" s="260"/>
      <c r="AS96" s="258"/>
      <c r="AT96" s="259"/>
      <c r="AU96" s="259"/>
      <c r="AV96" s="260"/>
      <c r="AW96" s="258"/>
      <c r="AX96" s="259"/>
      <c r="AY96" s="259"/>
      <c r="AZ96" s="260"/>
      <c r="BG96" s="243"/>
      <c r="BH96" s="243"/>
      <c r="BI96" s="243"/>
      <c r="BJ96" s="280">
        <v>70</v>
      </c>
      <c r="BK96" s="274">
        <v>37.29</v>
      </c>
      <c r="BL96" s="274">
        <v>40.29</v>
      </c>
      <c r="BM96" s="274">
        <v>51.52</v>
      </c>
      <c r="BN96" s="274">
        <v>54.69</v>
      </c>
      <c r="BO96" s="274">
        <v>63.05</v>
      </c>
      <c r="BP96" s="280"/>
      <c r="BQ96" s="266"/>
      <c r="BR96" s="266"/>
      <c r="BS96" s="270"/>
    </row>
    <row r="97" spans="1:71">
      <c r="A97" s="251"/>
      <c r="B97" s="251"/>
      <c r="C97" s="251"/>
      <c r="D97" s="251"/>
      <c r="E97" s="576"/>
      <c r="F97" s="577"/>
      <c r="G97" s="577"/>
      <c r="H97" s="578"/>
      <c r="I97" s="579"/>
      <c r="J97" s="580"/>
      <c r="K97" s="580"/>
      <c r="L97" s="581"/>
      <c r="M97" s="579"/>
      <c r="N97" s="580"/>
      <c r="O97" s="580"/>
      <c r="P97" s="581"/>
      <c r="Q97" s="579"/>
      <c r="R97" s="580"/>
      <c r="S97" s="580"/>
      <c r="T97" s="581"/>
      <c r="U97" s="579"/>
      <c r="V97" s="580"/>
      <c r="W97" s="580"/>
      <c r="X97" s="581"/>
      <c r="Y97" s="579"/>
      <c r="Z97" s="580"/>
      <c r="AA97" s="580"/>
      <c r="AB97" s="581"/>
      <c r="AC97" s="258"/>
      <c r="AD97" s="259"/>
      <c r="AE97" s="259"/>
      <c r="AF97" s="260"/>
      <c r="AG97" s="258"/>
      <c r="AH97" s="259"/>
      <c r="AI97" s="259"/>
      <c r="AJ97" s="260"/>
      <c r="AK97" s="258"/>
      <c r="AL97" s="259"/>
      <c r="AM97" s="259"/>
      <c r="AN97" s="260"/>
      <c r="AO97" s="258"/>
      <c r="AP97" s="259"/>
      <c r="AQ97" s="259"/>
      <c r="AR97" s="260"/>
      <c r="AS97" s="258"/>
      <c r="AT97" s="259"/>
      <c r="AU97" s="259"/>
      <c r="AV97" s="260"/>
      <c r="AW97" s="258"/>
      <c r="AX97" s="259"/>
      <c r="AY97" s="259"/>
      <c r="AZ97" s="260"/>
      <c r="BG97" s="243"/>
      <c r="BH97" s="243"/>
      <c r="BI97" s="243"/>
      <c r="BJ97" s="281">
        <v>75</v>
      </c>
      <c r="BK97" s="274">
        <v>40.03</v>
      </c>
      <c r="BL97" s="274">
        <v>43.39</v>
      </c>
      <c r="BM97" s="274">
        <v>55.54</v>
      </c>
      <c r="BN97" s="274">
        <v>58.79</v>
      </c>
      <c r="BO97" s="274">
        <v>67.36</v>
      </c>
      <c r="BP97" s="281"/>
      <c r="BQ97" s="266"/>
      <c r="BR97" s="266"/>
      <c r="BS97" s="270"/>
    </row>
    <row r="98" spans="1:71">
      <c r="A98" s="251"/>
      <c r="B98" s="251"/>
      <c r="C98" s="251"/>
      <c r="D98" s="251"/>
      <c r="E98" s="582"/>
      <c r="F98" s="583"/>
      <c r="G98" s="583"/>
      <c r="H98" s="584"/>
      <c r="I98" s="573"/>
      <c r="J98" s="574"/>
      <c r="K98" s="574"/>
      <c r="L98" s="575"/>
      <c r="M98" s="573"/>
      <c r="N98" s="574"/>
      <c r="O98" s="574"/>
      <c r="P98" s="575"/>
      <c r="Q98" s="573"/>
      <c r="R98" s="574"/>
      <c r="S98" s="574"/>
      <c r="T98" s="575"/>
      <c r="U98" s="573"/>
      <c r="V98" s="574"/>
      <c r="W98" s="574"/>
      <c r="X98" s="575"/>
      <c r="Y98" s="573"/>
      <c r="Z98" s="574"/>
      <c r="AA98" s="574"/>
      <c r="AB98" s="575"/>
      <c r="AC98" s="258"/>
      <c r="AD98" s="259"/>
      <c r="AE98" s="259"/>
      <c r="AF98" s="260"/>
      <c r="AG98" s="258"/>
      <c r="AH98" s="259"/>
      <c r="AI98" s="259"/>
      <c r="AJ98" s="260"/>
      <c r="AK98" s="258"/>
      <c r="AL98" s="259"/>
      <c r="AM98" s="259"/>
      <c r="AN98" s="260"/>
      <c r="AO98" s="258"/>
      <c r="AP98" s="259"/>
      <c r="AQ98" s="259"/>
      <c r="AR98" s="260"/>
      <c r="AS98" s="258"/>
      <c r="AT98" s="259"/>
      <c r="AU98" s="259"/>
      <c r="AV98" s="260"/>
      <c r="AW98" s="258"/>
      <c r="AX98" s="259"/>
      <c r="AY98" s="259"/>
      <c r="AZ98" s="260"/>
      <c r="BG98" s="243"/>
      <c r="BH98" s="243"/>
      <c r="BI98" s="243"/>
      <c r="BJ98" s="281">
        <v>80</v>
      </c>
      <c r="BK98" s="274">
        <v>42.78</v>
      </c>
      <c r="BL98" s="274">
        <v>46.49</v>
      </c>
      <c r="BM98" s="274">
        <v>59.55</v>
      </c>
      <c r="BN98" s="274">
        <v>62.9</v>
      </c>
      <c r="BO98" s="274">
        <v>71.66</v>
      </c>
      <c r="BP98" s="281"/>
      <c r="BQ98" s="266"/>
      <c r="BR98" s="266"/>
      <c r="BS98" s="270"/>
    </row>
    <row r="99" spans="1:71">
      <c r="A99" s="251"/>
      <c r="B99" s="251"/>
      <c r="C99" s="251"/>
      <c r="D99" s="251"/>
      <c r="E99" s="576"/>
      <c r="F99" s="577"/>
      <c r="G99" s="577"/>
      <c r="H99" s="578"/>
      <c r="I99" s="579"/>
      <c r="J99" s="580"/>
      <c r="K99" s="580"/>
      <c r="L99" s="581"/>
      <c r="M99" s="579"/>
      <c r="N99" s="580"/>
      <c r="O99" s="580"/>
      <c r="P99" s="581"/>
      <c r="Q99" s="579"/>
      <c r="R99" s="580"/>
      <c r="S99" s="580"/>
      <c r="T99" s="581"/>
      <c r="U99" s="579"/>
      <c r="V99" s="580"/>
      <c r="W99" s="580"/>
      <c r="X99" s="581"/>
      <c r="Y99" s="579"/>
      <c r="Z99" s="580"/>
      <c r="AA99" s="580"/>
      <c r="AB99" s="581"/>
      <c r="AC99" s="258"/>
      <c r="AD99" s="259"/>
      <c r="AE99" s="259"/>
      <c r="AF99" s="260"/>
      <c r="AG99" s="258"/>
      <c r="AH99" s="259"/>
      <c r="AI99" s="259"/>
      <c r="AJ99" s="260"/>
      <c r="AK99" s="258"/>
      <c r="AL99" s="259"/>
      <c r="AM99" s="259"/>
      <c r="AN99" s="260"/>
      <c r="AO99" s="258"/>
      <c r="AP99" s="259"/>
      <c r="AQ99" s="259"/>
      <c r="AR99" s="260"/>
      <c r="AS99" s="258"/>
      <c r="AT99" s="259"/>
      <c r="AU99" s="259"/>
      <c r="AV99" s="260"/>
      <c r="AW99" s="258"/>
      <c r="AX99" s="259"/>
      <c r="AY99" s="259"/>
      <c r="AZ99" s="260"/>
      <c r="BG99" s="243"/>
      <c r="BH99" s="243"/>
      <c r="BI99" s="243"/>
      <c r="BJ99" s="281">
        <v>85</v>
      </c>
      <c r="BK99" s="274">
        <v>45.53</v>
      </c>
      <c r="BL99" s="274">
        <v>49.6</v>
      </c>
      <c r="BM99" s="274">
        <v>63.57</v>
      </c>
      <c r="BN99" s="274">
        <v>67</v>
      </c>
      <c r="BO99" s="274">
        <v>75.97</v>
      </c>
      <c r="BP99" s="281"/>
      <c r="BQ99" s="266"/>
      <c r="BR99" s="266"/>
      <c r="BS99" s="270"/>
    </row>
    <row r="100" spans="1:71">
      <c r="A100" s="251"/>
      <c r="B100" s="251"/>
      <c r="C100" s="251"/>
      <c r="D100" s="251"/>
      <c r="E100" s="582"/>
      <c r="F100" s="583"/>
      <c r="G100" s="583"/>
      <c r="H100" s="584"/>
      <c r="I100" s="573"/>
      <c r="J100" s="574"/>
      <c r="K100" s="574"/>
      <c r="L100" s="575"/>
      <c r="M100" s="573"/>
      <c r="N100" s="574"/>
      <c r="O100" s="574"/>
      <c r="P100" s="575"/>
      <c r="Q100" s="573"/>
      <c r="R100" s="574"/>
      <c r="S100" s="574"/>
      <c r="T100" s="575"/>
      <c r="U100" s="573"/>
      <c r="V100" s="574"/>
      <c r="W100" s="574"/>
      <c r="X100" s="575"/>
      <c r="Y100" s="573"/>
      <c r="Z100" s="574"/>
      <c r="AA100" s="574"/>
      <c r="AB100" s="575"/>
      <c r="AC100" s="258"/>
      <c r="AD100" s="259"/>
      <c r="AE100" s="259"/>
      <c r="AF100" s="260"/>
      <c r="AG100" s="258"/>
      <c r="AH100" s="259"/>
      <c r="AI100" s="259"/>
      <c r="AJ100" s="260"/>
      <c r="AK100" s="258"/>
      <c r="AL100" s="259"/>
      <c r="AM100" s="259"/>
      <c r="AN100" s="260"/>
      <c r="AO100" s="258"/>
      <c r="AP100" s="259"/>
      <c r="AQ100" s="259"/>
      <c r="AR100" s="260"/>
      <c r="AS100" s="258"/>
      <c r="AT100" s="259"/>
      <c r="AU100" s="259"/>
      <c r="AV100" s="260"/>
      <c r="AW100" s="258"/>
      <c r="AX100" s="259"/>
      <c r="AY100" s="259"/>
      <c r="AZ100" s="260"/>
      <c r="BG100" s="243"/>
      <c r="BH100" s="243"/>
      <c r="BI100" s="243"/>
      <c r="BJ100" s="281">
        <v>90</v>
      </c>
      <c r="BK100" s="274">
        <v>48.28</v>
      </c>
      <c r="BL100" s="274">
        <v>52.7</v>
      </c>
      <c r="BM100" s="274">
        <v>67.59</v>
      </c>
      <c r="BN100" s="274">
        <v>71.11</v>
      </c>
      <c r="BO100" s="274">
        <v>80.28</v>
      </c>
      <c r="BP100" s="281"/>
      <c r="BQ100" s="266"/>
      <c r="BR100" s="266"/>
      <c r="BS100" s="270"/>
    </row>
    <row r="101" spans="1:71">
      <c r="A101" s="251"/>
      <c r="B101" s="251"/>
      <c r="C101" s="251"/>
      <c r="D101" s="251"/>
      <c r="E101" s="576"/>
      <c r="F101" s="577"/>
      <c r="G101" s="577"/>
      <c r="H101" s="578"/>
      <c r="I101" s="579"/>
      <c r="J101" s="580"/>
      <c r="K101" s="580"/>
      <c r="L101" s="581"/>
      <c r="M101" s="579"/>
      <c r="N101" s="580"/>
      <c r="O101" s="580"/>
      <c r="P101" s="581"/>
      <c r="Q101" s="579"/>
      <c r="R101" s="580"/>
      <c r="S101" s="580"/>
      <c r="T101" s="581"/>
      <c r="U101" s="579"/>
      <c r="V101" s="580"/>
      <c r="W101" s="580"/>
      <c r="X101" s="581"/>
      <c r="Y101" s="579"/>
      <c r="Z101" s="580"/>
      <c r="AA101" s="580"/>
      <c r="AB101" s="581"/>
      <c r="AC101" s="258"/>
      <c r="AD101" s="259"/>
      <c r="AE101" s="259"/>
      <c r="AF101" s="260"/>
      <c r="AG101" s="258"/>
      <c r="AH101" s="259"/>
      <c r="AI101" s="259"/>
      <c r="AJ101" s="260"/>
      <c r="AK101" s="258"/>
      <c r="AL101" s="259"/>
      <c r="AM101" s="259"/>
      <c r="AN101" s="260"/>
      <c r="AO101" s="258"/>
      <c r="AP101" s="259"/>
      <c r="AQ101" s="259"/>
      <c r="AR101" s="260"/>
      <c r="AS101" s="258"/>
      <c r="AT101" s="259"/>
      <c r="AU101" s="259"/>
      <c r="AV101" s="260"/>
      <c r="AW101" s="258"/>
      <c r="AX101" s="259"/>
      <c r="AY101" s="259"/>
      <c r="AZ101" s="260"/>
      <c r="BG101" s="243"/>
      <c r="BH101" s="243"/>
      <c r="BI101" s="243"/>
      <c r="BJ101" s="281">
        <v>95</v>
      </c>
      <c r="BK101" s="274">
        <v>51.03</v>
      </c>
      <c r="BL101" s="274">
        <v>55.8</v>
      </c>
      <c r="BM101" s="274">
        <v>71.599999999999994</v>
      </c>
      <c r="BN101" s="274">
        <v>75.22</v>
      </c>
      <c r="BO101" s="274">
        <v>84.59</v>
      </c>
      <c r="BP101" s="281"/>
      <c r="BQ101" s="266"/>
      <c r="BR101" s="266"/>
      <c r="BS101" s="270"/>
    </row>
    <row r="102" spans="1:71">
      <c r="A102" s="251"/>
      <c r="B102" s="251"/>
      <c r="C102" s="251"/>
      <c r="D102" s="251"/>
      <c r="E102" s="582"/>
      <c r="F102" s="583"/>
      <c r="G102" s="583"/>
      <c r="H102" s="584"/>
      <c r="I102" s="573"/>
      <c r="J102" s="574"/>
      <c r="K102" s="574"/>
      <c r="L102" s="575"/>
      <c r="M102" s="573"/>
      <c r="N102" s="574"/>
      <c r="O102" s="574"/>
      <c r="P102" s="575"/>
      <c r="Q102" s="573"/>
      <c r="R102" s="574"/>
      <c r="S102" s="574"/>
      <c r="T102" s="575"/>
      <c r="U102" s="573"/>
      <c r="V102" s="574"/>
      <c r="W102" s="574"/>
      <c r="X102" s="575"/>
      <c r="Y102" s="573"/>
      <c r="Z102" s="574"/>
      <c r="AA102" s="574"/>
      <c r="AB102" s="575"/>
      <c r="AC102" s="258"/>
      <c r="AD102" s="259"/>
      <c r="AE102" s="259"/>
      <c r="AF102" s="260"/>
      <c r="AG102" s="258"/>
      <c r="AH102" s="259"/>
      <c r="AI102" s="259"/>
      <c r="AJ102" s="260"/>
      <c r="AK102" s="258"/>
      <c r="AL102" s="259"/>
      <c r="AM102" s="259"/>
      <c r="AN102" s="260"/>
      <c r="AO102" s="258"/>
      <c r="AP102" s="259"/>
      <c r="AQ102" s="259"/>
      <c r="AR102" s="260"/>
      <c r="AS102" s="258"/>
      <c r="AT102" s="259"/>
      <c r="AU102" s="259"/>
      <c r="AV102" s="260"/>
      <c r="AW102" s="258"/>
      <c r="AX102" s="259"/>
      <c r="AY102" s="259"/>
      <c r="AZ102" s="260"/>
      <c r="BG102" s="243"/>
      <c r="BH102" s="243"/>
      <c r="BI102" s="243"/>
      <c r="BJ102" s="281">
        <v>100</v>
      </c>
      <c r="BK102" s="274">
        <v>53.78</v>
      </c>
      <c r="BL102" s="274">
        <v>58.9</v>
      </c>
      <c r="BM102" s="274">
        <v>75.62</v>
      </c>
      <c r="BN102" s="274">
        <v>79.319999999999993</v>
      </c>
      <c r="BO102" s="274">
        <v>88.9</v>
      </c>
      <c r="BP102" s="281"/>
      <c r="BQ102" s="266"/>
      <c r="BR102" s="266"/>
      <c r="BS102" s="270"/>
    </row>
    <row r="103" spans="1:71">
      <c r="A103" s="251"/>
      <c r="B103" s="251"/>
      <c r="C103" s="251"/>
      <c r="D103" s="251"/>
      <c r="E103" s="576"/>
      <c r="F103" s="577"/>
      <c r="G103" s="577"/>
      <c r="H103" s="578"/>
      <c r="I103" s="579"/>
      <c r="J103" s="580"/>
      <c r="K103" s="580"/>
      <c r="L103" s="581"/>
      <c r="M103" s="579"/>
      <c r="N103" s="580"/>
      <c r="O103" s="580"/>
      <c r="P103" s="581"/>
      <c r="Q103" s="579"/>
      <c r="R103" s="580"/>
      <c r="S103" s="580"/>
      <c r="T103" s="581"/>
      <c r="U103" s="579"/>
      <c r="V103" s="580"/>
      <c r="W103" s="580"/>
      <c r="X103" s="581"/>
      <c r="Y103" s="579"/>
      <c r="Z103" s="580"/>
      <c r="AA103" s="580"/>
      <c r="AB103" s="581"/>
      <c r="AC103" s="258"/>
      <c r="AD103" s="259"/>
      <c r="AE103" s="259"/>
      <c r="AF103" s="260"/>
      <c r="AG103" s="258"/>
      <c r="AH103" s="259"/>
      <c r="AI103" s="259"/>
      <c r="AJ103" s="260"/>
      <c r="AK103" s="258"/>
      <c r="AL103" s="259"/>
      <c r="AM103" s="259"/>
      <c r="AN103" s="260"/>
      <c r="AO103" s="258"/>
      <c r="AP103" s="259"/>
      <c r="AQ103" s="259"/>
      <c r="AR103" s="260"/>
      <c r="AS103" s="258"/>
      <c r="AT103" s="259"/>
      <c r="AU103" s="259"/>
      <c r="AV103" s="260"/>
      <c r="AW103" s="258"/>
      <c r="AX103" s="259"/>
      <c r="AY103" s="259"/>
      <c r="AZ103" s="260"/>
      <c r="BG103" s="243"/>
      <c r="BH103" s="243"/>
      <c r="BI103" s="243"/>
      <c r="BJ103" s="281">
        <v>105</v>
      </c>
      <c r="BK103" s="274">
        <v>56.53</v>
      </c>
      <c r="BL103" s="274">
        <v>62.01</v>
      </c>
      <c r="BM103" s="274">
        <v>79.64</v>
      </c>
      <c r="BN103" s="274">
        <v>83.43</v>
      </c>
      <c r="BO103" s="274">
        <v>93.21</v>
      </c>
      <c r="BP103" s="281"/>
      <c r="BQ103" s="266"/>
      <c r="BR103" s="266"/>
      <c r="BS103" s="270"/>
    </row>
    <row r="104" spans="1:71">
      <c r="A104" s="251"/>
      <c r="B104" s="251"/>
      <c r="C104" s="251"/>
      <c r="D104" s="251"/>
      <c r="E104" s="582"/>
      <c r="F104" s="583"/>
      <c r="G104" s="583"/>
      <c r="H104" s="584"/>
      <c r="I104" s="573"/>
      <c r="J104" s="574"/>
      <c r="K104" s="574"/>
      <c r="L104" s="575"/>
      <c r="M104" s="573"/>
      <c r="N104" s="574"/>
      <c r="O104" s="574"/>
      <c r="P104" s="575"/>
      <c r="Q104" s="573"/>
      <c r="R104" s="574"/>
      <c r="S104" s="574"/>
      <c r="T104" s="575"/>
      <c r="U104" s="573"/>
      <c r="V104" s="574"/>
      <c r="W104" s="574"/>
      <c r="X104" s="575"/>
      <c r="Y104" s="573"/>
      <c r="Z104" s="574"/>
      <c r="AA104" s="574"/>
      <c r="AB104" s="575"/>
      <c r="AC104" s="258"/>
      <c r="AD104" s="259"/>
      <c r="AE104" s="259"/>
      <c r="AF104" s="260"/>
      <c r="AG104" s="258"/>
      <c r="AH104" s="259"/>
      <c r="AI104" s="259"/>
      <c r="AJ104" s="260"/>
      <c r="AK104" s="258"/>
      <c r="AL104" s="259"/>
      <c r="AM104" s="259"/>
      <c r="AN104" s="260"/>
      <c r="AO104" s="258"/>
      <c r="AP104" s="259"/>
      <c r="AQ104" s="259"/>
      <c r="AR104" s="260"/>
      <c r="AS104" s="258"/>
      <c r="AT104" s="259"/>
      <c r="AU104" s="259"/>
      <c r="AV104" s="260"/>
      <c r="AW104" s="258"/>
      <c r="AX104" s="259"/>
      <c r="AY104" s="259"/>
      <c r="AZ104" s="260"/>
      <c r="BG104" s="243"/>
      <c r="BH104" s="243"/>
      <c r="BI104" s="243"/>
      <c r="BJ104" s="281">
        <v>110</v>
      </c>
      <c r="BK104" s="274">
        <v>59.28</v>
      </c>
      <c r="BL104" s="274">
        <v>65.11</v>
      </c>
      <c r="BM104" s="274">
        <v>83.65</v>
      </c>
      <c r="BN104" s="274">
        <v>87.54</v>
      </c>
      <c r="BO104" s="274">
        <v>97.52</v>
      </c>
      <c r="BP104" s="281"/>
      <c r="BQ104" s="266"/>
      <c r="BR104" s="266"/>
      <c r="BS104" s="270"/>
    </row>
    <row r="105" spans="1:71">
      <c r="A105" s="251"/>
      <c r="B105" s="251"/>
      <c r="C105" s="251"/>
      <c r="D105" s="251"/>
      <c r="E105" s="576"/>
      <c r="F105" s="577"/>
      <c r="G105" s="577"/>
      <c r="H105" s="578"/>
      <c r="I105" s="579"/>
      <c r="J105" s="580"/>
      <c r="K105" s="580"/>
      <c r="L105" s="581"/>
      <c r="M105" s="579"/>
      <c r="N105" s="580"/>
      <c r="O105" s="580"/>
      <c r="P105" s="581"/>
      <c r="Q105" s="579"/>
      <c r="R105" s="580"/>
      <c r="S105" s="580"/>
      <c r="T105" s="581"/>
      <c r="U105" s="579"/>
      <c r="V105" s="580"/>
      <c r="W105" s="580"/>
      <c r="X105" s="581"/>
      <c r="Y105" s="579"/>
      <c r="Z105" s="580"/>
      <c r="AA105" s="580"/>
      <c r="AB105" s="581"/>
      <c r="AC105" s="258"/>
      <c r="AD105" s="259"/>
      <c r="AE105" s="259"/>
      <c r="AF105" s="260"/>
      <c r="AG105" s="258"/>
      <c r="AH105" s="259"/>
      <c r="AI105" s="259"/>
      <c r="AJ105" s="260"/>
      <c r="AK105" s="258"/>
      <c r="AL105" s="259"/>
      <c r="AM105" s="259"/>
      <c r="AN105" s="260"/>
      <c r="AO105" s="258"/>
      <c r="AP105" s="259"/>
      <c r="AQ105" s="259"/>
      <c r="AR105" s="260"/>
      <c r="AS105" s="258"/>
      <c r="AT105" s="259"/>
      <c r="AU105" s="259"/>
      <c r="AV105" s="260"/>
      <c r="AW105" s="258"/>
      <c r="AX105" s="259"/>
      <c r="AY105" s="259"/>
      <c r="AZ105" s="260"/>
      <c r="BG105" s="243"/>
      <c r="BH105" s="243"/>
      <c r="BI105" s="243"/>
      <c r="BJ105" s="281">
        <v>115</v>
      </c>
      <c r="BK105" s="274">
        <v>62.03</v>
      </c>
      <c r="BL105" s="274">
        <v>68.209999999999994</v>
      </c>
      <c r="BM105" s="274">
        <v>87.67</v>
      </c>
      <c r="BN105" s="274">
        <v>91.64</v>
      </c>
      <c r="BO105" s="274">
        <v>101.83</v>
      </c>
      <c r="BP105" s="281"/>
      <c r="BQ105" s="266"/>
      <c r="BR105" s="266"/>
      <c r="BS105" s="270"/>
    </row>
    <row r="106" spans="1:71">
      <c r="A106" s="251"/>
      <c r="B106" s="251"/>
      <c r="C106" s="251"/>
      <c r="D106" s="251"/>
      <c r="E106" s="582"/>
      <c r="F106" s="583"/>
      <c r="G106" s="583"/>
      <c r="H106" s="584"/>
      <c r="I106" s="573"/>
      <c r="J106" s="574"/>
      <c r="K106" s="574"/>
      <c r="L106" s="575"/>
      <c r="M106" s="573"/>
      <c r="N106" s="574"/>
      <c r="O106" s="574"/>
      <c r="P106" s="575"/>
      <c r="Q106" s="573"/>
      <c r="R106" s="574"/>
      <c r="S106" s="574"/>
      <c r="T106" s="575"/>
      <c r="U106" s="573"/>
      <c r="V106" s="574"/>
      <c r="W106" s="574"/>
      <c r="X106" s="575"/>
      <c r="Y106" s="573"/>
      <c r="Z106" s="574"/>
      <c r="AA106" s="574"/>
      <c r="AB106" s="575"/>
      <c r="AC106" s="258"/>
      <c r="AD106" s="259"/>
      <c r="AE106" s="259"/>
      <c r="AF106" s="260"/>
      <c r="AG106" s="258"/>
      <c r="AH106" s="259"/>
      <c r="AI106" s="259"/>
      <c r="AJ106" s="260"/>
      <c r="AK106" s="258"/>
      <c r="AL106" s="259"/>
      <c r="AM106" s="259"/>
      <c r="AN106" s="260"/>
      <c r="AO106" s="258"/>
      <c r="AP106" s="259"/>
      <c r="AQ106" s="259"/>
      <c r="AR106" s="260"/>
      <c r="AS106" s="258"/>
      <c r="AT106" s="259"/>
      <c r="AU106" s="259"/>
      <c r="AV106" s="260"/>
      <c r="AW106" s="258"/>
      <c r="AX106" s="259"/>
      <c r="AY106" s="259"/>
      <c r="AZ106" s="260"/>
      <c r="BG106" s="243"/>
      <c r="BH106" s="243"/>
      <c r="BI106" s="243"/>
      <c r="BJ106" s="281">
        <v>120</v>
      </c>
      <c r="BK106" s="274">
        <v>64.78</v>
      </c>
      <c r="BL106" s="274">
        <v>71.319999999999993</v>
      </c>
      <c r="BM106" s="274">
        <v>91.69</v>
      </c>
      <c r="BN106" s="274">
        <v>95.75</v>
      </c>
      <c r="BO106" s="274">
        <v>106.14</v>
      </c>
      <c r="BP106" s="281"/>
      <c r="BQ106" s="266"/>
      <c r="BR106" s="266"/>
      <c r="BS106" s="270"/>
    </row>
    <row r="107" spans="1:71">
      <c r="A107" s="251"/>
      <c r="B107" s="251"/>
      <c r="C107" s="251"/>
      <c r="D107" s="251"/>
      <c r="E107" s="576"/>
      <c r="F107" s="577"/>
      <c r="G107" s="577"/>
      <c r="H107" s="578"/>
      <c r="I107" s="579"/>
      <c r="J107" s="580"/>
      <c r="K107" s="580"/>
      <c r="L107" s="581"/>
      <c r="M107" s="579"/>
      <c r="N107" s="580"/>
      <c r="O107" s="580"/>
      <c r="P107" s="581"/>
      <c r="Q107" s="579"/>
      <c r="R107" s="580"/>
      <c r="S107" s="580"/>
      <c r="T107" s="581"/>
      <c r="U107" s="579"/>
      <c r="V107" s="580"/>
      <c r="W107" s="580"/>
      <c r="X107" s="581"/>
      <c r="Y107" s="579"/>
      <c r="Z107" s="580"/>
      <c r="AA107" s="580"/>
      <c r="AB107" s="581"/>
      <c r="AC107" s="258"/>
      <c r="AD107" s="259"/>
      <c r="AE107" s="259"/>
      <c r="AF107" s="260"/>
      <c r="AG107" s="258"/>
      <c r="AH107" s="259"/>
      <c r="AI107" s="259"/>
      <c r="AJ107" s="260"/>
      <c r="AK107" s="258"/>
      <c r="AL107" s="259"/>
      <c r="AM107" s="259"/>
      <c r="AN107" s="260"/>
      <c r="AO107" s="258"/>
      <c r="AP107" s="259"/>
      <c r="AQ107" s="259"/>
      <c r="AR107" s="260"/>
      <c r="AS107" s="258"/>
      <c r="AT107" s="259"/>
      <c r="AU107" s="259"/>
      <c r="AV107" s="260"/>
      <c r="AW107" s="258"/>
      <c r="AX107" s="259"/>
      <c r="AY107" s="259"/>
      <c r="AZ107" s="260"/>
      <c r="BG107" s="243"/>
      <c r="BH107" s="243"/>
      <c r="BI107" s="243"/>
      <c r="BJ107" s="281">
        <v>125</v>
      </c>
      <c r="BK107" s="274">
        <v>67.53</v>
      </c>
      <c r="BL107" s="274">
        <v>74.42</v>
      </c>
      <c r="BM107" s="274">
        <v>95.7</v>
      </c>
      <c r="BN107" s="274">
        <v>99.86</v>
      </c>
      <c r="BO107" s="274">
        <v>110.45</v>
      </c>
      <c r="BP107" s="281"/>
      <c r="BQ107" s="266"/>
      <c r="BR107" s="266"/>
      <c r="BS107" s="270"/>
    </row>
    <row r="108" spans="1:71">
      <c r="A108" s="251"/>
      <c r="B108" s="251"/>
      <c r="C108" s="251"/>
      <c r="D108" s="251"/>
      <c r="E108" s="582"/>
      <c r="F108" s="583"/>
      <c r="G108" s="583"/>
      <c r="H108" s="584"/>
      <c r="I108" s="573"/>
      <c r="J108" s="574"/>
      <c r="K108" s="574"/>
      <c r="L108" s="575"/>
      <c r="M108" s="573"/>
      <c r="N108" s="574"/>
      <c r="O108" s="574"/>
      <c r="P108" s="575"/>
      <c r="Q108" s="573"/>
      <c r="R108" s="574"/>
      <c r="S108" s="574"/>
      <c r="T108" s="575"/>
      <c r="U108" s="573"/>
      <c r="V108" s="574"/>
      <c r="W108" s="574"/>
      <c r="X108" s="575"/>
      <c r="Y108" s="573"/>
      <c r="Z108" s="574"/>
      <c r="AA108" s="574"/>
      <c r="AB108" s="575"/>
      <c r="AC108" s="258"/>
      <c r="AD108" s="259"/>
      <c r="AE108" s="259"/>
      <c r="AF108" s="260"/>
      <c r="AG108" s="258"/>
      <c r="AH108" s="259"/>
      <c r="AI108" s="259"/>
      <c r="AJ108" s="260"/>
      <c r="AK108" s="258"/>
      <c r="AL108" s="259"/>
      <c r="AM108" s="259"/>
      <c r="AN108" s="260"/>
      <c r="AO108" s="258"/>
      <c r="AP108" s="259"/>
      <c r="AQ108" s="259"/>
      <c r="AR108" s="260"/>
      <c r="AS108" s="258"/>
      <c r="AT108" s="259"/>
      <c r="AU108" s="259"/>
      <c r="AV108" s="260"/>
      <c r="AW108" s="258"/>
      <c r="AX108" s="259"/>
      <c r="AY108" s="259"/>
      <c r="AZ108" s="260"/>
      <c r="BG108" s="243"/>
      <c r="BH108" s="243"/>
      <c r="BI108" s="243"/>
      <c r="BJ108" s="281">
        <v>130</v>
      </c>
      <c r="BK108" s="274">
        <v>70.28</v>
      </c>
      <c r="BL108" s="274">
        <v>77.52</v>
      </c>
      <c r="BM108" s="274">
        <v>99.72</v>
      </c>
      <c r="BN108" s="274">
        <v>103.96</v>
      </c>
      <c r="BO108" s="274">
        <v>114.76</v>
      </c>
      <c r="BP108" s="281"/>
      <c r="BQ108" s="266"/>
      <c r="BR108" s="266"/>
      <c r="BS108" s="270"/>
    </row>
    <row r="109" spans="1:71">
      <c r="A109" s="251"/>
      <c r="B109" s="251"/>
      <c r="C109" s="251"/>
      <c r="D109" s="251"/>
      <c r="E109" s="576"/>
      <c r="F109" s="577"/>
      <c r="G109" s="577"/>
      <c r="H109" s="578"/>
      <c r="I109" s="579"/>
      <c r="J109" s="580"/>
      <c r="K109" s="580"/>
      <c r="L109" s="581"/>
      <c r="M109" s="579"/>
      <c r="N109" s="580"/>
      <c r="O109" s="580"/>
      <c r="P109" s="581"/>
      <c r="Q109" s="579"/>
      <c r="R109" s="580"/>
      <c r="S109" s="580"/>
      <c r="T109" s="581"/>
      <c r="U109" s="579"/>
      <c r="V109" s="580"/>
      <c r="W109" s="580"/>
      <c r="X109" s="581"/>
      <c r="Y109" s="579"/>
      <c r="Z109" s="580"/>
      <c r="AA109" s="580"/>
      <c r="AB109" s="581"/>
      <c r="AC109" s="258"/>
      <c r="AD109" s="259"/>
      <c r="AE109" s="259"/>
      <c r="AF109" s="260"/>
      <c r="AG109" s="258"/>
      <c r="AH109" s="259"/>
      <c r="AI109" s="259"/>
      <c r="AJ109" s="260"/>
      <c r="AK109" s="258"/>
      <c r="AL109" s="259"/>
      <c r="AM109" s="259"/>
      <c r="AN109" s="260"/>
      <c r="AO109" s="258"/>
      <c r="AP109" s="259"/>
      <c r="AQ109" s="259"/>
      <c r="AR109" s="260"/>
      <c r="AS109" s="258"/>
      <c r="AT109" s="259"/>
      <c r="AU109" s="259"/>
      <c r="AV109" s="260"/>
      <c r="AW109" s="258"/>
      <c r="AX109" s="259"/>
      <c r="AY109" s="259"/>
      <c r="AZ109" s="260"/>
      <c r="BG109" s="243"/>
      <c r="BH109" s="243"/>
      <c r="BI109" s="243"/>
      <c r="BJ109" s="281">
        <v>135</v>
      </c>
      <c r="BK109" s="274">
        <v>73.02</v>
      </c>
      <c r="BL109" s="274">
        <v>80.63</v>
      </c>
      <c r="BM109" s="274">
        <v>103.74</v>
      </c>
      <c r="BN109" s="274">
        <v>108.07</v>
      </c>
      <c r="BO109" s="274">
        <v>119.07</v>
      </c>
      <c r="BP109" s="281"/>
      <c r="BQ109" s="266"/>
      <c r="BR109" s="266"/>
      <c r="BS109" s="270"/>
    </row>
    <row r="110" spans="1:71">
      <c r="A110" s="251"/>
      <c r="B110" s="251"/>
      <c r="C110" s="251"/>
      <c r="D110" s="251"/>
      <c r="E110" s="582"/>
      <c r="F110" s="583"/>
      <c r="G110" s="583"/>
      <c r="H110" s="584"/>
      <c r="I110" s="573"/>
      <c r="J110" s="574"/>
      <c r="K110" s="574"/>
      <c r="L110" s="575"/>
      <c r="M110" s="573"/>
      <c r="N110" s="574"/>
      <c r="O110" s="574"/>
      <c r="P110" s="575"/>
      <c r="Q110" s="573"/>
      <c r="R110" s="574"/>
      <c r="S110" s="574"/>
      <c r="T110" s="575"/>
      <c r="U110" s="573"/>
      <c r="V110" s="574"/>
      <c r="W110" s="574"/>
      <c r="X110" s="575"/>
      <c r="Y110" s="573"/>
      <c r="Z110" s="574"/>
      <c r="AA110" s="574"/>
      <c r="AB110" s="575"/>
      <c r="AC110" s="258"/>
      <c r="AD110" s="259"/>
      <c r="AE110" s="259"/>
      <c r="AF110" s="260"/>
      <c r="AG110" s="258"/>
      <c r="AH110" s="259"/>
      <c r="AI110" s="259"/>
      <c r="AJ110" s="260"/>
      <c r="AK110" s="258"/>
      <c r="AL110" s="259"/>
      <c r="AM110" s="259"/>
      <c r="AN110" s="260"/>
      <c r="AO110" s="258"/>
      <c r="AP110" s="259"/>
      <c r="AQ110" s="259"/>
      <c r="AR110" s="260"/>
      <c r="AS110" s="258"/>
      <c r="AT110" s="259"/>
      <c r="AU110" s="259"/>
      <c r="AV110" s="260"/>
      <c r="AW110" s="258"/>
      <c r="AX110" s="259"/>
      <c r="AY110" s="259"/>
      <c r="AZ110" s="260"/>
      <c r="BG110" s="243"/>
      <c r="BH110" s="243"/>
      <c r="BI110" s="243"/>
      <c r="BJ110" s="281">
        <v>140</v>
      </c>
      <c r="BK110" s="274">
        <v>75.77</v>
      </c>
      <c r="BL110" s="274">
        <v>83.73</v>
      </c>
      <c r="BM110" s="274">
        <v>107.75</v>
      </c>
      <c r="BN110" s="274">
        <v>112.17</v>
      </c>
      <c r="BO110" s="274">
        <v>123.38</v>
      </c>
      <c r="BP110" s="281"/>
      <c r="BQ110" s="266"/>
      <c r="BR110" s="266"/>
      <c r="BS110" s="270"/>
    </row>
    <row r="111" spans="1:71">
      <c r="A111" s="251"/>
      <c r="B111" s="251"/>
      <c r="C111" s="251"/>
      <c r="D111" s="251"/>
      <c r="E111" s="576"/>
      <c r="F111" s="577"/>
      <c r="G111" s="577"/>
      <c r="H111" s="578"/>
      <c r="I111" s="579"/>
      <c r="J111" s="580"/>
      <c r="K111" s="580"/>
      <c r="L111" s="581"/>
      <c r="M111" s="579"/>
      <c r="N111" s="580"/>
      <c r="O111" s="580"/>
      <c r="P111" s="581"/>
      <c r="Q111" s="579"/>
      <c r="R111" s="580"/>
      <c r="S111" s="580"/>
      <c r="T111" s="581"/>
      <c r="U111" s="579"/>
      <c r="V111" s="580"/>
      <c r="W111" s="580"/>
      <c r="X111" s="581"/>
      <c r="Y111" s="579"/>
      <c r="Z111" s="580"/>
      <c r="AA111" s="580"/>
      <c r="AB111" s="581"/>
      <c r="AC111" s="258"/>
      <c r="AD111" s="259"/>
      <c r="AE111" s="259"/>
      <c r="AF111" s="260"/>
      <c r="AG111" s="258"/>
      <c r="AH111" s="259"/>
      <c r="AI111" s="259"/>
      <c r="AJ111" s="260"/>
      <c r="AK111" s="258"/>
      <c r="AL111" s="259"/>
      <c r="AM111" s="259"/>
      <c r="AN111" s="260"/>
      <c r="AO111" s="258"/>
      <c r="AP111" s="259"/>
      <c r="AQ111" s="259"/>
      <c r="AR111" s="260"/>
      <c r="AS111" s="258"/>
      <c r="AT111" s="259"/>
      <c r="AU111" s="259"/>
      <c r="AV111" s="260"/>
      <c r="AW111" s="258"/>
      <c r="AX111" s="259"/>
      <c r="AY111" s="259"/>
      <c r="AZ111" s="260"/>
      <c r="BG111" s="243"/>
      <c r="BH111" s="243"/>
      <c r="BI111" s="243"/>
      <c r="BJ111" s="281">
        <v>145</v>
      </c>
      <c r="BK111" s="274">
        <v>78.52</v>
      </c>
      <c r="BL111" s="274">
        <v>86.83</v>
      </c>
      <c r="BM111" s="274">
        <v>111.77</v>
      </c>
      <c r="BN111" s="274">
        <v>116.28</v>
      </c>
      <c r="BO111" s="274">
        <v>127.69</v>
      </c>
      <c r="BP111" s="281"/>
      <c r="BQ111" s="266"/>
      <c r="BR111" s="266"/>
      <c r="BS111" s="270"/>
    </row>
    <row r="112" spans="1:71">
      <c r="A112" s="251"/>
      <c r="B112" s="251"/>
      <c r="C112" s="251"/>
      <c r="D112" s="251"/>
      <c r="E112" s="582"/>
      <c r="F112" s="583"/>
      <c r="G112" s="583"/>
      <c r="H112" s="584"/>
      <c r="I112" s="573"/>
      <c r="J112" s="574"/>
      <c r="K112" s="574"/>
      <c r="L112" s="575"/>
      <c r="M112" s="573"/>
      <c r="N112" s="574"/>
      <c r="O112" s="574"/>
      <c r="P112" s="575"/>
      <c r="Q112" s="573"/>
      <c r="R112" s="574"/>
      <c r="S112" s="574"/>
      <c r="T112" s="575"/>
      <c r="U112" s="573"/>
      <c r="V112" s="574"/>
      <c r="W112" s="574"/>
      <c r="X112" s="575"/>
      <c r="Y112" s="573"/>
      <c r="Z112" s="574"/>
      <c r="AA112" s="574"/>
      <c r="AB112" s="575"/>
      <c r="AC112" s="258"/>
      <c r="AD112" s="259"/>
      <c r="AE112" s="259"/>
      <c r="AF112" s="260"/>
      <c r="AG112" s="258"/>
      <c r="AH112" s="259"/>
      <c r="AI112" s="259"/>
      <c r="AJ112" s="260"/>
      <c r="AK112" s="258"/>
      <c r="AL112" s="259"/>
      <c r="AM112" s="259"/>
      <c r="AN112" s="260"/>
      <c r="AO112" s="258"/>
      <c r="AP112" s="259"/>
      <c r="AQ112" s="259"/>
      <c r="AR112" s="260"/>
      <c r="AS112" s="258"/>
      <c r="AT112" s="259"/>
      <c r="AU112" s="259"/>
      <c r="AV112" s="260"/>
      <c r="AW112" s="258"/>
      <c r="AX112" s="259"/>
      <c r="AY112" s="259"/>
      <c r="AZ112" s="260"/>
      <c r="BG112" s="243"/>
      <c r="BH112" s="243"/>
      <c r="BI112" s="243"/>
      <c r="BJ112" s="281">
        <v>150</v>
      </c>
      <c r="BK112" s="274">
        <v>81.27</v>
      </c>
      <c r="BL112" s="274">
        <v>89.93</v>
      </c>
      <c r="BM112" s="274">
        <v>115.79</v>
      </c>
      <c r="BN112" s="274">
        <v>120.39</v>
      </c>
      <c r="BO112" s="274">
        <v>132</v>
      </c>
      <c r="BP112" s="281"/>
      <c r="BQ112" s="266"/>
      <c r="BR112" s="266"/>
      <c r="BS112" s="270"/>
    </row>
    <row r="113" spans="1:71">
      <c r="A113" s="251"/>
      <c r="B113" s="251"/>
      <c r="C113" s="251"/>
      <c r="D113" s="251"/>
      <c r="E113" s="576"/>
      <c r="F113" s="577"/>
      <c r="G113" s="577"/>
      <c r="H113" s="578"/>
      <c r="I113" s="579"/>
      <c r="J113" s="580"/>
      <c r="K113" s="580"/>
      <c r="L113" s="581"/>
      <c r="M113" s="579"/>
      <c r="N113" s="580"/>
      <c r="O113" s="580"/>
      <c r="P113" s="581"/>
      <c r="Q113" s="579"/>
      <c r="R113" s="580"/>
      <c r="S113" s="580"/>
      <c r="T113" s="581"/>
      <c r="U113" s="579"/>
      <c r="V113" s="580"/>
      <c r="W113" s="580"/>
      <c r="X113" s="581"/>
      <c r="Y113" s="579"/>
      <c r="Z113" s="580"/>
      <c r="AA113" s="580"/>
      <c r="AB113" s="581"/>
      <c r="AC113" s="258"/>
      <c r="AD113" s="259"/>
      <c r="AE113" s="259"/>
      <c r="AF113" s="260"/>
      <c r="AG113" s="258"/>
      <c r="AH113" s="259"/>
      <c r="AI113" s="259"/>
      <c r="AJ113" s="260"/>
      <c r="AK113" s="258"/>
      <c r="AL113" s="259"/>
      <c r="AM113" s="259"/>
      <c r="AN113" s="260"/>
      <c r="AO113" s="258"/>
      <c r="AP113" s="259"/>
      <c r="AQ113" s="259"/>
      <c r="AR113" s="260"/>
      <c r="AS113" s="258"/>
      <c r="AT113" s="259"/>
      <c r="AU113" s="259"/>
      <c r="AV113" s="260"/>
      <c r="AW113" s="258"/>
      <c r="AX113" s="259"/>
      <c r="AY113" s="259"/>
      <c r="AZ113" s="260"/>
      <c r="BG113" s="243"/>
      <c r="BH113" s="243"/>
      <c r="BI113" s="243"/>
      <c r="BJ113" s="281">
        <v>155</v>
      </c>
      <c r="BK113" s="274">
        <v>84.02</v>
      </c>
      <c r="BL113" s="274">
        <v>93.04</v>
      </c>
      <c r="BM113" s="274">
        <v>119.8</v>
      </c>
      <c r="BN113" s="274">
        <v>124.49</v>
      </c>
      <c r="BO113" s="274">
        <v>136.31</v>
      </c>
      <c r="BP113" s="281"/>
      <c r="BQ113" s="266"/>
      <c r="BR113" s="266"/>
      <c r="BS113" s="270"/>
    </row>
    <row r="114" spans="1:71">
      <c r="A114" s="251"/>
      <c r="B114" s="251"/>
      <c r="C114" s="251"/>
      <c r="D114" s="251"/>
      <c r="E114" s="582"/>
      <c r="F114" s="583"/>
      <c r="G114" s="583"/>
      <c r="H114" s="584"/>
      <c r="I114" s="573"/>
      <c r="J114" s="574"/>
      <c r="K114" s="574"/>
      <c r="L114" s="575"/>
      <c r="M114" s="573"/>
      <c r="N114" s="574"/>
      <c r="O114" s="574"/>
      <c r="P114" s="575"/>
      <c r="Q114" s="573"/>
      <c r="R114" s="574"/>
      <c r="S114" s="574"/>
      <c r="T114" s="575"/>
      <c r="U114" s="573"/>
      <c r="V114" s="574"/>
      <c r="W114" s="574"/>
      <c r="X114" s="575"/>
      <c r="Y114" s="573"/>
      <c r="Z114" s="574"/>
      <c r="AA114" s="574"/>
      <c r="AB114" s="575"/>
      <c r="AC114" s="258"/>
      <c r="AD114" s="259"/>
      <c r="AE114" s="259"/>
      <c r="AF114" s="260"/>
      <c r="AG114" s="258"/>
      <c r="AH114" s="259"/>
      <c r="AI114" s="259"/>
      <c r="AJ114" s="260"/>
      <c r="AK114" s="258"/>
      <c r="AL114" s="259"/>
      <c r="AM114" s="259"/>
      <c r="AN114" s="260"/>
      <c r="AO114" s="258"/>
      <c r="AP114" s="259"/>
      <c r="AQ114" s="259"/>
      <c r="AR114" s="260"/>
      <c r="AS114" s="258"/>
      <c r="AT114" s="259"/>
      <c r="AU114" s="259"/>
      <c r="AV114" s="260"/>
      <c r="AW114" s="258"/>
      <c r="AX114" s="259"/>
      <c r="AY114" s="259"/>
      <c r="AZ114" s="260"/>
      <c r="BG114" s="243"/>
      <c r="BH114" s="243"/>
      <c r="BI114" s="243"/>
      <c r="BJ114" s="281">
        <v>160</v>
      </c>
      <c r="BK114" s="274">
        <v>86.77</v>
      </c>
      <c r="BL114" s="274">
        <v>96.14</v>
      </c>
      <c r="BM114" s="274">
        <v>123.82</v>
      </c>
      <c r="BN114" s="274">
        <v>128.6</v>
      </c>
      <c r="BO114" s="274">
        <v>140.62</v>
      </c>
      <c r="BP114" s="281"/>
      <c r="BQ114" s="266"/>
      <c r="BR114" s="266"/>
      <c r="BS114" s="270"/>
    </row>
    <row r="115" spans="1:71">
      <c r="A115" s="251"/>
      <c r="B115" s="251"/>
      <c r="C115" s="251"/>
      <c r="D115" s="251"/>
      <c r="E115" s="576"/>
      <c r="F115" s="577"/>
      <c r="G115" s="577"/>
      <c r="H115" s="578"/>
      <c r="I115" s="579"/>
      <c r="J115" s="580"/>
      <c r="K115" s="580"/>
      <c r="L115" s="581"/>
      <c r="M115" s="579"/>
      <c r="N115" s="580"/>
      <c r="O115" s="580"/>
      <c r="P115" s="581"/>
      <c r="Q115" s="579"/>
      <c r="R115" s="580"/>
      <c r="S115" s="580"/>
      <c r="T115" s="581"/>
      <c r="U115" s="579"/>
      <c r="V115" s="580"/>
      <c r="W115" s="580"/>
      <c r="X115" s="581"/>
      <c r="Y115" s="579"/>
      <c r="Z115" s="580"/>
      <c r="AA115" s="580"/>
      <c r="AB115" s="581"/>
      <c r="AC115" s="258"/>
      <c r="AD115" s="259"/>
      <c r="AE115" s="259"/>
      <c r="AF115" s="260"/>
      <c r="AG115" s="258"/>
      <c r="AH115" s="259"/>
      <c r="AI115" s="259"/>
      <c r="AJ115" s="260"/>
      <c r="AK115" s="258"/>
      <c r="AL115" s="259"/>
      <c r="AM115" s="259"/>
      <c r="AN115" s="260"/>
      <c r="AO115" s="258"/>
      <c r="AP115" s="259"/>
      <c r="AQ115" s="259"/>
      <c r="AR115" s="260"/>
      <c r="AS115" s="258"/>
      <c r="AT115" s="259"/>
      <c r="AU115" s="259"/>
      <c r="AV115" s="260"/>
      <c r="AW115" s="258"/>
      <c r="AX115" s="259"/>
      <c r="AY115" s="259"/>
      <c r="AZ115" s="260"/>
      <c r="BG115" s="243"/>
      <c r="BH115" s="243"/>
      <c r="BI115" s="243"/>
      <c r="BJ115" s="281">
        <v>165</v>
      </c>
      <c r="BK115" s="274">
        <v>89.52</v>
      </c>
      <c r="BL115" s="274">
        <v>99.24</v>
      </c>
      <c r="BM115" s="274">
        <v>127.83</v>
      </c>
      <c r="BN115" s="274">
        <v>132.71</v>
      </c>
      <c r="BO115" s="274">
        <v>144.91999999999999</v>
      </c>
      <c r="BP115" s="281"/>
      <c r="BQ115" s="266"/>
      <c r="BR115" s="266"/>
      <c r="BS115" s="270"/>
    </row>
    <row r="116" spans="1:71">
      <c r="A116" s="251"/>
      <c r="B116" s="251"/>
      <c r="C116" s="251"/>
      <c r="D116" s="251"/>
      <c r="E116" s="582"/>
      <c r="F116" s="583"/>
      <c r="G116" s="583"/>
      <c r="H116" s="584"/>
      <c r="I116" s="573"/>
      <c r="J116" s="574"/>
      <c r="K116" s="574"/>
      <c r="L116" s="575"/>
      <c r="M116" s="573"/>
      <c r="N116" s="574"/>
      <c r="O116" s="574"/>
      <c r="P116" s="575"/>
      <c r="Q116" s="573"/>
      <c r="R116" s="574"/>
      <c r="S116" s="574"/>
      <c r="T116" s="575"/>
      <c r="U116" s="573"/>
      <c r="V116" s="574"/>
      <c r="W116" s="574"/>
      <c r="X116" s="575"/>
      <c r="Y116" s="573"/>
      <c r="Z116" s="574"/>
      <c r="AA116" s="574"/>
      <c r="AB116" s="575"/>
      <c r="AC116" s="258"/>
      <c r="AD116" s="259"/>
      <c r="AE116" s="259"/>
      <c r="AF116" s="260"/>
      <c r="AG116" s="258"/>
      <c r="AH116" s="259"/>
      <c r="AI116" s="259"/>
      <c r="AJ116" s="260"/>
      <c r="AK116" s="258"/>
      <c r="AL116" s="259"/>
      <c r="AM116" s="259"/>
      <c r="AN116" s="260"/>
      <c r="AO116" s="258"/>
      <c r="AP116" s="259"/>
      <c r="AQ116" s="259"/>
      <c r="AR116" s="260"/>
      <c r="AS116" s="258"/>
      <c r="AT116" s="259"/>
      <c r="AU116" s="259"/>
      <c r="AV116" s="260"/>
      <c r="AW116" s="258"/>
      <c r="AX116" s="259"/>
      <c r="AY116" s="259"/>
      <c r="AZ116" s="260"/>
      <c r="BG116" s="243"/>
      <c r="BH116" s="243"/>
      <c r="BI116" s="243"/>
      <c r="BJ116" s="281">
        <v>170</v>
      </c>
      <c r="BK116" s="274">
        <v>92.27</v>
      </c>
      <c r="BL116" s="274">
        <v>102.35</v>
      </c>
      <c r="BM116" s="274">
        <v>131.85</v>
      </c>
      <c r="BN116" s="274">
        <v>136.81</v>
      </c>
      <c r="BO116" s="274">
        <v>149.22999999999999</v>
      </c>
      <c r="BP116" s="281"/>
      <c r="BQ116" s="266"/>
      <c r="BR116" s="266"/>
      <c r="BS116" s="270"/>
    </row>
    <row r="117" spans="1:71">
      <c r="A117" s="251"/>
      <c r="B117" s="251"/>
      <c r="C117" s="251"/>
      <c r="D117" s="251"/>
      <c r="E117" s="576"/>
      <c r="F117" s="577"/>
      <c r="G117" s="577"/>
      <c r="H117" s="578"/>
      <c r="I117" s="579"/>
      <c r="J117" s="580"/>
      <c r="K117" s="580"/>
      <c r="L117" s="581"/>
      <c r="M117" s="579"/>
      <c r="N117" s="580"/>
      <c r="O117" s="580"/>
      <c r="P117" s="581"/>
      <c r="Q117" s="579"/>
      <c r="R117" s="580"/>
      <c r="S117" s="580"/>
      <c r="T117" s="581"/>
      <c r="U117" s="579"/>
      <c r="V117" s="580"/>
      <c r="W117" s="580"/>
      <c r="X117" s="581"/>
      <c r="Y117" s="579"/>
      <c r="Z117" s="580"/>
      <c r="AA117" s="580"/>
      <c r="AB117" s="581"/>
      <c r="AC117" s="258"/>
      <c r="AD117" s="259"/>
      <c r="AE117" s="259"/>
      <c r="AF117" s="260"/>
      <c r="AG117" s="258"/>
      <c r="AH117" s="259"/>
      <c r="AI117" s="259"/>
      <c r="AJ117" s="260"/>
      <c r="AK117" s="258"/>
      <c r="AL117" s="259"/>
      <c r="AM117" s="259"/>
      <c r="AN117" s="260"/>
      <c r="AO117" s="258"/>
      <c r="AP117" s="259"/>
      <c r="AQ117" s="259"/>
      <c r="AR117" s="260"/>
      <c r="AS117" s="258"/>
      <c r="AT117" s="259"/>
      <c r="AU117" s="259"/>
      <c r="AV117" s="260"/>
      <c r="AW117" s="258"/>
      <c r="AX117" s="259"/>
      <c r="AY117" s="259"/>
      <c r="AZ117" s="260"/>
      <c r="BG117" s="243"/>
      <c r="BH117" s="243"/>
      <c r="BI117" s="243"/>
      <c r="BJ117" s="281">
        <v>175</v>
      </c>
      <c r="BK117" s="274">
        <v>95.02</v>
      </c>
      <c r="BL117" s="274">
        <v>105.45</v>
      </c>
      <c r="BM117" s="274">
        <v>135.87</v>
      </c>
      <c r="BN117" s="274">
        <v>140.91999999999999</v>
      </c>
      <c r="BO117" s="274">
        <v>153.54</v>
      </c>
      <c r="BP117" s="281"/>
      <c r="BQ117" s="266"/>
      <c r="BR117" s="266"/>
      <c r="BS117" s="270"/>
    </row>
    <row r="118" spans="1:71">
      <c r="A118" s="251"/>
      <c r="B118" s="251"/>
      <c r="C118" s="251"/>
      <c r="D118" s="251"/>
      <c r="E118" s="582"/>
      <c r="F118" s="583"/>
      <c r="G118" s="583"/>
      <c r="H118" s="584"/>
      <c r="I118" s="573"/>
      <c r="J118" s="574"/>
      <c r="K118" s="574"/>
      <c r="L118" s="575"/>
      <c r="M118" s="573"/>
      <c r="N118" s="574"/>
      <c r="O118" s="574"/>
      <c r="P118" s="575"/>
      <c r="Q118" s="573"/>
      <c r="R118" s="574"/>
      <c r="S118" s="574"/>
      <c r="T118" s="575"/>
      <c r="U118" s="573"/>
      <c r="V118" s="574"/>
      <c r="W118" s="574"/>
      <c r="X118" s="575"/>
      <c r="Y118" s="573"/>
      <c r="Z118" s="574"/>
      <c r="AA118" s="574"/>
      <c r="AB118" s="575"/>
      <c r="AC118" s="258"/>
      <c r="AD118" s="259"/>
      <c r="AE118" s="259"/>
      <c r="AF118" s="260"/>
      <c r="AG118" s="258"/>
      <c r="AH118" s="259"/>
      <c r="AI118" s="259"/>
      <c r="AJ118" s="260"/>
      <c r="AK118" s="258"/>
      <c r="AL118" s="259"/>
      <c r="AM118" s="259"/>
      <c r="AN118" s="260"/>
      <c r="AO118" s="258"/>
      <c r="AP118" s="259"/>
      <c r="AQ118" s="259"/>
      <c r="AR118" s="260"/>
      <c r="AS118" s="258"/>
      <c r="AT118" s="259"/>
      <c r="AU118" s="259"/>
      <c r="AV118" s="260"/>
      <c r="AW118" s="258"/>
      <c r="AX118" s="259"/>
      <c r="AY118" s="259"/>
      <c r="AZ118" s="260"/>
      <c r="BG118" s="243"/>
      <c r="BH118" s="243"/>
      <c r="BI118" s="243"/>
      <c r="BJ118" s="281">
        <v>180</v>
      </c>
      <c r="BK118" s="274">
        <v>97.77</v>
      </c>
      <c r="BL118" s="274">
        <v>108.55</v>
      </c>
      <c r="BM118" s="274">
        <v>139.88</v>
      </c>
      <c r="BN118" s="274">
        <v>145.03</v>
      </c>
      <c r="BO118" s="274">
        <v>157.85</v>
      </c>
      <c r="BP118" s="281"/>
      <c r="BQ118" s="266"/>
      <c r="BR118" s="266"/>
      <c r="BS118" s="270"/>
    </row>
    <row r="119" spans="1:71">
      <c r="A119" s="251"/>
      <c r="B119" s="251"/>
      <c r="C119" s="251"/>
      <c r="D119" s="251"/>
      <c r="E119" s="576"/>
      <c r="F119" s="577"/>
      <c r="G119" s="577"/>
      <c r="H119" s="578"/>
      <c r="I119" s="579"/>
      <c r="J119" s="580"/>
      <c r="K119" s="580"/>
      <c r="L119" s="581"/>
      <c r="M119" s="579"/>
      <c r="N119" s="580"/>
      <c r="O119" s="580"/>
      <c r="P119" s="581"/>
      <c r="Q119" s="579"/>
      <c r="R119" s="580"/>
      <c r="S119" s="580"/>
      <c r="T119" s="581"/>
      <c r="U119" s="579"/>
      <c r="V119" s="580"/>
      <c r="W119" s="580"/>
      <c r="X119" s="581"/>
      <c r="Y119" s="579"/>
      <c r="Z119" s="580"/>
      <c r="AA119" s="580"/>
      <c r="AB119" s="581"/>
      <c r="AC119" s="258"/>
      <c r="AD119" s="259"/>
      <c r="AE119" s="259"/>
      <c r="AF119" s="260"/>
      <c r="AG119" s="258"/>
      <c r="AH119" s="259"/>
      <c r="AI119" s="259"/>
      <c r="AJ119" s="260"/>
      <c r="AK119" s="258"/>
      <c r="AL119" s="259"/>
      <c r="AM119" s="259"/>
      <c r="AN119" s="260"/>
      <c r="AO119" s="258"/>
      <c r="AP119" s="259"/>
      <c r="AQ119" s="259"/>
      <c r="AR119" s="260"/>
      <c r="AS119" s="258"/>
      <c r="AT119" s="259"/>
      <c r="AU119" s="259"/>
      <c r="AV119" s="260"/>
      <c r="AW119" s="258"/>
      <c r="AX119" s="259"/>
      <c r="AY119" s="259"/>
      <c r="AZ119" s="260"/>
      <c r="BG119" s="243"/>
      <c r="BH119" s="243"/>
      <c r="BI119" s="243"/>
      <c r="BJ119" s="281">
        <v>185</v>
      </c>
      <c r="BK119" s="274">
        <v>100.52</v>
      </c>
      <c r="BL119" s="274">
        <v>111.66</v>
      </c>
      <c r="BM119" s="274">
        <v>143.9</v>
      </c>
      <c r="BN119" s="274">
        <v>149.13</v>
      </c>
      <c r="BO119" s="274">
        <v>162.16</v>
      </c>
      <c r="BP119" s="281"/>
      <c r="BQ119" s="266"/>
      <c r="BR119" s="266"/>
      <c r="BS119" s="270"/>
    </row>
    <row r="120" spans="1:71">
      <c r="A120" s="251"/>
      <c r="B120" s="251"/>
      <c r="C120" s="251"/>
      <c r="D120" s="251"/>
      <c r="E120" s="582"/>
      <c r="F120" s="583"/>
      <c r="G120" s="583"/>
      <c r="H120" s="584"/>
      <c r="I120" s="573"/>
      <c r="J120" s="574"/>
      <c r="K120" s="574"/>
      <c r="L120" s="575"/>
      <c r="M120" s="573"/>
      <c r="N120" s="574"/>
      <c r="O120" s="574"/>
      <c r="P120" s="575"/>
      <c r="Q120" s="573"/>
      <c r="R120" s="574"/>
      <c r="S120" s="574"/>
      <c r="T120" s="575"/>
      <c r="U120" s="573"/>
      <c r="V120" s="574"/>
      <c r="W120" s="574"/>
      <c r="X120" s="575"/>
      <c r="Y120" s="573"/>
      <c r="Z120" s="574"/>
      <c r="AA120" s="574"/>
      <c r="AB120" s="575"/>
      <c r="AC120" s="258"/>
      <c r="AD120" s="259"/>
      <c r="AE120" s="259"/>
      <c r="AF120" s="260"/>
      <c r="AG120" s="258"/>
      <c r="AH120" s="259"/>
      <c r="AI120" s="259"/>
      <c r="AJ120" s="260"/>
      <c r="AK120" s="258"/>
      <c r="AL120" s="259"/>
      <c r="AM120" s="259"/>
      <c r="AN120" s="260"/>
      <c r="AO120" s="258"/>
      <c r="AP120" s="259"/>
      <c r="AQ120" s="259"/>
      <c r="AR120" s="260"/>
      <c r="AS120" s="258"/>
      <c r="AT120" s="259"/>
      <c r="AU120" s="259"/>
      <c r="AV120" s="260"/>
      <c r="AW120" s="258"/>
      <c r="AX120" s="259"/>
      <c r="AY120" s="259"/>
      <c r="AZ120" s="260"/>
      <c r="BG120" s="243"/>
      <c r="BH120" s="243"/>
      <c r="BI120" s="243"/>
      <c r="BJ120" s="281">
        <v>190</v>
      </c>
      <c r="BK120" s="274">
        <v>103.27</v>
      </c>
      <c r="BL120" s="274">
        <v>114.76</v>
      </c>
      <c r="BM120" s="274">
        <v>147.91999999999999</v>
      </c>
      <c r="BN120" s="274">
        <v>153.24</v>
      </c>
      <c r="BO120" s="274">
        <v>166.47</v>
      </c>
      <c r="BP120" s="281"/>
      <c r="BQ120" s="266"/>
      <c r="BR120" s="266"/>
      <c r="BS120" s="270"/>
    </row>
    <row r="121" spans="1:71">
      <c r="A121" s="251"/>
      <c r="B121" s="251"/>
      <c r="C121" s="251"/>
      <c r="D121" s="251"/>
      <c r="E121" s="576"/>
      <c r="F121" s="577"/>
      <c r="G121" s="577"/>
      <c r="H121" s="578"/>
      <c r="I121" s="579"/>
      <c r="J121" s="580"/>
      <c r="K121" s="580"/>
      <c r="L121" s="581"/>
      <c r="M121" s="579"/>
      <c r="N121" s="580"/>
      <c r="O121" s="580"/>
      <c r="P121" s="581"/>
      <c r="Q121" s="579"/>
      <c r="R121" s="580"/>
      <c r="S121" s="580"/>
      <c r="T121" s="581"/>
      <c r="U121" s="579"/>
      <c r="V121" s="580"/>
      <c r="W121" s="580"/>
      <c r="X121" s="581"/>
      <c r="Y121" s="579"/>
      <c r="Z121" s="580"/>
      <c r="AA121" s="580"/>
      <c r="AB121" s="581"/>
      <c r="AC121" s="258"/>
      <c r="AD121" s="259"/>
      <c r="AE121" s="259"/>
      <c r="AF121" s="260"/>
      <c r="AG121" s="258"/>
      <c r="AH121" s="259"/>
      <c r="AI121" s="259"/>
      <c r="AJ121" s="260"/>
      <c r="AK121" s="258"/>
      <c r="AL121" s="259"/>
      <c r="AM121" s="259"/>
      <c r="AN121" s="260"/>
      <c r="AO121" s="258"/>
      <c r="AP121" s="259"/>
      <c r="AQ121" s="259"/>
      <c r="AR121" s="260"/>
      <c r="AS121" s="258"/>
      <c r="AT121" s="259"/>
      <c r="AU121" s="259"/>
      <c r="AV121" s="260"/>
      <c r="AW121" s="258"/>
      <c r="AX121" s="259"/>
      <c r="AY121" s="259"/>
      <c r="AZ121" s="260"/>
      <c r="BG121" s="243"/>
      <c r="BH121" s="243"/>
      <c r="BI121" s="243"/>
      <c r="BJ121" s="281">
        <v>195</v>
      </c>
      <c r="BK121" s="274">
        <v>106.02</v>
      </c>
      <c r="BL121" s="274">
        <v>117.86</v>
      </c>
      <c r="BM121" s="274">
        <v>151.93</v>
      </c>
      <c r="BN121" s="274">
        <v>157.35</v>
      </c>
      <c r="BO121" s="274">
        <v>170.78</v>
      </c>
      <c r="BP121" s="281"/>
      <c r="BQ121" s="266"/>
      <c r="BR121" s="266"/>
      <c r="BS121" s="270"/>
    </row>
    <row r="122" spans="1:71">
      <c r="A122" s="251"/>
      <c r="B122" s="251"/>
      <c r="C122" s="251"/>
      <c r="D122" s="251"/>
      <c r="E122" s="582"/>
      <c r="F122" s="583"/>
      <c r="G122" s="583"/>
      <c r="H122" s="584"/>
      <c r="I122" s="573"/>
      <c r="J122" s="574"/>
      <c r="K122" s="574"/>
      <c r="L122" s="575"/>
      <c r="M122" s="573"/>
      <c r="N122" s="574"/>
      <c r="O122" s="574"/>
      <c r="P122" s="575"/>
      <c r="Q122" s="573"/>
      <c r="R122" s="574"/>
      <c r="S122" s="574"/>
      <c r="T122" s="575"/>
      <c r="U122" s="573"/>
      <c r="V122" s="574"/>
      <c r="W122" s="574"/>
      <c r="X122" s="575"/>
      <c r="Y122" s="573"/>
      <c r="Z122" s="574"/>
      <c r="AA122" s="574"/>
      <c r="AB122" s="575"/>
      <c r="AC122" s="258"/>
      <c r="AD122" s="259"/>
      <c r="AE122" s="259"/>
      <c r="AF122" s="260"/>
      <c r="AG122" s="258"/>
      <c r="AH122" s="259"/>
      <c r="AI122" s="259"/>
      <c r="AJ122" s="260"/>
      <c r="AK122" s="258"/>
      <c r="AL122" s="259"/>
      <c r="AM122" s="259"/>
      <c r="AN122" s="260"/>
      <c r="AO122" s="258"/>
      <c r="AP122" s="259"/>
      <c r="AQ122" s="259"/>
      <c r="AR122" s="260"/>
      <c r="AS122" s="258"/>
      <c r="AT122" s="259"/>
      <c r="AU122" s="259"/>
      <c r="AV122" s="260"/>
      <c r="AW122" s="258"/>
      <c r="AX122" s="259"/>
      <c r="AY122" s="259"/>
      <c r="AZ122" s="260"/>
      <c r="BG122" s="243"/>
      <c r="BH122" s="243"/>
      <c r="BI122" s="243"/>
      <c r="BJ122" s="281">
        <v>200</v>
      </c>
      <c r="BK122" s="274">
        <v>108.76</v>
      </c>
      <c r="BL122" s="274">
        <v>120.96</v>
      </c>
      <c r="BM122" s="274">
        <v>155.94999999999999</v>
      </c>
      <c r="BN122" s="274">
        <v>161.44999999999999</v>
      </c>
      <c r="BO122" s="274">
        <v>175.09</v>
      </c>
      <c r="BP122" s="281"/>
      <c r="BQ122" s="266"/>
      <c r="BR122" s="266"/>
      <c r="BS122" s="270"/>
    </row>
    <row r="123" spans="1:71">
      <c r="A123" s="251"/>
      <c r="B123" s="251"/>
      <c r="C123" s="251"/>
      <c r="D123" s="251"/>
      <c r="E123" s="576"/>
      <c r="F123" s="577"/>
      <c r="G123" s="577"/>
      <c r="H123" s="578"/>
      <c r="I123" s="579"/>
      <c r="J123" s="580"/>
      <c r="K123" s="580"/>
      <c r="L123" s="581"/>
      <c r="M123" s="579"/>
      <c r="N123" s="580"/>
      <c r="O123" s="580"/>
      <c r="P123" s="581"/>
      <c r="Q123" s="579"/>
      <c r="R123" s="580"/>
      <c r="S123" s="580"/>
      <c r="T123" s="581"/>
      <c r="U123" s="579"/>
      <c r="V123" s="580"/>
      <c r="W123" s="580"/>
      <c r="X123" s="581"/>
      <c r="Y123" s="579"/>
      <c r="Z123" s="580"/>
      <c r="AA123" s="580"/>
      <c r="AB123" s="581"/>
      <c r="AC123" s="258"/>
      <c r="AD123" s="259"/>
      <c r="AE123" s="259"/>
      <c r="AF123" s="260"/>
      <c r="AG123" s="258"/>
      <c r="AH123" s="259"/>
      <c r="AI123" s="259"/>
      <c r="AJ123" s="260"/>
      <c r="AK123" s="258"/>
      <c r="AL123" s="259"/>
      <c r="AM123" s="259"/>
      <c r="AN123" s="260"/>
      <c r="AO123" s="258"/>
      <c r="AP123" s="259"/>
      <c r="AQ123" s="259"/>
      <c r="AR123" s="260"/>
      <c r="AS123" s="258"/>
      <c r="AT123" s="259"/>
      <c r="AU123" s="259"/>
      <c r="AV123" s="260"/>
      <c r="AW123" s="258"/>
      <c r="AX123" s="259"/>
      <c r="AY123" s="259"/>
      <c r="AZ123" s="260"/>
      <c r="BG123" s="243"/>
      <c r="BH123" s="243"/>
      <c r="BI123" s="243"/>
      <c r="BJ123" s="281">
        <v>205</v>
      </c>
      <c r="BK123" s="274">
        <v>111.51</v>
      </c>
      <c r="BL123" s="274">
        <v>124.07</v>
      </c>
      <c r="BM123" s="274">
        <v>159.97</v>
      </c>
      <c r="BN123" s="274">
        <v>165.56</v>
      </c>
      <c r="BO123" s="274">
        <v>179.4</v>
      </c>
      <c r="BP123" s="281"/>
      <c r="BQ123" s="266"/>
      <c r="BR123" s="266"/>
      <c r="BS123" s="270"/>
    </row>
    <row r="124" spans="1:71">
      <c r="A124" s="251"/>
      <c r="B124" s="251"/>
      <c r="C124" s="251"/>
      <c r="D124" s="251"/>
      <c r="E124" s="582"/>
      <c r="F124" s="583"/>
      <c r="G124" s="583"/>
      <c r="H124" s="584"/>
      <c r="I124" s="573"/>
      <c r="J124" s="574"/>
      <c r="K124" s="574"/>
      <c r="L124" s="575"/>
      <c r="M124" s="573"/>
      <c r="N124" s="574"/>
      <c r="O124" s="574"/>
      <c r="P124" s="575"/>
      <c r="Q124" s="573"/>
      <c r="R124" s="574"/>
      <c r="S124" s="574"/>
      <c r="T124" s="575"/>
      <c r="U124" s="573"/>
      <c r="V124" s="574"/>
      <c r="W124" s="574"/>
      <c r="X124" s="575"/>
      <c r="Y124" s="573"/>
      <c r="Z124" s="574"/>
      <c r="AA124" s="574"/>
      <c r="AB124" s="575"/>
      <c r="AC124" s="258"/>
      <c r="AD124" s="259"/>
      <c r="AE124" s="259"/>
      <c r="AF124" s="260"/>
      <c r="AG124" s="258"/>
      <c r="AH124" s="259"/>
      <c r="AI124" s="259"/>
      <c r="AJ124" s="260"/>
      <c r="AK124" s="258"/>
      <c r="AL124" s="259"/>
      <c r="AM124" s="259"/>
      <c r="AN124" s="260"/>
      <c r="AO124" s="258"/>
      <c r="AP124" s="259"/>
      <c r="AQ124" s="259"/>
      <c r="AR124" s="260"/>
      <c r="AS124" s="258"/>
      <c r="AT124" s="259"/>
      <c r="AU124" s="259"/>
      <c r="AV124" s="260"/>
      <c r="AW124" s="258"/>
      <c r="AX124" s="259"/>
      <c r="AY124" s="259"/>
      <c r="AZ124" s="260"/>
      <c r="BG124" s="243"/>
      <c r="BH124" s="243"/>
      <c r="BI124" s="243"/>
      <c r="BJ124" s="281">
        <v>210</v>
      </c>
      <c r="BK124" s="274">
        <v>114.26</v>
      </c>
      <c r="BL124" s="274">
        <v>127.17</v>
      </c>
      <c r="BM124" s="274">
        <v>163.98</v>
      </c>
      <c r="BN124" s="274">
        <v>169.66</v>
      </c>
      <c r="BO124" s="274">
        <v>183.71</v>
      </c>
      <c r="BP124" s="281"/>
      <c r="BQ124" s="266"/>
      <c r="BR124" s="266"/>
      <c r="BS124" s="270"/>
    </row>
    <row r="125" spans="1:71">
      <c r="A125" s="251"/>
      <c r="B125" s="251"/>
      <c r="C125" s="251"/>
      <c r="D125" s="251"/>
      <c r="E125" s="576"/>
      <c r="F125" s="577"/>
      <c r="G125" s="577"/>
      <c r="H125" s="578"/>
      <c r="I125" s="579"/>
      <c r="J125" s="580"/>
      <c r="K125" s="580"/>
      <c r="L125" s="581"/>
      <c r="M125" s="579"/>
      <c r="N125" s="580"/>
      <c r="O125" s="580"/>
      <c r="P125" s="581"/>
      <c r="Q125" s="579"/>
      <c r="R125" s="580"/>
      <c r="S125" s="580"/>
      <c r="T125" s="581"/>
      <c r="U125" s="579"/>
      <c r="V125" s="580"/>
      <c r="W125" s="580"/>
      <c r="X125" s="581"/>
      <c r="Y125" s="579"/>
      <c r="Z125" s="580"/>
      <c r="AA125" s="580"/>
      <c r="AB125" s="581"/>
      <c r="AC125" s="258"/>
      <c r="AD125" s="259"/>
      <c r="AE125" s="259"/>
      <c r="AF125" s="260"/>
      <c r="AG125" s="258"/>
      <c r="AH125" s="259"/>
      <c r="AI125" s="259"/>
      <c r="AJ125" s="260"/>
      <c r="AK125" s="258"/>
      <c r="AL125" s="259"/>
      <c r="AM125" s="259"/>
      <c r="AN125" s="260"/>
      <c r="AO125" s="258"/>
      <c r="AP125" s="259"/>
      <c r="AQ125" s="259"/>
      <c r="AR125" s="260"/>
      <c r="AS125" s="258"/>
      <c r="AT125" s="259"/>
      <c r="AU125" s="259"/>
      <c r="AV125" s="260"/>
      <c r="AW125" s="258"/>
      <c r="AX125" s="259"/>
      <c r="AY125" s="259"/>
      <c r="AZ125" s="260"/>
      <c r="BG125" s="243"/>
      <c r="BH125" s="243"/>
      <c r="BI125" s="243"/>
      <c r="BJ125" s="281">
        <v>215</v>
      </c>
      <c r="BK125" s="274">
        <v>117.01</v>
      </c>
      <c r="BL125" s="274">
        <v>130.27000000000001</v>
      </c>
      <c r="BM125" s="274">
        <v>168</v>
      </c>
      <c r="BN125" s="274">
        <v>173.77</v>
      </c>
      <c r="BO125" s="274">
        <v>188.02</v>
      </c>
      <c r="BP125" s="281"/>
      <c r="BQ125" s="266"/>
      <c r="BR125" s="266"/>
      <c r="BS125" s="270"/>
    </row>
    <row r="126" spans="1:71">
      <c r="A126" s="251"/>
      <c r="B126" s="251"/>
      <c r="C126" s="251"/>
      <c r="D126" s="251"/>
      <c r="E126" s="582"/>
      <c r="F126" s="583"/>
      <c r="G126" s="583"/>
      <c r="H126" s="584"/>
      <c r="I126" s="573"/>
      <c r="J126" s="574"/>
      <c r="K126" s="574"/>
      <c r="L126" s="575"/>
      <c r="M126" s="573"/>
      <c r="N126" s="574"/>
      <c r="O126" s="574"/>
      <c r="P126" s="575"/>
      <c r="Q126" s="573"/>
      <c r="R126" s="574"/>
      <c r="S126" s="574"/>
      <c r="T126" s="575"/>
      <c r="U126" s="573"/>
      <c r="V126" s="574"/>
      <c r="W126" s="574"/>
      <c r="X126" s="575"/>
      <c r="Y126" s="573"/>
      <c r="Z126" s="574"/>
      <c r="AA126" s="574"/>
      <c r="AB126" s="575"/>
      <c r="AC126" s="258"/>
      <c r="AD126" s="259"/>
      <c r="AE126" s="259"/>
      <c r="AF126" s="260"/>
      <c r="AG126" s="258"/>
      <c r="AH126" s="259"/>
      <c r="AI126" s="259"/>
      <c r="AJ126" s="260"/>
      <c r="AK126" s="258"/>
      <c r="AL126" s="259"/>
      <c r="AM126" s="259"/>
      <c r="AN126" s="260"/>
      <c r="AO126" s="258"/>
      <c r="AP126" s="259"/>
      <c r="AQ126" s="259"/>
      <c r="AR126" s="260"/>
      <c r="AS126" s="258"/>
      <c r="AT126" s="259"/>
      <c r="AU126" s="259"/>
      <c r="AV126" s="260"/>
      <c r="AW126" s="258"/>
      <c r="AX126" s="259"/>
      <c r="AY126" s="259"/>
      <c r="AZ126" s="260"/>
      <c r="BG126" s="243"/>
      <c r="BH126" s="243"/>
      <c r="BI126" s="243"/>
      <c r="BJ126" s="281">
        <v>220</v>
      </c>
      <c r="BK126" s="274">
        <v>119.76</v>
      </c>
      <c r="BL126" s="274">
        <v>133.38</v>
      </c>
      <c r="BM126" s="274">
        <v>172.02</v>
      </c>
      <c r="BN126" s="274">
        <v>177.88</v>
      </c>
      <c r="BO126" s="274">
        <v>192.33</v>
      </c>
      <c r="BP126" s="281"/>
      <c r="BQ126" s="266"/>
      <c r="BR126" s="266"/>
      <c r="BS126" s="270"/>
    </row>
    <row r="127" spans="1:71">
      <c r="A127" s="251"/>
      <c r="B127" s="251"/>
      <c r="C127" s="251"/>
      <c r="D127" s="251"/>
      <c r="E127" s="576"/>
      <c r="F127" s="577"/>
      <c r="G127" s="577"/>
      <c r="H127" s="578"/>
      <c r="I127" s="579"/>
      <c r="J127" s="580"/>
      <c r="K127" s="580"/>
      <c r="L127" s="581"/>
      <c r="M127" s="579"/>
      <c r="N127" s="580"/>
      <c r="O127" s="580"/>
      <c r="P127" s="581"/>
      <c r="Q127" s="579"/>
      <c r="R127" s="580"/>
      <c r="S127" s="580"/>
      <c r="T127" s="581"/>
      <c r="U127" s="579"/>
      <c r="V127" s="580"/>
      <c r="W127" s="580"/>
      <c r="X127" s="581"/>
      <c r="Y127" s="579"/>
      <c r="Z127" s="580"/>
      <c r="AA127" s="580"/>
      <c r="AB127" s="581"/>
      <c r="AC127" s="258"/>
      <c r="AD127" s="259"/>
      <c r="AE127" s="259"/>
      <c r="AF127" s="260"/>
      <c r="AG127" s="258"/>
      <c r="AH127" s="259"/>
      <c r="AI127" s="259"/>
      <c r="AJ127" s="260"/>
      <c r="AK127" s="258"/>
      <c r="AL127" s="259"/>
      <c r="AM127" s="259"/>
      <c r="AN127" s="260"/>
      <c r="AO127" s="258"/>
      <c r="AP127" s="259"/>
      <c r="AQ127" s="259"/>
      <c r="AR127" s="260"/>
      <c r="AS127" s="258"/>
      <c r="AT127" s="259"/>
      <c r="AU127" s="259"/>
      <c r="AV127" s="260"/>
      <c r="AW127" s="258"/>
      <c r="AX127" s="259"/>
      <c r="AY127" s="259"/>
      <c r="AZ127" s="260"/>
      <c r="BG127" s="243"/>
      <c r="BH127" s="243"/>
      <c r="BI127" s="243"/>
      <c r="BJ127" s="281">
        <v>225</v>
      </c>
      <c r="BK127" s="274">
        <v>122.51</v>
      </c>
      <c r="BL127" s="274">
        <v>136.47999999999999</v>
      </c>
      <c r="BM127" s="274">
        <v>176.03</v>
      </c>
      <c r="BN127" s="274">
        <v>181.98</v>
      </c>
      <c r="BO127" s="274">
        <v>196.64</v>
      </c>
      <c r="BP127" s="281"/>
      <c r="BQ127" s="266"/>
      <c r="BR127" s="266"/>
      <c r="BS127" s="270"/>
    </row>
    <row r="128" spans="1:71">
      <c r="A128" s="251"/>
      <c r="B128" s="251"/>
      <c r="C128" s="251"/>
      <c r="D128" s="251"/>
      <c r="E128" s="582"/>
      <c r="F128" s="583"/>
      <c r="G128" s="583"/>
      <c r="H128" s="584"/>
      <c r="I128" s="573"/>
      <c r="J128" s="574"/>
      <c r="K128" s="574"/>
      <c r="L128" s="575"/>
      <c r="M128" s="573"/>
      <c r="N128" s="574"/>
      <c r="O128" s="574"/>
      <c r="P128" s="575"/>
      <c r="Q128" s="573"/>
      <c r="R128" s="574"/>
      <c r="S128" s="574"/>
      <c r="T128" s="575"/>
      <c r="U128" s="573"/>
      <c r="V128" s="574"/>
      <c r="W128" s="574"/>
      <c r="X128" s="575"/>
      <c r="Y128" s="573"/>
      <c r="Z128" s="574"/>
      <c r="AA128" s="574"/>
      <c r="AB128" s="575"/>
      <c r="AC128" s="258"/>
      <c r="AD128" s="259"/>
      <c r="AE128" s="259"/>
      <c r="AF128" s="260"/>
      <c r="AG128" s="258"/>
      <c r="AH128" s="259"/>
      <c r="AI128" s="259"/>
      <c r="AJ128" s="260"/>
      <c r="AK128" s="258"/>
      <c r="AL128" s="259"/>
      <c r="AM128" s="259"/>
      <c r="AN128" s="260"/>
      <c r="AO128" s="258"/>
      <c r="AP128" s="259"/>
      <c r="AQ128" s="259"/>
      <c r="AR128" s="260"/>
      <c r="AS128" s="258"/>
      <c r="AT128" s="259"/>
      <c r="AU128" s="259"/>
      <c r="AV128" s="260"/>
      <c r="AW128" s="258"/>
      <c r="AX128" s="259"/>
      <c r="AY128" s="259"/>
      <c r="AZ128" s="260"/>
      <c r="BG128" s="243"/>
      <c r="BH128" s="243"/>
      <c r="BI128" s="243"/>
      <c r="BJ128" s="281">
        <v>230</v>
      </c>
      <c r="BK128" s="274">
        <v>125.26</v>
      </c>
      <c r="BL128" s="274">
        <v>139.58000000000001</v>
      </c>
      <c r="BM128" s="274">
        <v>180.05</v>
      </c>
      <c r="BN128" s="274">
        <v>186.09</v>
      </c>
      <c r="BO128" s="274">
        <v>200.95</v>
      </c>
      <c r="BP128" s="281"/>
      <c r="BQ128" s="266"/>
      <c r="BR128" s="266"/>
      <c r="BS128" s="270"/>
    </row>
    <row r="129" spans="1:71">
      <c r="A129" s="251"/>
      <c r="B129" s="251"/>
      <c r="C129" s="251"/>
      <c r="D129" s="251"/>
      <c r="E129" s="576"/>
      <c r="F129" s="577"/>
      <c r="G129" s="577"/>
      <c r="H129" s="578"/>
      <c r="I129" s="579"/>
      <c r="J129" s="580"/>
      <c r="K129" s="580"/>
      <c r="L129" s="581"/>
      <c r="M129" s="579"/>
      <c r="N129" s="580"/>
      <c r="O129" s="580"/>
      <c r="P129" s="581"/>
      <c r="Q129" s="579"/>
      <c r="R129" s="580"/>
      <c r="S129" s="580"/>
      <c r="T129" s="581"/>
      <c r="U129" s="579"/>
      <c r="V129" s="580"/>
      <c r="W129" s="580"/>
      <c r="X129" s="581"/>
      <c r="Y129" s="579"/>
      <c r="Z129" s="580"/>
      <c r="AA129" s="580"/>
      <c r="AB129" s="581"/>
      <c r="AC129" s="258"/>
      <c r="AD129" s="259"/>
      <c r="AE129" s="259"/>
      <c r="AF129" s="260"/>
      <c r="AG129" s="258"/>
      <c r="AH129" s="259"/>
      <c r="AI129" s="259"/>
      <c r="AJ129" s="260"/>
      <c r="AK129" s="258"/>
      <c r="AL129" s="259"/>
      <c r="AM129" s="259"/>
      <c r="AN129" s="260"/>
      <c r="AO129" s="258"/>
      <c r="AP129" s="259"/>
      <c r="AQ129" s="259"/>
      <c r="AR129" s="260"/>
      <c r="AS129" s="258"/>
      <c r="AT129" s="259"/>
      <c r="AU129" s="259"/>
      <c r="AV129" s="260"/>
      <c r="AW129" s="258"/>
      <c r="AX129" s="259"/>
      <c r="AY129" s="259"/>
      <c r="AZ129" s="260"/>
      <c r="BG129" s="243"/>
      <c r="BH129" s="243"/>
      <c r="BI129" s="243"/>
      <c r="BJ129" s="281">
        <v>235</v>
      </c>
      <c r="BK129" s="274">
        <v>128.01</v>
      </c>
      <c r="BL129" s="274">
        <v>142.69</v>
      </c>
      <c r="BM129" s="274">
        <v>184.07</v>
      </c>
      <c r="BN129" s="274">
        <v>190.2</v>
      </c>
      <c r="BO129" s="274">
        <v>205.26</v>
      </c>
      <c r="BP129" s="281"/>
      <c r="BQ129" s="266"/>
      <c r="BR129" s="266"/>
      <c r="BS129" s="270"/>
    </row>
    <row r="130" spans="1:71">
      <c r="A130" s="251"/>
      <c r="B130" s="251"/>
      <c r="C130" s="251"/>
      <c r="D130" s="251"/>
      <c r="E130" s="582"/>
      <c r="F130" s="583"/>
      <c r="G130" s="583"/>
      <c r="H130" s="584"/>
      <c r="I130" s="573"/>
      <c r="J130" s="574"/>
      <c r="K130" s="574"/>
      <c r="L130" s="575"/>
      <c r="M130" s="573"/>
      <c r="N130" s="574"/>
      <c r="O130" s="574"/>
      <c r="P130" s="575"/>
      <c r="Q130" s="573"/>
      <c r="R130" s="574"/>
      <c r="S130" s="574"/>
      <c r="T130" s="575"/>
      <c r="U130" s="573"/>
      <c r="V130" s="574"/>
      <c r="W130" s="574"/>
      <c r="X130" s="575"/>
      <c r="Y130" s="573"/>
      <c r="Z130" s="574"/>
      <c r="AA130" s="574"/>
      <c r="AB130" s="575"/>
      <c r="AC130" s="258"/>
      <c r="AD130" s="259"/>
      <c r="AE130" s="259"/>
      <c r="AF130" s="260"/>
      <c r="AG130" s="258"/>
      <c r="AH130" s="259"/>
      <c r="AI130" s="259"/>
      <c r="AJ130" s="260"/>
      <c r="AK130" s="258"/>
      <c r="AL130" s="259"/>
      <c r="AM130" s="259"/>
      <c r="AN130" s="260"/>
      <c r="AO130" s="258"/>
      <c r="AP130" s="259"/>
      <c r="AQ130" s="259"/>
      <c r="AR130" s="260"/>
      <c r="AS130" s="258"/>
      <c r="AT130" s="259"/>
      <c r="AU130" s="259"/>
      <c r="AV130" s="260"/>
      <c r="AW130" s="258"/>
      <c r="AX130" s="259"/>
      <c r="AY130" s="259"/>
      <c r="AZ130" s="260"/>
      <c r="BG130" s="243"/>
      <c r="BH130" s="243"/>
      <c r="BI130" s="243"/>
      <c r="BJ130" s="281">
        <v>240</v>
      </c>
      <c r="BK130" s="274">
        <v>130.76</v>
      </c>
      <c r="BL130" s="274">
        <v>145.79</v>
      </c>
      <c r="BM130" s="274">
        <v>188.08</v>
      </c>
      <c r="BN130" s="274">
        <v>194.3</v>
      </c>
      <c r="BO130" s="274">
        <v>209.57</v>
      </c>
      <c r="BP130" s="281"/>
      <c r="BQ130" s="266"/>
      <c r="BR130" s="266"/>
      <c r="BS130" s="270"/>
    </row>
    <row r="131" spans="1:71">
      <c r="A131" s="251"/>
      <c r="B131" s="251"/>
      <c r="C131" s="251"/>
      <c r="D131" s="251"/>
      <c r="E131" s="576"/>
      <c r="F131" s="577"/>
      <c r="G131" s="577"/>
      <c r="H131" s="578"/>
      <c r="I131" s="579"/>
      <c r="J131" s="580"/>
      <c r="K131" s="580"/>
      <c r="L131" s="581"/>
      <c r="M131" s="579"/>
      <c r="N131" s="580"/>
      <c r="O131" s="580"/>
      <c r="P131" s="581"/>
      <c r="Q131" s="579"/>
      <c r="R131" s="580"/>
      <c r="S131" s="580"/>
      <c r="T131" s="581"/>
      <c r="U131" s="579"/>
      <c r="V131" s="580"/>
      <c r="W131" s="580"/>
      <c r="X131" s="581"/>
      <c r="Y131" s="579"/>
      <c r="Z131" s="580"/>
      <c r="AA131" s="580"/>
      <c r="AB131" s="581"/>
      <c r="AC131" s="258"/>
      <c r="AD131" s="259"/>
      <c r="AE131" s="259"/>
      <c r="AF131" s="260"/>
      <c r="AG131" s="258"/>
      <c r="AH131" s="259"/>
      <c r="AI131" s="259"/>
      <c r="AJ131" s="260"/>
      <c r="AK131" s="258"/>
      <c r="AL131" s="259"/>
      <c r="AM131" s="259"/>
      <c r="AN131" s="260"/>
      <c r="AO131" s="258"/>
      <c r="AP131" s="259"/>
      <c r="AQ131" s="259"/>
      <c r="AR131" s="260"/>
      <c r="AS131" s="258"/>
      <c r="AT131" s="259"/>
      <c r="AU131" s="259"/>
      <c r="AV131" s="260"/>
      <c r="AW131" s="258"/>
      <c r="AX131" s="259"/>
      <c r="AY131" s="259"/>
      <c r="AZ131" s="260"/>
      <c r="BG131" s="243"/>
      <c r="BH131" s="243"/>
      <c r="BI131" s="243"/>
      <c r="BJ131" s="281">
        <v>245</v>
      </c>
      <c r="BK131" s="274">
        <v>133.51</v>
      </c>
      <c r="BL131" s="274">
        <v>148.88999999999999</v>
      </c>
      <c r="BM131" s="274">
        <v>192.1</v>
      </c>
      <c r="BN131" s="274">
        <v>198.41</v>
      </c>
      <c r="BO131" s="274">
        <v>213.88</v>
      </c>
      <c r="BP131" s="281"/>
      <c r="BQ131" s="266"/>
      <c r="BR131" s="266"/>
      <c r="BS131" s="270"/>
    </row>
    <row r="132" spans="1:71">
      <c r="A132" s="251"/>
      <c r="B132" s="251"/>
      <c r="C132" s="251"/>
      <c r="D132" s="251"/>
      <c r="E132" s="582"/>
      <c r="F132" s="583"/>
      <c r="G132" s="583"/>
      <c r="H132" s="584"/>
      <c r="I132" s="573"/>
      <c r="J132" s="574"/>
      <c r="K132" s="574"/>
      <c r="L132" s="575"/>
      <c r="M132" s="573"/>
      <c r="N132" s="574"/>
      <c r="O132" s="574"/>
      <c r="P132" s="575"/>
      <c r="Q132" s="573"/>
      <c r="R132" s="574"/>
      <c r="S132" s="574"/>
      <c r="T132" s="575"/>
      <c r="U132" s="573"/>
      <c r="V132" s="574"/>
      <c r="W132" s="574"/>
      <c r="X132" s="575"/>
      <c r="Y132" s="573"/>
      <c r="Z132" s="574"/>
      <c r="AA132" s="574"/>
      <c r="AB132" s="575"/>
      <c r="AC132" s="258"/>
      <c r="AD132" s="259"/>
      <c r="AE132" s="259"/>
      <c r="AF132" s="260"/>
      <c r="AG132" s="258"/>
      <c r="AH132" s="259"/>
      <c r="AI132" s="259"/>
      <c r="AJ132" s="260"/>
      <c r="AK132" s="258"/>
      <c r="AL132" s="259"/>
      <c r="AM132" s="259"/>
      <c r="AN132" s="260"/>
      <c r="AO132" s="258"/>
      <c r="AP132" s="259"/>
      <c r="AQ132" s="259"/>
      <c r="AR132" s="260"/>
      <c r="AS132" s="258"/>
      <c r="AT132" s="259"/>
      <c r="AU132" s="259"/>
      <c r="AV132" s="260"/>
      <c r="AW132" s="258"/>
      <c r="AX132" s="259"/>
      <c r="AY132" s="259"/>
      <c r="AZ132" s="260"/>
      <c r="BG132" s="243"/>
      <c r="BH132" s="243"/>
      <c r="BI132" s="243"/>
      <c r="BJ132" s="281">
        <v>250</v>
      </c>
      <c r="BK132" s="274">
        <v>136.26</v>
      </c>
      <c r="BL132" s="274">
        <v>151.99</v>
      </c>
      <c r="BM132" s="274">
        <v>196.12</v>
      </c>
      <c r="BN132" s="274">
        <v>202.52</v>
      </c>
      <c r="BO132" s="274">
        <v>218.18</v>
      </c>
      <c r="BP132" s="281"/>
      <c r="BQ132" s="266"/>
      <c r="BR132" s="266"/>
      <c r="BS132" s="270"/>
    </row>
    <row r="133" spans="1:71">
      <c r="A133" s="251"/>
      <c r="B133" s="251"/>
      <c r="C133" s="251"/>
      <c r="D133" s="251"/>
      <c r="E133" s="576"/>
      <c r="F133" s="577"/>
      <c r="G133" s="577"/>
      <c r="H133" s="578"/>
      <c r="I133" s="579"/>
      <c r="J133" s="580"/>
      <c r="K133" s="580"/>
      <c r="L133" s="581"/>
      <c r="M133" s="579"/>
      <c r="N133" s="580"/>
      <c r="O133" s="580"/>
      <c r="P133" s="581"/>
      <c r="Q133" s="579"/>
      <c r="R133" s="580"/>
      <c r="S133" s="580"/>
      <c r="T133" s="581"/>
      <c r="U133" s="579"/>
      <c r="V133" s="580"/>
      <c r="W133" s="580"/>
      <c r="X133" s="581"/>
      <c r="Y133" s="579"/>
      <c r="Z133" s="580"/>
      <c r="AA133" s="580"/>
      <c r="AB133" s="581"/>
      <c r="AC133" s="258"/>
      <c r="AD133" s="259"/>
      <c r="AE133" s="259"/>
      <c r="AF133" s="260"/>
      <c r="AG133" s="258"/>
      <c r="AH133" s="259"/>
      <c r="AI133" s="259"/>
      <c r="AJ133" s="260"/>
      <c r="AK133" s="258"/>
      <c r="AL133" s="259"/>
      <c r="AM133" s="259"/>
      <c r="AN133" s="260"/>
      <c r="AO133" s="258"/>
      <c r="AP133" s="259"/>
      <c r="AQ133" s="259"/>
      <c r="AR133" s="260"/>
      <c r="AS133" s="258"/>
      <c r="AT133" s="259"/>
      <c r="AU133" s="259"/>
      <c r="AV133" s="260"/>
      <c r="AW133" s="258"/>
      <c r="AX133" s="259"/>
      <c r="AY133" s="259"/>
      <c r="AZ133" s="260"/>
      <c r="BG133" s="243"/>
      <c r="BH133" s="243"/>
      <c r="BI133" s="243"/>
      <c r="BJ133" s="281">
        <v>255</v>
      </c>
      <c r="BK133" s="274">
        <v>139.01</v>
      </c>
      <c r="BL133" s="274">
        <v>155.1</v>
      </c>
      <c r="BM133" s="274">
        <v>200.13</v>
      </c>
      <c r="BN133" s="274">
        <v>206.62</v>
      </c>
      <c r="BO133" s="274">
        <v>222.49</v>
      </c>
      <c r="BP133" s="281"/>
      <c r="BQ133" s="266"/>
      <c r="BR133" s="266"/>
      <c r="BS133" s="270"/>
    </row>
    <row r="134" spans="1:71">
      <c r="A134" s="251"/>
      <c r="B134" s="251"/>
      <c r="C134" s="251"/>
      <c r="D134" s="251"/>
      <c r="E134" s="582"/>
      <c r="F134" s="583"/>
      <c r="G134" s="583"/>
      <c r="H134" s="584"/>
      <c r="I134" s="573"/>
      <c r="J134" s="574"/>
      <c r="K134" s="574"/>
      <c r="L134" s="575"/>
      <c r="M134" s="573"/>
      <c r="N134" s="574"/>
      <c r="O134" s="574"/>
      <c r="P134" s="575"/>
      <c r="Q134" s="573"/>
      <c r="R134" s="574"/>
      <c r="S134" s="574"/>
      <c r="T134" s="575"/>
      <c r="U134" s="573"/>
      <c r="V134" s="574"/>
      <c r="W134" s="574"/>
      <c r="X134" s="575"/>
      <c r="Y134" s="573"/>
      <c r="Z134" s="574"/>
      <c r="AA134" s="574"/>
      <c r="AB134" s="575"/>
      <c r="AC134" s="258"/>
      <c r="AD134" s="259"/>
      <c r="AE134" s="259"/>
      <c r="AF134" s="260"/>
      <c r="AG134" s="258"/>
      <c r="AH134" s="259"/>
      <c r="AI134" s="259"/>
      <c r="AJ134" s="260"/>
      <c r="AK134" s="258"/>
      <c r="AL134" s="259"/>
      <c r="AM134" s="259"/>
      <c r="AN134" s="260"/>
      <c r="AO134" s="258"/>
      <c r="AP134" s="259"/>
      <c r="AQ134" s="259"/>
      <c r="AR134" s="260"/>
      <c r="AS134" s="258"/>
      <c r="AT134" s="259"/>
      <c r="AU134" s="259"/>
      <c r="AV134" s="260"/>
      <c r="AW134" s="258"/>
      <c r="AX134" s="259"/>
      <c r="AY134" s="259"/>
      <c r="AZ134" s="260"/>
      <c r="BG134" s="243"/>
      <c r="BH134" s="243"/>
      <c r="BI134" s="243"/>
      <c r="BJ134" s="281">
        <v>260</v>
      </c>
      <c r="BK134" s="274">
        <v>141.75</v>
      </c>
      <c r="BL134" s="274">
        <v>158.19999999999999</v>
      </c>
      <c r="BM134" s="274">
        <v>204.15</v>
      </c>
      <c r="BN134" s="274">
        <v>210.73</v>
      </c>
      <c r="BO134" s="274">
        <v>226.8</v>
      </c>
      <c r="BP134" s="281"/>
      <c r="BQ134" s="266"/>
      <c r="BR134" s="266"/>
      <c r="BS134" s="270"/>
    </row>
    <row r="135" spans="1:71">
      <c r="A135" s="251"/>
      <c r="B135" s="251"/>
      <c r="C135" s="251"/>
      <c r="D135" s="251"/>
      <c r="E135" s="576"/>
      <c r="F135" s="577"/>
      <c r="G135" s="577"/>
      <c r="H135" s="578"/>
      <c r="I135" s="579"/>
      <c r="J135" s="580"/>
      <c r="K135" s="580"/>
      <c r="L135" s="581"/>
      <c r="M135" s="579"/>
      <c r="N135" s="580"/>
      <c r="O135" s="580"/>
      <c r="P135" s="581"/>
      <c r="Q135" s="579"/>
      <c r="R135" s="580"/>
      <c r="S135" s="580"/>
      <c r="T135" s="581"/>
      <c r="U135" s="579"/>
      <c r="V135" s="580"/>
      <c r="W135" s="580"/>
      <c r="X135" s="581"/>
      <c r="Y135" s="579"/>
      <c r="Z135" s="580"/>
      <c r="AA135" s="580"/>
      <c r="AB135" s="581"/>
      <c r="AC135" s="258"/>
      <c r="AD135" s="259"/>
      <c r="AE135" s="259"/>
      <c r="AF135" s="260"/>
      <c r="AG135" s="258"/>
      <c r="AH135" s="259"/>
      <c r="AI135" s="259"/>
      <c r="AJ135" s="260"/>
      <c r="AK135" s="258"/>
      <c r="AL135" s="259"/>
      <c r="AM135" s="259"/>
      <c r="AN135" s="260"/>
      <c r="AO135" s="258"/>
      <c r="AP135" s="259"/>
      <c r="AQ135" s="259"/>
      <c r="AR135" s="260"/>
      <c r="AS135" s="258"/>
      <c r="AT135" s="259"/>
      <c r="AU135" s="259"/>
      <c r="AV135" s="260"/>
      <c r="AW135" s="258"/>
      <c r="AX135" s="259"/>
      <c r="AY135" s="259"/>
      <c r="AZ135" s="260"/>
      <c r="BG135" s="243"/>
      <c r="BH135" s="243"/>
      <c r="BI135" s="243"/>
      <c r="BJ135" s="281">
        <v>265</v>
      </c>
      <c r="BK135" s="274">
        <v>144.5</v>
      </c>
      <c r="BL135" s="274">
        <v>161.30000000000001</v>
      </c>
      <c r="BM135" s="274">
        <v>208.16</v>
      </c>
      <c r="BN135" s="274">
        <v>214.83</v>
      </c>
      <c r="BO135" s="274">
        <v>231.11</v>
      </c>
      <c r="BP135" s="281"/>
      <c r="BQ135" s="266"/>
      <c r="BR135" s="266"/>
      <c r="BS135" s="270"/>
    </row>
    <row r="136" spans="1:71">
      <c r="A136" s="251"/>
      <c r="B136" s="251"/>
      <c r="C136" s="251"/>
      <c r="D136" s="251"/>
      <c r="E136" s="582"/>
      <c r="F136" s="583"/>
      <c r="G136" s="583"/>
      <c r="H136" s="584"/>
      <c r="I136" s="573"/>
      <c r="J136" s="574"/>
      <c r="K136" s="574"/>
      <c r="L136" s="575"/>
      <c r="M136" s="573"/>
      <c r="N136" s="574"/>
      <c r="O136" s="574"/>
      <c r="P136" s="575"/>
      <c r="Q136" s="573"/>
      <c r="R136" s="574"/>
      <c r="S136" s="574"/>
      <c r="T136" s="575"/>
      <c r="U136" s="573"/>
      <c r="V136" s="574"/>
      <c r="W136" s="574"/>
      <c r="X136" s="575"/>
      <c r="Y136" s="573"/>
      <c r="Z136" s="574"/>
      <c r="AA136" s="574"/>
      <c r="AB136" s="575"/>
      <c r="AC136" s="258"/>
      <c r="AD136" s="259"/>
      <c r="AE136" s="259"/>
      <c r="AF136" s="260"/>
      <c r="AG136" s="258"/>
      <c r="AH136" s="259"/>
      <c r="AI136" s="259"/>
      <c r="AJ136" s="260"/>
      <c r="AK136" s="258"/>
      <c r="AL136" s="259"/>
      <c r="AM136" s="259"/>
      <c r="AN136" s="260"/>
      <c r="AO136" s="258"/>
      <c r="AP136" s="259"/>
      <c r="AQ136" s="259"/>
      <c r="AR136" s="260"/>
      <c r="AS136" s="258"/>
      <c r="AT136" s="259"/>
      <c r="AU136" s="259"/>
      <c r="AV136" s="260"/>
      <c r="AW136" s="258"/>
      <c r="AX136" s="259"/>
      <c r="AY136" s="259"/>
      <c r="AZ136" s="260"/>
      <c r="BG136" s="243"/>
      <c r="BH136" s="243"/>
      <c r="BI136" s="243"/>
      <c r="BJ136" s="281">
        <v>270</v>
      </c>
      <c r="BK136" s="274">
        <v>147.25</v>
      </c>
      <c r="BL136" s="274">
        <v>164.41</v>
      </c>
      <c r="BM136" s="274">
        <v>212.18</v>
      </c>
      <c r="BN136" s="274">
        <v>218.94</v>
      </c>
      <c r="BO136" s="274">
        <v>235.42</v>
      </c>
      <c r="BP136" s="281"/>
      <c r="BQ136" s="266"/>
      <c r="BR136" s="266"/>
      <c r="BS136" s="270"/>
    </row>
    <row r="137" spans="1:71">
      <c r="A137" s="251"/>
      <c r="B137" s="251"/>
      <c r="C137" s="251"/>
      <c r="D137" s="251"/>
      <c r="E137" s="576"/>
      <c r="F137" s="577"/>
      <c r="G137" s="577"/>
      <c r="H137" s="578"/>
      <c r="I137" s="579"/>
      <c r="J137" s="580"/>
      <c r="K137" s="580"/>
      <c r="L137" s="581"/>
      <c r="M137" s="579"/>
      <c r="N137" s="580"/>
      <c r="O137" s="580"/>
      <c r="P137" s="581"/>
      <c r="Q137" s="579"/>
      <c r="R137" s="580"/>
      <c r="S137" s="580"/>
      <c r="T137" s="581"/>
      <c r="U137" s="579"/>
      <c r="V137" s="580"/>
      <c r="W137" s="580"/>
      <c r="X137" s="581"/>
      <c r="Y137" s="579"/>
      <c r="Z137" s="580"/>
      <c r="AA137" s="580"/>
      <c r="AB137" s="581"/>
      <c r="AC137" s="258"/>
      <c r="AD137" s="259"/>
      <c r="AE137" s="259"/>
      <c r="AF137" s="260"/>
      <c r="AG137" s="258"/>
      <c r="AH137" s="259"/>
      <c r="AI137" s="259"/>
      <c r="AJ137" s="260"/>
      <c r="AK137" s="258"/>
      <c r="AL137" s="259"/>
      <c r="AM137" s="259"/>
      <c r="AN137" s="260"/>
      <c r="AO137" s="258"/>
      <c r="AP137" s="259"/>
      <c r="AQ137" s="259"/>
      <c r="AR137" s="260"/>
      <c r="AS137" s="258"/>
      <c r="AT137" s="259"/>
      <c r="AU137" s="259"/>
      <c r="AV137" s="260"/>
      <c r="AW137" s="258"/>
      <c r="AX137" s="259"/>
      <c r="AY137" s="259"/>
      <c r="AZ137" s="260"/>
      <c r="BG137" s="243"/>
      <c r="BH137" s="243"/>
      <c r="BI137" s="243"/>
      <c r="BJ137" s="281">
        <v>275</v>
      </c>
      <c r="BK137" s="274">
        <v>150</v>
      </c>
      <c r="BL137" s="274">
        <v>167.51</v>
      </c>
      <c r="BM137" s="274">
        <v>216.2</v>
      </c>
      <c r="BN137" s="274">
        <v>223.05</v>
      </c>
      <c r="BO137" s="274">
        <v>239.73</v>
      </c>
      <c r="BP137" s="281"/>
      <c r="BQ137" s="266"/>
      <c r="BR137" s="266"/>
      <c r="BS137" s="270"/>
    </row>
    <row r="138" spans="1:71">
      <c r="A138" s="251"/>
      <c r="B138" s="251"/>
      <c r="C138" s="251"/>
      <c r="D138" s="251"/>
      <c r="E138" s="582"/>
      <c r="F138" s="583"/>
      <c r="G138" s="583"/>
      <c r="H138" s="584"/>
      <c r="I138" s="573"/>
      <c r="J138" s="574"/>
      <c r="K138" s="574"/>
      <c r="L138" s="575"/>
      <c r="M138" s="573"/>
      <c r="N138" s="574"/>
      <c r="O138" s="574"/>
      <c r="P138" s="575"/>
      <c r="Q138" s="573"/>
      <c r="R138" s="574"/>
      <c r="S138" s="574"/>
      <c r="T138" s="575"/>
      <c r="U138" s="573"/>
      <c r="V138" s="574"/>
      <c r="W138" s="574"/>
      <c r="X138" s="575"/>
      <c r="Y138" s="573"/>
      <c r="Z138" s="574"/>
      <c r="AA138" s="574"/>
      <c r="AB138" s="575"/>
      <c r="AC138" s="258"/>
      <c r="AD138" s="259"/>
      <c r="AE138" s="259"/>
      <c r="AF138" s="260"/>
      <c r="AG138" s="258"/>
      <c r="AH138" s="259"/>
      <c r="AI138" s="259"/>
      <c r="AJ138" s="260"/>
      <c r="AK138" s="258"/>
      <c r="AL138" s="259"/>
      <c r="AM138" s="259"/>
      <c r="AN138" s="260"/>
      <c r="AO138" s="258"/>
      <c r="AP138" s="259"/>
      <c r="AQ138" s="259"/>
      <c r="AR138" s="260"/>
      <c r="AS138" s="258"/>
      <c r="AT138" s="259"/>
      <c r="AU138" s="259"/>
      <c r="AV138" s="260"/>
      <c r="AW138" s="258"/>
      <c r="AX138" s="259"/>
      <c r="AY138" s="259"/>
      <c r="AZ138" s="260"/>
      <c r="BG138" s="243"/>
      <c r="BH138" s="243"/>
      <c r="BI138" s="243"/>
      <c r="BJ138" s="281">
        <v>280</v>
      </c>
      <c r="BK138" s="274">
        <v>152.75</v>
      </c>
      <c r="BL138" s="274">
        <v>170.61</v>
      </c>
      <c r="BM138" s="274">
        <v>220.21</v>
      </c>
      <c r="BN138" s="274">
        <v>227.15</v>
      </c>
      <c r="BO138" s="274">
        <v>244.04</v>
      </c>
      <c r="BP138" s="281"/>
      <c r="BQ138" s="266"/>
      <c r="BR138" s="266"/>
      <c r="BS138" s="270"/>
    </row>
    <row r="139" spans="1:71">
      <c r="A139" s="251"/>
      <c r="B139" s="251"/>
      <c r="C139" s="251"/>
      <c r="D139" s="251"/>
      <c r="E139" s="576"/>
      <c r="F139" s="577"/>
      <c r="G139" s="577"/>
      <c r="H139" s="578"/>
      <c r="I139" s="579"/>
      <c r="J139" s="580"/>
      <c r="K139" s="580"/>
      <c r="L139" s="581"/>
      <c r="M139" s="579"/>
      <c r="N139" s="580"/>
      <c r="O139" s="580"/>
      <c r="P139" s="581"/>
      <c r="Q139" s="579"/>
      <c r="R139" s="580"/>
      <c r="S139" s="580"/>
      <c r="T139" s="581"/>
      <c r="U139" s="579"/>
      <c r="V139" s="580"/>
      <c r="W139" s="580"/>
      <c r="X139" s="581"/>
      <c r="Y139" s="579"/>
      <c r="Z139" s="580"/>
      <c r="AA139" s="580"/>
      <c r="AB139" s="581"/>
      <c r="AC139" s="258"/>
      <c r="AD139" s="259"/>
      <c r="AE139" s="259"/>
      <c r="AF139" s="260"/>
      <c r="AG139" s="258"/>
      <c r="AH139" s="259"/>
      <c r="AI139" s="259"/>
      <c r="AJ139" s="260"/>
      <c r="AK139" s="258"/>
      <c r="AL139" s="259"/>
      <c r="AM139" s="259"/>
      <c r="AN139" s="260"/>
      <c r="AO139" s="258"/>
      <c r="AP139" s="259"/>
      <c r="AQ139" s="259"/>
      <c r="AR139" s="260"/>
      <c r="AS139" s="258"/>
      <c r="AT139" s="259"/>
      <c r="AU139" s="259"/>
      <c r="AV139" s="260"/>
      <c r="AW139" s="258"/>
      <c r="AX139" s="259"/>
      <c r="AY139" s="259"/>
      <c r="AZ139" s="260"/>
      <c r="BG139" s="243"/>
      <c r="BH139" s="243"/>
      <c r="BI139" s="243"/>
      <c r="BJ139" s="281">
        <v>285</v>
      </c>
      <c r="BK139" s="274">
        <v>155.5</v>
      </c>
      <c r="BL139" s="274">
        <v>173.72</v>
      </c>
      <c r="BM139" s="274">
        <v>224.23</v>
      </c>
      <c r="BN139" s="274">
        <v>231.26</v>
      </c>
      <c r="BO139" s="274">
        <v>248.35</v>
      </c>
      <c r="BP139" s="281"/>
      <c r="BQ139" s="266"/>
      <c r="BR139" s="266"/>
      <c r="BS139" s="270"/>
    </row>
    <row r="140" spans="1:71">
      <c r="A140" s="251"/>
      <c r="B140" s="251"/>
      <c r="C140" s="251"/>
      <c r="D140" s="251"/>
      <c r="E140" s="582"/>
      <c r="F140" s="583"/>
      <c r="G140" s="583"/>
      <c r="H140" s="584"/>
      <c r="I140" s="573"/>
      <c r="J140" s="574"/>
      <c r="K140" s="574"/>
      <c r="L140" s="575"/>
      <c r="M140" s="573"/>
      <c r="N140" s="574"/>
      <c r="O140" s="574"/>
      <c r="P140" s="575"/>
      <c r="Q140" s="573"/>
      <c r="R140" s="574"/>
      <c r="S140" s="574"/>
      <c r="T140" s="575"/>
      <c r="U140" s="573"/>
      <c r="V140" s="574"/>
      <c r="W140" s="574"/>
      <c r="X140" s="575"/>
      <c r="Y140" s="573"/>
      <c r="Z140" s="574"/>
      <c r="AA140" s="574"/>
      <c r="AB140" s="575"/>
      <c r="AC140" s="258"/>
      <c r="AD140" s="259"/>
      <c r="AE140" s="259"/>
      <c r="AF140" s="260"/>
      <c r="AG140" s="258"/>
      <c r="AH140" s="259"/>
      <c r="AI140" s="259"/>
      <c r="AJ140" s="260"/>
      <c r="AK140" s="258"/>
      <c r="AL140" s="259"/>
      <c r="AM140" s="259"/>
      <c r="AN140" s="260"/>
      <c r="AO140" s="258"/>
      <c r="AP140" s="259"/>
      <c r="AQ140" s="259"/>
      <c r="AR140" s="260"/>
      <c r="AS140" s="258"/>
      <c r="AT140" s="259"/>
      <c r="AU140" s="259"/>
      <c r="AV140" s="260"/>
      <c r="AW140" s="258"/>
      <c r="AX140" s="259"/>
      <c r="AY140" s="259"/>
      <c r="AZ140" s="260"/>
      <c r="BG140" s="243"/>
      <c r="BH140" s="243"/>
      <c r="BI140" s="243"/>
      <c r="BJ140" s="281">
        <v>290</v>
      </c>
      <c r="BK140" s="274">
        <v>158.25</v>
      </c>
      <c r="BL140" s="274">
        <v>176.82</v>
      </c>
      <c r="BM140" s="274">
        <v>228.25</v>
      </c>
      <c r="BN140" s="274">
        <v>235.37</v>
      </c>
      <c r="BO140" s="274">
        <v>252.66</v>
      </c>
      <c r="BP140" s="281"/>
      <c r="BQ140" s="266"/>
      <c r="BR140" s="266"/>
      <c r="BS140" s="270"/>
    </row>
    <row r="141" spans="1:71">
      <c r="A141" s="251"/>
      <c r="B141" s="251"/>
      <c r="C141" s="251"/>
      <c r="D141" s="251"/>
      <c r="E141" s="576"/>
      <c r="F141" s="577"/>
      <c r="G141" s="577"/>
      <c r="H141" s="578"/>
      <c r="I141" s="579"/>
      <c r="J141" s="580"/>
      <c r="K141" s="580"/>
      <c r="L141" s="581"/>
      <c r="M141" s="579"/>
      <c r="N141" s="580"/>
      <c r="O141" s="580"/>
      <c r="P141" s="581"/>
      <c r="Q141" s="579"/>
      <c r="R141" s="580"/>
      <c r="S141" s="580"/>
      <c r="T141" s="581"/>
      <c r="U141" s="579"/>
      <c r="V141" s="580"/>
      <c r="W141" s="580"/>
      <c r="X141" s="581"/>
      <c r="Y141" s="579"/>
      <c r="Z141" s="580"/>
      <c r="AA141" s="580"/>
      <c r="AB141" s="581"/>
      <c r="AC141" s="258"/>
      <c r="AD141" s="259"/>
      <c r="AE141" s="259"/>
      <c r="AF141" s="260"/>
      <c r="AG141" s="258"/>
      <c r="AH141" s="259"/>
      <c r="AI141" s="259"/>
      <c r="AJ141" s="260"/>
      <c r="AK141" s="258"/>
      <c r="AL141" s="259"/>
      <c r="AM141" s="259"/>
      <c r="AN141" s="260"/>
      <c r="AO141" s="258"/>
      <c r="AP141" s="259"/>
      <c r="AQ141" s="259"/>
      <c r="AR141" s="260"/>
      <c r="AS141" s="258"/>
      <c r="AT141" s="259"/>
      <c r="AU141" s="259"/>
      <c r="AV141" s="260"/>
      <c r="AW141" s="258"/>
      <c r="AX141" s="259"/>
      <c r="AY141" s="259"/>
      <c r="AZ141" s="260"/>
      <c r="BG141" s="243"/>
      <c r="BH141" s="243"/>
      <c r="BI141" s="243"/>
      <c r="BJ141" s="281">
        <v>295</v>
      </c>
      <c r="BK141" s="274">
        <v>161</v>
      </c>
      <c r="BL141" s="274">
        <v>179.92</v>
      </c>
      <c r="BM141" s="274">
        <v>232.26</v>
      </c>
      <c r="BN141" s="274">
        <v>239.47</v>
      </c>
      <c r="BO141" s="274">
        <v>256.97000000000003</v>
      </c>
      <c r="BP141" s="281"/>
      <c r="BQ141" s="266"/>
      <c r="BR141" s="266"/>
      <c r="BS141" s="270"/>
    </row>
    <row r="142" spans="1:71">
      <c r="A142" s="251"/>
      <c r="B142" s="251"/>
      <c r="C142" s="251"/>
      <c r="D142" s="251"/>
      <c r="E142" s="582"/>
      <c r="F142" s="583"/>
      <c r="G142" s="583"/>
      <c r="H142" s="584"/>
      <c r="I142" s="573"/>
      <c r="J142" s="574"/>
      <c r="K142" s="574"/>
      <c r="L142" s="575"/>
      <c r="M142" s="573"/>
      <c r="N142" s="574"/>
      <c r="O142" s="574"/>
      <c r="P142" s="575"/>
      <c r="Q142" s="573"/>
      <c r="R142" s="574"/>
      <c r="S142" s="574"/>
      <c r="T142" s="575"/>
      <c r="U142" s="573"/>
      <c r="V142" s="574"/>
      <c r="W142" s="574"/>
      <c r="X142" s="575"/>
      <c r="Y142" s="573"/>
      <c r="Z142" s="574"/>
      <c r="AA142" s="574"/>
      <c r="AB142" s="575"/>
      <c r="AC142" s="258"/>
      <c r="AD142" s="259"/>
      <c r="AE142" s="259"/>
      <c r="AF142" s="260"/>
      <c r="AG142" s="258"/>
      <c r="AH142" s="259"/>
      <c r="AI142" s="259"/>
      <c r="AJ142" s="260"/>
      <c r="AK142" s="258"/>
      <c r="AL142" s="259"/>
      <c r="AM142" s="259"/>
      <c r="AN142" s="260"/>
      <c r="AO142" s="258"/>
      <c r="AP142" s="259"/>
      <c r="AQ142" s="259"/>
      <c r="AR142" s="260"/>
      <c r="AS142" s="258"/>
      <c r="AT142" s="259"/>
      <c r="AU142" s="259"/>
      <c r="AV142" s="260"/>
      <c r="AW142" s="258"/>
      <c r="AX142" s="259"/>
      <c r="AY142" s="259"/>
      <c r="AZ142" s="260"/>
      <c r="BG142" s="243"/>
      <c r="BH142" s="243"/>
      <c r="BI142" s="243"/>
      <c r="BJ142" s="281">
        <v>300</v>
      </c>
      <c r="BK142" s="274">
        <v>163.75</v>
      </c>
      <c r="BL142" s="274">
        <v>183.02</v>
      </c>
      <c r="BM142" s="274">
        <v>236.28</v>
      </c>
      <c r="BN142" s="274">
        <v>243.58</v>
      </c>
      <c r="BO142" s="274">
        <v>261.27999999999997</v>
      </c>
      <c r="BP142" s="281"/>
      <c r="BQ142" s="266"/>
      <c r="BR142" s="266"/>
      <c r="BS142" s="270"/>
    </row>
    <row r="143" spans="1:71">
      <c r="A143" s="251"/>
      <c r="B143" s="251"/>
      <c r="C143" s="251"/>
      <c r="D143" s="251"/>
      <c r="E143" s="576"/>
      <c r="F143" s="577"/>
      <c r="G143" s="577"/>
      <c r="H143" s="578"/>
      <c r="I143" s="579"/>
      <c r="J143" s="580"/>
      <c r="K143" s="580"/>
      <c r="L143" s="581"/>
      <c r="M143" s="579"/>
      <c r="N143" s="580"/>
      <c r="O143" s="580"/>
      <c r="P143" s="581"/>
      <c r="Q143" s="579"/>
      <c r="R143" s="580"/>
      <c r="S143" s="580"/>
      <c r="T143" s="581"/>
      <c r="U143" s="579"/>
      <c r="V143" s="580"/>
      <c r="W143" s="580"/>
      <c r="X143" s="581"/>
      <c r="Y143" s="579"/>
      <c r="Z143" s="580"/>
      <c r="AA143" s="580"/>
      <c r="AB143" s="581"/>
      <c r="AC143" s="258"/>
      <c r="AD143" s="259"/>
      <c r="AE143" s="259"/>
      <c r="AF143" s="260"/>
      <c r="AG143" s="258"/>
      <c r="AH143" s="259"/>
      <c r="AI143" s="259"/>
      <c r="AJ143" s="260"/>
      <c r="AK143" s="258"/>
      <c r="AL143" s="259"/>
      <c r="AM143" s="259"/>
      <c r="AN143" s="260"/>
      <c r="AO143" s="258"/>
      <c r="AP143" s="259"/>
      <c r="AQ143" s="259"/>
      <c r="AR143" s="260"/>
      <c r="AS143" s="258"/>
      <c r="AT143" s="259"/>
      <c r="AU143" s="259"/>
      <c r="AV143" s="260"/>
      <c r="AW143" s="258"/>
      <c r="AX143" s="259"/>
      <c r="AY143" s="259"/>
      <c r="AZ143" s="260"/>
      <c r="BG143" s="243"/>
      <c r="BH143" s="243"/>
      <c r="BI143" s="243"/>
      <c r="BJ143" s="282"/>
      <c r="BK143" s="283"/>
      <c r="BL143" s="283"/>
      <c r="BM143" s="283"/>
      <c r="BN143" s="283"/>
      <c r="BO143" s="283"/>
      <c r="BP143" s="282"/>
      <c r="BQ143" s="266"/>
      <c r="BR143" s="266"/>
      <c r="BS143" s="270"/>
    </row>
    <row r="144" spans="1:71">
      <c r="A144" s="251"/>
      <c r="B144" s="251"/>
      <c r="C144" s="251"/>
      <c r="D144" s="251"/>
      <c r="E144" s="582"/>
      <c r="F144" s="583"/>
      <c r="G144" s="583"/>
      <c r="H144" s="584"/>
      <c r="I144" s="573"/>
      <c r="J144" s="574"/>
      <c r="K144" s="574"/>
      <c r="L144" s="575"/>
      <c r="M144" s="573"/>
      <c r="N144" s="574"/>
      <c r="O144" s="574"/>
      <c r="P144" s="575"/>
      <c r="Q144" s="573"/>
      <c r="R144" s="574"/>
      <c r="S144" s="574"/>
      <c r="T144" s="575"/>
      <c r="U144" s="573"/>
      <c r="V144" s="574"/>
      <c r="W144" s="574"/>
      <c r="X144" s="575"/>
      <c r="Y144" s="573"/>
      <c r="Z144" s="574"/>
      <c r="AA144" s="574"/>
      <c r="AB144" s="575"/>
      <c r="AC144" s="258"/>
      <c r="AD144" s="259"/>
      <c r="AE144" s="259"/>
      <c r="AF144" s="260"/>
      <c r="AG144" s="258"/>
      <c r="AH144" s="259"/>
      <c r="AI144" s="259"/>
      <c r="AJ144" s="260"/>
      <c r="AK144" s="258"/>
      <c r="AL144" s="259"/>
      <c r="AM144" s="259"/>
      <c r="AN144" s="260"/>
      <c r="AO144" s="258"/>
      <c r="AP144" s="259"/>
      <c r="AQ144" s="259"/>
      <c r="AR144" s="260"/>
      <c r="AS144" s="258"/>
      <c r="AT144" s="259"/>
      <c r="AU144" s="259"/>
      <c r="AV144" s="260"/>
      <c r="AW144" s="258"/>
      <c r="AX144" s="259"/>
      <c r="AY144" s="259"/>
      <c r="AZ144" s="260"/>
      <c r="BG144" s="243"/>
      <c r="BH144" s="243"/>
      <c r="BI144" s="243"/>
      <c r="BJ144" s="282"/>
      <c r="BK144" s="283"/>
      <c r="BL144" s="283"/>
      <c r="BM144" s="283"/>
      <c r="BN144" s="283"/>
      <c r="BO144" s="283"/>
      <c r="BP144" s="282"/>
      <c r="BQ144" s="266"/>
      <c r="BR144" s="266"/>
      <c r="BS144" s="270"/>
    </row>
    <row r="145" spans="1:71">
      <c r="A145" s="251"/>
      <c r="B145" s="251"/>
      <c r="C145" s="251"/>
      <c r="D145" s="251"/>
      <c r="E145" s="576"/>
      <c r="F145" s="577"/>
      <c r="G145" s="577"/>
      <c r="H145" s="578"/>
      <c r="I145" s="579"/>
      <c r="J145" s="580"/>
      <c r="K145" s="580"/>
      <c r="L145" s="581"/>
      <c r="M145" s="579"/>
      <c r="N145" s="580"/>
      <c r="O145" s="580"/>
      <c r="P145" s="581"/>
      <c r="Q145" s="579"/>
      <c r="R145" s="580"/>
      <c r="S145" s="580"/>
      <c r="T145" s="581"/>
      <c r="U145" s="579"/>
      <c r="V145" s="580"/>
      <c r="W145" s="580"/>
      <c r="X145" s="581"/>
      <c r="Y145" s="579"/>
      <c r="Z145" s="580"/>
      <c r="AA145" s="580"/>
      <c r="AB145" s="581"/>
      <c r="AC145" s="258"/>
      <c r="AD145" s="259"/>
      <c r="AE145" s="259"/>
      <c r="AF145" s="260"/>
      <c r="AG145" s="258"/>
      <c r="AH145" s="259"/>
      <c r="AI145" s="259"/>
      <c r="AJ145" s="260"/>
      <c r="AK145" s="258"/>
      <c r="AL145" s="259"/>
      <c r="AM145" s="259"/>
      <c r="AN145" s="260"/>
      <c r="AO145" s="258"/>
      <c r="AP145" s="259"/>
      <c r="AQ145" s="259"/>
      <c r="AR145" s="260"/>
      <c r="AS145" s="258"/>
      <c r="AT145" s="259"/>
      <c r="AU145" s="259"/>
      <c r="AV145" s="260"/>
      <c r="AW145" s="258"/>
      <c r="AX145" s="259"/>
      <c r="AY145" s="259"/>
      <c r="AZ145" s="260"/>
      <c r="BG145" s="243"/>
      <c r="BH145" s="243"/>
      <c r="BI145" s="243"/>
      <c r="BJ145" s="282"/>
      <c r="BK145" s="283"/>
      <c r="BL145" s="283"/>
      <c r="BM145" s="283"/>
      <c r="BN145" s="283"/>
      <c r="BO145" s="283"/>
      <c r="BP145" s="282"/>
      <c r="BQ145" s="266"/>
      <c r="BR145" s="266"/>
      <c r="BS145" s="270"/>
    </row>
    <row r="146" spans="1:71">
      <c r="A146" s="251"/>
      <c r="B146" s="251"/>
      <c r="C146" s="251"/>
      <c r="D146" s="251"/>
      <c r="E146" s="582"/>
      <c r="F146" s="583"/>
      <c r="G146" s="583"/>
      <c r="H146" s="584"/>
      <c r="I146" s="573"/>
      <c r="J146" s="574"/>
      <c r="K146" s="574"/>
      <c r="L146" s="575"/>
      <c r="M146" s="573"/>
      <c r="N146" s="574"/>
      <c r="O146" s="574"/>
      <c r="P146" s="575"/>
      <c r="Q146" s="573"/>
      <c r="R146" s="574"/>
      <c r="S146" s="574"/>
      <c r="T146" s="575"/>
      <c r="U146" s="573"/>
      <c r="V146" s="574"/>
      <c r="W146" s="574"/>
      <c r="X146" s="575"/>
      <c r="Y146" s="573"/>
      <c r="Z146" s="574"/>
      <c r="AA146" s="574"/>
      <c r="AB146" s="575"/>
      <c r="AC146" s="258"/>
      <c r="AD146" s="259"/>
      <c r="AE146" s="259"/>
      <c r="AF146" s="260"/>
      <c r="AG146" s="258"/>
      <c r="AH146" s="259"/>
      <c r="AI146" s="259"/>
      <c r="AJ146" s="260"/>
      <c r="AK146" s="258"/>
      <c r="AL146" s="259"/>
      <c r="AM146" s="259"/>
      <c r="AN146" s="260"/>
      <c r="AO146" s="258"/>
      <c r="AP146" s="259"/>
      <c r="AQ146" s="259"/>
      <c r="AR146" s="260"/>
      <c r="AS146" s="258"/>
      <c r="AT146" s="259"/>
      <c r="AU146" s="259"/>
      <c r="AV146" s="260"/>
      <c r="AW146" s="258"/>
      <c r="AX146" s="259"/>
      <c r="AY146" s="259"/>
      <c r="AZ146" s="260"/>
      <c r="BG146" s="243"/>
      <c r="BH146" s="243"/>
      <c r="BI146" s="243"/>
      <c r="BJ146" s="282"/>
      <c r="BK146" s="283"/>
      <c r="BL146" s="283"/>
      <c r="BM146" s="283"/>
      <c r="BN146" s="283"/>
      <c r="BO146" s="283"/>
      <c r="BP146" s="282"/>
      <c r="BQ146" s="266"/>
      <c r="BR146" s="266"/>
      <c r="BS146" s="270"/>
    </row>
    <row r="147" spans="1:71">
      <c r="A147" s="251"/>
      <c r="B147" s="251"/>
      <c r="C147" s="251"/>
      <c r="D147" s="251"/>
      <c r="E147" s="576"/>
      <c r="F147" s="577"/>
      <c r="G147" s="577"/>
      <c r="H147" s="578"/>
      <c r="I147" s="579"/>
      <c r="J147" s="580"/>
      <c r="K147" s="580"/>
      <c r="L147" s="581"/>
      <c r="M147" s="579"/>
      <c r="N147" s="580"/>
      <c r="O147" s="580"/>
      <c r="P147" s="581"/>
      <c r="Q147" s="579"/>
      <c r="R147" s="580"/>
      <c r="S147" s="580"/>
      <c r="T147" s="581"/>
      <c r="U147" s="579"/>
      <c r="V147" s="580"/>
      <c r="W147" s="580"/>
      <c r="X147" s="581"/>
      <c r="Y147" s="579"/>
      <c r="Z147" s="580"/>
      <c r="AA147" s="580"/>
      <c r="AB147" s="581"/>
      <c r="AC147" s="258"/>
      <c r="AD147" s="259"/>
      <c r="AE147" s="259"/>
      <c r="AF147" s="260"/>
      <c r="AG147" s="258"/>
      <c r="AH147" s="259"/>
      <c r="AI147" s="259"/>
      <c r="AJ147" s="260"/>
      <c r="AK147" s="258"/>
      <c r="AL147" s="259"/>
      <c r="AM147" s="259"/>
      <c r="AN147" s="260"/>
      <c r="AO147" s="258"/>
      <c r="AP147" s="259"/>
      <c r="AQ147" s="259"/>
      <c r="AR147" s="260"/>
      <c r="AS147" s="258"/>
      <c r="AT147" s="259"/>
      <c r="AU147" s="259"/>
      <c r="AV147" s="260"/>
      <c r="AW147" s="258"/>
      <c r="AX147" s="259"/>
      <c r="AY147" s="259"/>
      <c r="AZ147" s="260"/>
      <c r="BG147" s="243"/>
      <c r="BH147" s="243"/>
      <c r="BI147" s="243"/>
      <c r="BJ147" s="282"/>
      <c r="BK147" s="283"/>
      <c r="BL147" s="283"/>
      <c r="BM147" s="283"/>
      <c r="BN147" s="283"/>
      <c r="BO147" s="283"/>
      <c r="BP147" s="282"/>
      <c r="BQ147" s="266"/>
      <c r="BR147" s="266"/>
      <c r="BS147" s="270"/>
    </row>
    <row r="148" spans="1:71">
      <c r="A148" s="251"/>
      <c r="B148" s="251"/>
      <c r="C148" s="251"/>
      <c r="D148" s="251"/>
      <c r="E148" s="582"/>
      <c r="F148" s="583"/>
      <c r="G148" s="583"/>
      <c r="H148" s="584"/>
      <c r="I148" s="573"/>
      <c r="J148" s="574"/>
      <c r="K148" s="574"/>
      <c r="L148" s="575"/>
      <c r="M148" s="573"/>
      <c r="N148" s="574"/>
      <c r="O148" s="574"/>
      <c r="P148" s="575"/>
      <c r="Q148" s="573"/>
      <c r="R148" s="574"/>
      <c r="S148" s="574"/>
      <c r="T148" s="575"/>
      <c r="U148" s="573"/>
      <c r="V148" s="574"/>
      <c r="W148" s="574"/>
      <c r="X148" s="575"/>
      <c r="Y148" s="573"/>
      <c r="Z148" s="574"/>
      <c r="AA148" s="574"/>
      <c r="AB148" s="575"/>
      <c r="AC148" s="258"/>
      <c r="AD148" s="259"/>
      <c r="AE148" s="259"/>
      <c r="AF148" s="260"/>
      <c r="AG148" s="258"/>
      <c r="AH148" s="259"/>
      <c r="AI148" s="259"/>
      <c r="AJ148" s="260"/>
      <c r="AK148" s="258"/>
      <c r="AL148" s="259"/>
      <c r="AM148" s="259"/>
      <c r="AN148" s="260"/>
      <c r="AO148" s="258"/>
      <c r="AP148" s="259"/>
      <c r="AQ148" s="259"/>
      <c r="AR148" s="260"/>
      <c r="AS148" s="258"/>
      <c r="AT148" s="259"/>
      <c r="AU148" s="259"/>
      <c r="AV148" s="260"/>
      <c r="AW148" s="258"/>
      <c r="AX148" s="259"/>
      <c r="AY148" s="259"/>
      <c r="AZ148" s="260"/>
      <c r="BG148" s="243"/>
      <c r="BH148" s="243"/>
      <c r="BI148" s="243"/>
      <c r="BJ148" s="282"/>
      <c r="BK148" s="283"/>
      <c r="BL148" s="283"/>
      <c r="BM148" s="283"/>
      <c r="BN148" s="283"/>
      <c r="BO148" s="283"/>
      <c r="BP148" s="282"/>
      <c r="BQ148" s="266"/>
      <c r="BR148" s="266"/>
      <c r="BS148" s="270"/>
    </row>
    <row r="149" spans="1:71">
      <c r="A149" s="251"/>
      <c r="B149" s="251"/>
      <c r="C149" s="251"/>
      <c r="D149" s="251"/>
      <c r="E149" s="576"/>
      <c r="F149" s="577"/>
      <c r="G149" s="577"/>
      <c r="H149" s="578"/>
      <c r="I149" s="579"/>
      <c r="J149" s="580"/>
      <c r="K149" s="580"/>
      <c r="L149" s="581"/>
      <c r="M149" s="579"/>
      <c r="N149" s="580"/>
      <c r="O149" s="580"/>
      <c r="P149" s="581"/>
      <c r="Q149" s="579"/>
      <c r="R149" s="580"/>
      <c r="S149" s="580"/>
      <c r="T149" s="581"/>
      <c r="U149" s="579"/>
      <c r="V149" s="580"/>
      <c r="W149" s="580"/>
      <c r="X149" s="581"/>
      <c r="Y149" s="579"/>
      <c r="Z149" s="580"/>
      <c r="AA149" s="580"/>
      <c r="AB149" s="581"/>
      <c r="AC149" s="258"/>
      <c r="AD149" s="259"/>
      <c r="AE149" s="259"/>
      <c r="AF149" s="260"/>
      <c r="AG149" s="258"/>
      <c r="AH149" s="259"/>
      <c r="AI149" s="259"/>
      <c r="AJ149" s="260"/>
      <c r="AK149" s="258"/>
      <c r="AL149" s="259"/>
      <c r="AM149" s="259"/>
      <c r="AN149" s="260"/>
      <c r="AO149" s="258"/>
      <c r="AP149" s="259"/>
      <c r="AQ149" s="259"/>
      <c r="AR149" s="260"/>
      <c r="AS149" s="258"/>
      <c r="AT149" s="259"/>
      <c r="AU149" s="259"/>
      <c r="AV149" s="260"/>
      <c r="AW149" s="258"/>
      <c r="AX149" s="259"/>
      <c r="AY149" s="259"/>
      <c r="AZ149" s="260"/>
      <c r="BG149" s="243"/>
      <c r="BH149" s="243"/>
      <c r="BI149" s="243"/>
      <c r="BJ149" s="282"/>
      <c r="BK149" s="283"/>
      <c r="BL149" s="283"/>
      <c r="BM149" s="283"/>
      <c r="BN149" s="283"/>
      <c r="BO149" s="283"/>
      <c r="BP149" s="282"/>
      <c r="BQ149" s="266"/>
      <c r="BR149" s="266"/>
      <c r="BS149" s="270"/>
    </row>
    <row r="150" spans="1:71">
      <c r="A150" s="251"/>
      <c r="B150" s="251"/>
      <c r="C150" s="251"/>
      <c r="D150" s="251"/>
      <c r="E150" s="582"/>
      <c r="F150" s="583"/>
      <c r="G150" s="583"/>
      <c r="H150" s="584"/>
      <c r="I150" s="573"/>
      <c r="J150" s="574"/>
      <c r="K150" s="574"/>
      <c r="L150" s="575"/>
      <c r="M150" s="573"/>
      <c r="N150" s="574"/>
      <c r="O150" s="574"/>
      <c r="P150" s="575"/>
      <c r="Q150" s="573"/>
      <c r="R150" s="574"/>
      <c r="S150" s="574"/>
      <c r="T150" s="575"/>
      <c r="U150" s="573"/>
      <c r="V150" s="574"/>
      <c r="W150" s="574"/>
      <c r="X150" s="575"/>
      <c r="Y150" s="573"/>
      <c r="Z150" s="574"/>
      <c r="AA150" s="574"/>
      <c r="AB150" s="575"/>
      <c r="AC150" s="258"/>
      <c r="AD150" s="259"/>
      <c r="AE150" s="259"/>
      <c r="AF150" s="260"/>
      <c r="AG150" s="258"/>
      <c r="AH150" s="259"/>
      <c r="AI150" s="259"/>
      <c r="AJ150" s="260"/>
      <c r="AK150" s="258"/>
      <c r="AL150" s="259"/>
      <c r="AM150" s="259"/>
      <c r="AN150" s="260"/>
      <c r="AO150" s="258"/>
      <c r="AP150" s="259"/>
      <c r="AQ150" s="259"/>
      <c r="AR150" s="260"/>
      <c r="AS150" s="258"/>
      <c r="AT150" s="259"/>
      <c r="AU150" s="259"/>
      <c r="AV150" s="260"/>
      <c r="AW150" s="258"/>
      <c r="AX150" s="259"/>
      <c r="AY150" s="259"/>
      <c r="AZ150" s="260"/>
      <c r="BG150" s="243"/>
      <c r="BH150" s="243"/>
      <c r="BI150" s="243"/>
      <c r="BJ150" s="282"/>
      <c r="BK150" s="283"/>
      <c r="BL150" s="283"/>
      <c r="BM150" s="283"/>
      <c r="BN150" s="283"/>
      <c r="BO150" s="283"/>
      <c r="BP150" s="282"/>
      <c r="BQ150" s="266"/>
      <c r="BR150" s="266"/>
      <c r="BS150" s="270"/>
    </row>
    <row r="151" spans="1:71">
      <c r="A151" s="251"/>
      <c r="B151" s="251"/>
      <c r="C151" s="251"/>
      <c r="D151" s="251"/>
      <c r="E151" s="576"/>
      <c r="F151" s="577"/>
      <c r="G151" s="577"/>
      <c r="H151" s="578"/>
      <c r="I151" s="579"/>
      <c r="J151" s="580"/>
      <c r="K151" s="580"/>
      <c r="L151" s="581"/>
      <c r="M151" s="579"/>
      <c r="N151" s="580"/>
      <c r="O151" s="580"/>
      <c r="P151" s="581"/>
      <c r="Q151" s="579"/>
      <c r="R151" s="580"/>
      <c r="S151" s="580"/>
      <c r="T151" s="581"/>
      <c r="U151" s="579"/>
      <c r="V151" s="580"/>
      <c r="W151" s="580"/>
      <c r="X151" s="581"/>
      <c r="Y151" s="579"/>
      <c r="Z151" s="580"/>
      <c r="AA151" s="580"/>
      <c r="AB151" s="581"/>
      <c r="AC151" s="258"/>
      <c r="AD151" s="259"/>
      <c r="AE151" s="259"/>
      <c r="AF151" s="260"/>
      <c r="AG151" s="258"/>
      <c r="AH151" s="259"/>
      <c r="AI151" s="259"/>
      <c r="AJ151" s="260"/>
      <c r="AK151" s="258"/>
      <c r="AL151" s="259"/>
      <c r="AM151" s="259"/>
      <c r="AN151" s="260"/>
      <c r="AO151" s="258"/>
      <c r="AP151" s="259"/>
      <c r="AQ151" s="259"/>
      <c r="AR151" s="260"/>
      <c r="AS151" s="258"/>
      <c r="AT151" s="259"/>
      <c r="AU151" s="259"/>
      <c r="AV151" s="260"/>
      <c r="AW151" s="258"/>
      <c r="AX151" s="259"/>
      <c r="AY151" s="259"/>
      <c r="AZ151" s="260"/>
      <c r="BG151" s="243"/>
      <c r="BH151" s="243"/>
      <c r="BI151" s="243"/>
      <c r="BJ151" s="282"/>
      <c r="BK151" s="283"/>
      <c r="BL151" s="283"/>
      <c r="BM151" s="283"/>
      <c r="BN151" s="283"/>
      <c r="BO151" s="283"/>
      <c r="BP151" s="282"/>
      <c r="BQ151" s="266"/>
      <c r="BR151" s="266"/>
      <c r="BS151" s="270"/>
    </row>
    <row r="152" spans="1:71">
      <c r="A152" s="251"/>
      <c r="B152" s="251"/>
      <c r="C152" s="251"/>
      <c r="D152" s="251"/>
      <c r="E152" s="582"/>
      <c r="F152" s="583"/>
      <c r="G152" s="583"/>
      <c r="H152" s="584"/>
      <c r="I152" s="573"/>
      <c r="J152" s="574"/>
      <c r="K152" s="574"/>
      <c r="L152" s="575"/>
      <c r="M152" s="573"/>
      <c r="N152" s="574"/>
      <c r="O152" s="574"/>
      <c r="P152" s="575"/>
      <c r="Q152" s="573"/>
      <c r="R152" s="574"/>
      <c r="S152" s="574"/>
      <c r="T152" s="575"/>
      <c r="U152" s="573"/>
      <c r="V152" s="574"/>
      <c r="W152" s="574"/>
      <c r="X152" s="575"/>
      <c r="Y152" s="573"/>
      <c r="Z152" s="574"/>
      <c r="AA152" s="574"/>
      <c r="AB152" s="575"/>
      <c r="AC152" s="258"/>
      <c r="AD152" s="259"/>
      <c r="AE152" s="259"/>
      <c r="AF152" s="260"/>
      <c r="AG152" s="258"/>
      <c r="AH152" s="259"/>
      <c r="AI152" s="259"/>
      <c r="AJ152" s="260"/>
      <c r="AK152" s="258"/>
      <c r="AL152" s="259"/>
      <c r="AM152" s="259"/>
      <c r="AN152" s="260"/>
      <c r="AO152" s="258"/>
      <c r="AP152" s="259"/>
      <c r="AQ152" s="259"/>
      <c r="AR152" s="260"/>
      <c r="AS152" s="258"/>
      <c r="AT152" s="259"/>
      <c r="AU152" s="259"/>
      <c r="AV152" s="260"/>
      <c r="AW152" s="258"/>
      <c r="AX152" s="259"/>
      <c r="AY152" s="259"/>
      <c r="AZ152" s="260"/>
      <c r="BG152" s="243"/>
      <c r="BH152" s="243"/>
      <c r="BI152" s="243"/>
      <c r="BJ152" s="282"/>
      <c r="BK152" s="283"/>
      <c r="BL152" s="283"/>
      <c r="BM152" s="283"/>
      <c r="BN152" s="283"/>
      <c r="BO152" s="283"/>
      <c r="BP152" s="282"/>
      <c r="BQ152" s="266"/>
      <c r="BR152" s="266"/>
      <c r="BS152" s="270"/>
    </row>
    <row r="153" spans="1:71">
      <c r="A153" s="251"/>
      <c r="B153" s="251"/>
      <c r="C153" s="251"/>
      <c r="D153" s="251"/>
      <c r="E153" s="576"/>
      <c r="F153" s="577"/>
      <c r="G153" s="577"/>
      <c r="H153" s="578"/>
      <c r="I153" s="579"/>
      <c r="J153" s="580"/>
      <c r="K153" s="580"/>
      <c r="L153" s="581"/>
      <c r="M153" s="579"/>
      <c r="N153" s="580"/>
      <c r="O153" s="580"/>
      <c r="P153" s="581"/>
      <c r="Q153" s="579"/>
      <c r="R153" s="580"/>
      <c r="S153" s="580"/>
      <c r="T153" s="581"/>
      <c r="U153" s="579"/>
      <c r="V153" s="580"/>
      <c r="W153" s="580"/>
      <c r="X153" s="581"/>
      <c r="Y153" s="579"/>
      <c r="Z153" s="580"/>
      <c r="AA153" s="580"/>
      <c r="AB153" s="581"/>
      <c r="AC153" s="258"/>
      <c r="AD153" s="259"/>
      <c r="AE153" s="259"/>
      <c r="AF153" s="260"/>
      <c r="AG153" s="258"/>
      <c r="AH153" s="259"/>
      <c r="AI153" s="259"/>
      <c r="AJ153" s="260"/>
      <c r="AK153" s="258"/>
      <c r="AL153" s="259"/>
      <c r="AM153" s="259"/>
      <c r="AN153" s="260"/>
      <c r="AO153" s="258"/>
      <c r="AP153" s="259"/>
      <c r="AQ153" s="259"/>
      <c r="AR153" s="260"/>
      <c r="AS153" s="258"/>
      <c r="AT153" s="259"/>
      <c r="AU153" s="259"/>
      <c r="AV153" s="260"/>
      <c r="AW153" s="258"/>
      <c r="AX153" s="259"/>
      <c r="AY153" s="259"/>
      <c r="AZ153" s="260"/>
      <c r="BG153" s="243"/>
      <c r="BH153" s="243"/>
      <c r="BI153" s="243"/>
      <c r="BJ153" s="282"/>
      <c r="BK153" s="283"/>
      <c r="BL153" s="283"/>
      <c r="BM153" s="283"/>
      <c r="BN153" s="283"/>
      <c r="BO153" s="283"/>
      <c r="BP153" s="282"/>
      <c r="BQ153" s="266"/>
      <c r="BR153" s="266"/>
      <c r="BS153" s="270"/>
    </row>
    <row r="154" spans="1:71">
      <c r="A154" s="251"/>
      <c r="B154" s="251"/>
      <c r="C154" s="251"/>
      <c r="D154" s="251"/>
      <c r="E154" s="582"/>
      <c r="F154" s="583"/>
      <c r="G154" s="583"/>
      <c r="H154" s="584"/>
      <c r="I154" s="573"/>
      <c r="J154" s="574"/>
      <c r="K154" s="574"/>
      <c r="L154" s="575"/>
      <c r="M154" s="573"/>
      <c r="N154" s="574"/>
      <c r="O154" s="574"/>
      <c r="P154" s="575"/>
      <c r="Q154" s="573"/>
      <c r="R154" s="574"/>
      <c r="S154" s="574"/>
      <c r="T154" s="575"/>
      <c r="U154" s="573"/>
      <c r="V154" s="574"/>
      <c r="W154" s="574"/>
      <c r="X154" s="575"/>
      <c r="Y154" s="573"/>
      <c r="Z154" s="574"/>
      <c r="AA154" s="574"/>
      <c r="AB154" s="575"/>
      <c r="AC154" s="258"/>
      <c r="AD154" s="259"/>
      <c r="AE154" s="259"/>
      <c r="AF154" s="260"/>
      <c r="AG154" s="258"/>
      <c r="AH154" s="259"/>
      <c r="AI154" s="259"/>
      <c r="AJ154" s="260"/>
      <c r="AK154" s="258"/>
      <c r="AL154" s="259"/>
      <c r="AM154" s="259"/>
      <c r="AN154" s="260"/>
      <c r="AO154" s="258"/>
      <c r="AP154" s="259"/>
      <c r="AQ154" s="259"/>
      <c r="AR154" s="260"/>
      <c r="AS154" s="258"/>
      <c r="AT154" s="259"/>
      <c r="AU154" s="259"/>
      <c r="AV154" s="260"/>
      <c r="AW154" s="258"/>
      <c r="AX154" s="259"/>
      <c r="AY154" s="259"/>
      <c r="AZ154" s="260"/>
      <c r="BG154" s="243"/>
      <c r="BH154" s="243"/>
      <c r="BI154" s="243"/>
      <c r="BJ154" s="282"/>
      <c r="BK154" s="283"/>
      <c r="BL154" s="283"/>
      <c r="BM154" s="283"/>
      <c r="BN154" s="283"/>
      <c r="BO154" s="283"/>
      <c r="BP154" s="282"/>
      <c r="BQ154" s="266"/>
      <c r="BR154" s="266"/>
      <c r="BS154" s="270"/>
    </row>
    <row r="155" spans="1:71">
      <c r="A155" s="251"/>
      <c r="B155" s="251"/>
      <c r="C155" s="251"/>
      <c r="D155" s="251"/>
      <c r="E155" s="576"/>
      <c r="F155" s="577"/>
      <c r="G155" s="577"/>
      <c r="H155" s="578"/>
      <c r="I155" s="579"/>
      <c r="J155" s="580"/>
      <c r="K155" s="580"/>
      <c r="L155" s="581"/>
      <c r="M155" s="579"/>
      <c r="N155" s="580"/>
      <c r="O155" s="580"/>
      <c r="P155" s="581"/>
      <c r="Q155" s="579"/>
      <c r="R155" s="580"/>
      <c r="S155" s="580"/>
      <c r="T155" s="581"/>
      <c r="U155" s="579"/>
      <c r="V155" s="580"/>
      <c r="W155" s="580"/>
      <c r="X155" s="581"/>
      <c r="Y155" s="579"/>
      <c r="Z155" s="580"/>
      <c r="AA155" s="580"/>
      <c r="AB155" s="581"/>
      <c r="AC155" s="258"/>
      <c r="AD155" s="259"/>
      <c r="AE155" s="259"/>
      <c r="AF155" s="260"/>
      <c r="AG155" s="258"/>
      <c r="AH155" s="259"/>
      <c r="AI155" s="259"/>
      <c r="AJ155" s="260"/>
      <c r="AK155" s="258"/>
      <c r="AL155" s="259"/>
      <c r="AM155" s="259"/>
      <c r="AN155" s="260"/>
      <c r="AO155" s="258"/>
      <c r="AP155" s="259"/>
      <c r="AQ155" s="259"/>
      <c r="AR155" s="260"/>
      <c r="AS155" s="258"/>
      <c r="AT155" s="259"/>
      <c r="AU155" s="259"/>
      <c r="AV155" s="260"/>
      <c r="AW155" s="258"/>
      <c r="AX155" s="259"/>
      <c r="AY155" s="259"/>
      <c r="AZ155" s="260"/>
      <c r="BG155" s="243"/>
      <c r="BH155" s="243"/>
      <c r="BI155" s="243"/>
      <c r="BJ155" s="282"/>
      <c r="BK155" s="283"/>
      <c r="BL155" s="283"/>
      <c r="BM155" s="283"/>
      <c r="BN155" s="283"/>
      <c r="BO155" s="283"/>
      <c r="BP155" s="282"/>
      <c r="BQ155" s="266"/>
      <c r="BR155" s="266"/>
      <c r="BS155" s="270"/>
    </row>
    <row r="156" spans="1:71">
      <c r="A156" s="251"/>
      <c r="B156" s="251"/>
      <c r="C156" s="251"/>
      <c r="D156" s="251"/>
      <c r="E156" s="582"/>
      <c r="F156" s="583"/>
      <c r="G156" s="583"/>
      <c r="H156" s="584"/>
      <c r="I156" s="573"/>
      <c r="J156" s="574"/>
      <c r="K156" s="574"/>
      <c r="L156" s="575"/>
      <c r="M156" s="573"/>
      <c r="N156" s="574"/>
      <c r="O156" s="574"/>
      <c r="P156" s="575"/>
      <c r="Q156" s="573"/>
      <c r="R156" s="574"/>
      <c r="S156" s="574"/>
      <c r="T156" s="575"/>
      <c r="U156" s="573"/>
      <c r="V156" s="574"/>
      <c r="W156" s="574"/>
      <c r="X156" s="575"/>
      <c r="Y156" s="573"/>
      <c r="Z156" s="574"/>
      <c r="AA156" s="574"/>
      <c r="AB156" s="575"/>
      <c r="AC156" s="258"/>
      <c r="AD156" s="259"/>
      <c r="AE156" s="259"/>
      <c r="AF156" s="260"/>
      <c r="AG156" s="258"/>
      <c r="AH156" s="259"/>
      <c r="AI156" s="259"/>
      <c r="AJ156" s="260"/>
      <c r="AK156" s="258"/>
      <c r="AL156" s="259"/>
      <c r="AM156" s="259"/>
      <c r="AN156" s="260"/>
      <c r="AO156" s="258"/>
      <c r="AP156" s="259"/>
      <c r="AQ156" s="259"/>
      <c r="AR156" s="260"/>
      <c r="AS156" s="258"/>
      <c r="AT156" s="259"/>
      <c r="AU156" s="259"/>
      <c r="AV156" s="260"/>
      <c r="AW156" s="258"/>
      <c r="AX156" s="259"/>
      <c r="AY156" s="259"/>
      <c r="AZ156" s="260"/>
      <c r="BG156" s="243"/>
      <c r="BH156" s="243"/>
      <c r="BI156" s="243"/>
      <c r="BJ156" s="282"/>
      <c r="BK156" s="283"/>
      <c r="BL156" s="283"/>
      <c r="BM156" s="283"/>
      <c r="BN156" s="283"/>
      <c r="BO156" s="283"/>
      <c r="BP156" s="282"/>
      <c r="BQ156" s="266"/>
      <c r="BR156" s="266"/>
      <c r="BS156" s="270"/>
    </row>
    <row r="157" spans="1:71">
      <c r="A157" s="251"/>
      <c r="B157" s="251"/>
      <c r="C157" s="251"/>
      <c r="D157" s="251"/>
      <c r="E157" s="576"/>
      <c r="F157" s="577"/>
      <c r="G157" s="577"/>
      <c r="H157" s="578"/>
      <c r="I157" s="579"/>
      <c r="J157" s="580"/>
      <c r="K157" s="580"/>
      <c r="L157" s="581"/>
      <c r="M157" s="579"/>
      <c r="N157" s="580"/>
      <c r="O157" s="580"/>
      <c r="P157" s="581"/>
      <c r="Q157" s="579"/>
      <c r="R157" s="580"/>
      <c r="S157" s="580"/>
      <c r="T157" s="581"/>
      <c r="U157" s="579"/>
      <c r="V157" s="580"/>
      <c r="W157" s="580"/>
      <c r="X157" s="581"/>
      <c r="Y157" s="579"/>
      <c r="Z157" s="580"/>
      <c r="AA157" s="580"/>
      <c r="AB157" s="581"/>
      <c r="AC157" s="258"/>
      <c r="AD157" s="259"/>
      <c r="AE157" s="259"/>
      <c r="AF157" s="260"/>
      <c r="AG157" s="258"/>
      <c r="AH157" s="259"/>
      <c r="AI157" s="259"/>
      <c r="AJ157" s="260"/>
      <c r="AK157" s="258"/>
      <c r="AL157" s="259"/>
      <c r="AM157" s="259"/>
      <c r="AN157" s="260"/>
      <c r="AO157" s="258"/>
      <c r="AP157" s="259"/>
      <c r="AQ157" s="259"/>
      <c r="AR157" s="260"/>
      <c r="AS157" s="258"/>
      <c r="AT157" s="259"/>
      <c r="AU157" s="259"/>
      <c r="AV157" s="260"/>
      <c r="AW157" s="258"/>
      <c r="AX157" s="259"/>
      <c r="AY157" s="259"/>
      <c r="AZ157" s="260"/>
      <c r="BG157" s="243"/>
      <c r="BH157" s="243"/>
      <c r="BI157" s="243"/>
      <c r="BJ157" s="282"/>
      <c r="BK157" s="283"/>
      <c r="BL157" s="283"/>
      <c r="BM157" s="283"/>
      <c r="BN157" s="283"/>
      <c r="BO157" s="283"/>
      <c r="BP157" s="282"/>
      <c r="BQ157" s="266"/>
      <c r="BR157" s="266"/>
      <c r="BS157" s="270"/>
    </row>
    <row r="158" spans="1:71">
      <c r="A158" s="251"/>
      <c r="B158" s="251"/>
      <c r="C158" s="251"/>
      <c r="D158" s="251"/>
      <c r="E158" s="582"/>
      <c r="F158" s="583"/>
      <c r="G158" s="583"/>
      <c r="H158" s="584"/>
      <c r="I158" s="573"/>
      <c r="J158" s="574"/>
      <c r="K158" s="574"/>
      <c r="L158" s="575"/>
      <c r="M158" s="573"/>
      <c r="N158" s="574"/>
      <c r="O158" s="574"/>
      <c r="P158" s="575"/>
      <c r="Q158" s="573"/>
      <c r="R158" s="574"/>
      <c r="S158" s="574"/>
      <c r="T158" s="575"/>
      <c r="U158" s="573"/>
      <c r="V158" s="574"/>
      <c r="W158" s="574"/>
      <c r="X158" s="575"/>
      <c r="Y158" s="573"/>
      <c r="Z158" s="574"/>
      <c r="AA158" s="574"/>
      <c r="AB158" s="575"/>
      <c r="AC158" s="258"/>
      <c r="AD158" s="259"/>
      <c r="AE158" s="259"/>
      <c r="AF158" s="260"/>
      <c r="AG158" s="258"/>
      <c r="AH158" s="259"/>
      <c r="AI158" s="259"/>
      <c r="AJ158" s="260"/>
      <c r="AK158" s="258"/>
      <c r="AL158" s="259"/>
      <c r="AM158" s="259"/>
      <c r="AN158" s="260"/>
      <c r="AO158" s="258"/>
      <c r="AP158" s="259"/>
      <c r="AQ158" s="259"/>
      <c r="AR158" s="260"/>
      <c r="AS158" s="258"/>
      <c r="AT158" s="259"/>
      <c r="AU158" s="259"/>
      <c r="AV158" s="260"/>
      <c r="AW158" s="258"/>
      <c r="AX158" s="259"/>
      <c r="AY158" s="259"/>
      <c r="AZ158" s="260"/>
      <c r="BG158" s="243"/>
      <c r="BH158" s="243"/>
      <c r="BI158" s="243"/>
      <c r="BJ158" s="282"/>
      <c r="BK158" s="283"/>
      <c r="BL158" s="283"/>
      <c r="BM158" s="283"/>
      <c r="BN158" s="283"/>
      <c r="BO158" s="283"/>
      <c r="BP158" s="282"/>
      <c r="BQ158" s="266"/>
      <c r="BR158" s="266"/>
      <c r="BS158" s="270"/>
    </row>
    <row r="159" spans="1:71">
      <c r="A159" s="251"/>
      <c r="B159" s="251"/>
      <c r="C159" s="251"/>
      <c r="D159" s="251"/>
      <c r="E159" s="576"/>
      <c r="F159" s="577"/>
      <c r="G159" s="577"/>
      <c r="H159" s="578"/>
      <c r="I159" s="579"/>
      <c r="J159" s="580"/>
      <c r="K159" s="580"/>
      <c r="L159" s="581"/>
      <c r="M159" s="579"/>
      <c r="N159" s="580"/>
      <c r="O159" s="580"/>
      <c r="P159" s="581"/>
      <c r="Q159" s="579"/>
      <c r="R159" s="580"/>
      <c r="S159" s="580"/>
      <c r="T159" s="581"/>
      <c r="U159" s="579"/>
      <c r="V159" s="580"/>
      <c r="W159" s="580"/>
      <c r="X159" s="581"/>
      <c r="Y159" s="579"/>
      <c r="Z159" s="580"/>
      <c r="AA159" s="580"/>
      <c r="AB159" s="581"/>
      <c r="AC159" s="258"/>
      <c r="AD159" s="259"/>
      <c r="AE159" s="259"/>
      <c r="AF159" s="260"/>
      <c r="AG159" s="258"/>
      <c r="AH159" s="259"/>
      <c r="AI159" s="259"/>
      <c r="AJ159" s="260"/>
      <c r="AK159" s="258"/>
      <c r="AL159" s="259"/>
      <c r="AM159" s="259"/>
      <c r="AN159" s="260"/>
      <c r="AO159" s="258"/>
      <c r="AP159" s="259"/>
      <c r="AQ159" s="259"/>
      <c r="AR159" s="260"/>
      <c r="AS159" s="258"/>
      <c r="AT159" s="259"/>
      <c r="AU159" s="259"/>
      <c r="AV159" s="260"/>
      <c r="AW159" s="258"/>
      <c r="AX159" s="259"/>
      <c r="AY159" s="259"/>
      <c r="AZ159" s="260"/>
      <c r="BG159" s="243"/>
      <c r="BH159" s="243"/>
      <c r="BI159" s="243"/>
      <c r="BJ159" s="282"/>
      <c r="BK159" s="283"/>
      <c r="BL159" s="283"/>
      <c r="BM159" s="283"/>
      <c r="BN159" s="283"/>
      <c r="BO159" s="283"/>
      <c r="BP159" s="282"/>
      <c r="BQ159" s="266"/>
      <c r="BR159" s="266"/>
      <c r="BS159" s="270"/>
    </row>
    <row r="160" spans="1:71">
      <c r="A160" s="251"/>
      <c r="B160" s="251"/>
      <c r="C160" s="251"/>
      <c r="D160" s="251"/>
      <c r="E160" s="582"/>
      <c r="F160" s="583"/>
      <c r="G160" s="583"/>
      <c r="H160" s="584"/>
      <c r="I160" s="573"/>
      <c r="J160" s="574"/>
      <c r="K160" s="574"/>
      <c r="L160" s="575"/>
      <c r="M160" s="573"/>
      <c r="N160" s="574"/>
      <c r="O160" s="574"/>
      <c r="P160" s="575"/>
      <c r="Q160" s="573"/>
      <c r="R160" s="574"/>
      <c r="S160" s="574"/>
      <c r="T160" s="575"/>
      <c r="U160" s="573"/>
      <c r="V160" s="574"/>
      <c r="W160" s="574"/>
      <c r="X160" s="575"/>
      <c r="Y160" s="573"/>
      <c r="Z160" s="574"/>
      <c r="AA160" s="574"/>
      <c r="AB160" s="575"/>
      <c r="AC160" s="258"/>
      <c r="AD160" s="259"/>
      <c r="AE160" s="259"/>
      <c r="AF160" s="260"/>
      <c r="AG160" s="258"/>
      <c r="AH160" s="259"/>
      <c r="AI160" s="259"/>
      <c r="AJ160" s="260"/>
      <c r="AK160" s="258"/>
      <c r="AL160" s="259"/>
      <c r="AM160" s="259"/>
      <c r="AN160" s="260"/>
      <c r="AO160" s="258"/>
      <c r="AP160" s="259"/>
      <c r="AQ160" s="259"/>
      <c r="AR160" s="260"/>
      <c r="AS160" s="258"/>
      <c r="AT160" s="259"/>
      <c r="AU160" s="259"/>
      <c r="AV160" s="260"/>
      <c r="AW160" s="258"/>
      <c r="AX160" s="259"/>
      <c r="AY160" s="259"/>
      <c r="AZ160" s="260"/>
      <c r="BG160" s="243"/>
      <c r="BH160" s="243"/>
      <c r="BI160" s="243"/>
      <c r="BJ160" s="282"/>
      <c r="BK160" s="283"/>
      <c r="BL160" s="283"/>
      <c r="BM160" s="283"/>
      <c r="BN160" s="283"/>
      <c r="BO160" s="283"/>
      <c r="BP160" s="282"/>
      <c r="BQ160" s="266"/>
      <c r="BR160" s="266"/>
      <c r="BS160" s="270"/>
    </row>
    <row r="161" spans="1:71">
      <c r="A161" s="251"/>
      <c r="B161" s="251"/>
      <c r="C161" s="251"/>
      <c r="D161" s="251"/>
      <c r="E161" s="576"/>
      <c r="F161" s="577"/>
      <c r="G161" s="577"/>
      <c r="H161" s="578"/>
      <c r="I161" s="579"/>
      <c r="J161" s="580"/>
      <c r="K161" s="580"/>
      <c r="L161" s="581"/>
      <c r="M161" s="579"/>
      <c r="N161" s="580"/>
      <c r="O161" s="580"/>
      <c r="P161" s="581"/>
      <c r="Q161" s="579"/>
      <c r="R161" s="580"/>
      <c r="S161" s="580"/>
      <c r="T161" s="581"/>
      <c r="U161" s="579"/>
      <c r="V161" s="580"/>
      <c r="W161" s="580"/>
      <c r="X161" s="581"/>
      <c r="Y161" s="579"/>
      <c r="Z161" s="580"/>
      <c r="AA161" s="580"/>
      <c r="AB161" s="581"/>
      <c r="AC161" s="258"/>
      <c r="AD161" s="259"/>
      <c r="AE161" s="259"/>
      <c r="AF161" s="260"/>
      <c r="AG161" s="258"/>
      <c r="AH161" s="259"/>
      <c r="AI161" s="259"/>
      <c r="AJ161" s="260"/>
      <c r="AK161" s="258"/>
      <c r="AL161" s="259"/>
      <c r="AM161" s="259"/>
      <c r="AN161" s="260"/>
      <c r="AO161" s="258"/>
      <c r="AP161" s="259"/>
      <c r="AQ161" s="259"/>
      <c r="AR161" s="260"/>
      <c r="AS161" s="258"/>
      <c r="AT161" s="259"/>
      <c r="AU161" s="259"/>
      <c r="AV161" s="260"/>
      <c r="AW161" s="258"/>
      <c r="AX161" s="259"/>
      <c r="AY161" s="259"/>
      <c r="AZ161" s="260"/>
      <c r="BG161" s="243"/>
      <c r="BH161" s="243"/>
      <c r="BI161" s="243"/>
      <c r="BJ161" s="282"/>
      <c r="BK161" s="283"/>
      <c r="BL161" s="283"/>
      <c r="BM161" s="283"/>
      <c r="BN161" s="283"/>
      <c r="BO161" s="283"/>
      <c r="BP161" s="282"/>
      <c r="BQ161" s="266"/>
      <c r="BR161" s="266"/>
      <c r="BS161" s="270"/>
    </row>
    <row r="162" spans="1:71">
      <c r="A162" s="251"/>
      <c r="B162" s="251"/>
      <c r="C162" s="251"/>
      <c r="D162" s="251"/>
      <c r="E162" s="582"/>
      <c r="F162" s="583"/>
      <c r="G162" s="583"/>
      <c r="H162" s="584"/>
      <c r="I162" s="573"/>
      <c r="J162" s="574"/>
      <c r="K162" s="574"/>
      <c r="L162" s="575"/>
      <c r="M162" s="573"/>
      <c r="N162" s="574"/>
      <c r="O162" s="574"/>
      <c r="P162" s="575"/>
      <c r="Q162" s="573"/>
      <c r="R162" s="574"/>
      <c r="S162" s="574"/>
      <c r="T162" s="575"/>
      <c r="U162" s="573"/>
      <c r="V162" s="574"/>
      <c r="W162" s="574"/>
      <c r="X162" s="575"/>
      <c r="Y162" s="573"/>
      <c r="Z162" s="574"/>
      <c r="AA162" s="574"/>
      <c r="AB162" s="575"/>
      <c r="AC162" s="258"/>
      <c r="AD162" s="259"/>
      <c r="AE162" s="259"/>
      <c r="AF162" s="260"/>
      <c r="AG162" s="258"/>
      <c r="AH162" s="259"/>
      <c r="AI162" s="259"/>
      <c r="AJ162" s="260"/>
      <c r="AK162" s="258"/>
      <c r="AL162" s="259"/>
      <c r="AM162" s="259"/>
      <c r="AN162" s="260"/>
      <c r="AO162" s="258"/>
      <c r="AP162" s="259"/>
      <c r="AQ162" s="259"/>
      <c r="AR162" s="260"/>
      <c r="AS162" s="258"/>
      <c r="AT162" s="259"/>
      <c r="AU162" s="259"/>
      <c r="AV162" s="260"/>
      <c r="AW162" s="258"/>
      <c r="AX162" s="259"/>
      <c r="AY162" s="259"/>
      <c r="AZ162" s="260"/>
      <c r="BG162" s="243"/>
      <c r="BI162" s="243"/>
      <c r="BJ162" s="282"/>
      <c r="BK162" s="283"/>
      <c r="BL162" s="283"/>
      <c r="BM162" s="283"/>
      <c r="BN162" s="283"/>
      <c r="BO162" s="283"/>
      <c r="BP162" s="282"/>
      <c r="BQ162" s="266"/>
      <c r="BR162" s="266"/>
      <c r="BS162" s="270"/>
    </row>
    <row r="163" spans="1:71">
      <c r="A163" s="251"/>
      <c r="B163" s="251"/>
      <c r="C163" s="251"/>
      <c r="D163" s="251"/>
      <c r="E163" s="576"/>
      <c r="F163" s="577"/>
      <c r="G163" s="577"/>
      <c r="H163" s="578"/>
      <c r="I163" s="579"/>
      <c r="J163" s="580"/>
      <c r="K163" s="580"/>
      <c r="L163" s="581"/>
      <c r="M163" s="579"/>
      <c r="N163" s="580"/>
      <c r="O163" s="580"/>
      <c r="P163" s="581"/>
      <c r="Q163" s="579"/>
      <c r="R163" s="580"/>
      <c r="S163" s="580"/>
      <c r="T163" s="581"/>
      <c r="U163" s="579"/>
      <c r="V163" s="580"/>
      <c r="W163" s="580"/>
      <c r="X163" s="581"/>
      <c r="Y163" s="579"/>
      <c r="Z163" s="580"/>
      <c r="AA163" s="580"/>
      <c r="AB163" s="581"/>
      <c r="AC163" s="258"/>
      <c r="AD163" s="259"/>
      <c r="AE163" s="259"/>
      <c r="AF163" s="260"/>
      <c r="AG163" s="258"/>
      <c r="AH163" s="259"/>
      <c r="AI163" s="259"/>
      <c r="AJ163" s="260"/>
      <c r="AK163" s="258"/>
      <c r="AL163" s="259"/>
      <c r="AM163" s="259"/>
      <c r="AN163" s="260"/>
      <c r="AO163" s="258"/>
      <c r="AP163" s="259"/>
      <c r="AQ163" s="259"/>
      <c r="AR163" s="260"/>
      <c r="AS163" s="258"/>
      <c r="AT163" s="259"/>
      <c r="AU163" s="259"/>
      <c r="AV163" s="260"/>
      <c r="AW163" s="258"/>
      <c r="AX163" s="259"/>
      <c r="AY163" s="259"/>
      <c r="AZ163" s="260"/>
      <c r="BG163" s="243"/>
      <c r="BH163" s="243"/>
      <c r="BI163" s="243"/>
      <c r="BJ163" s="282"/>
      <c r="BK163" s="283"/>
      <c r="BL163" s="283"/>
      <c r="BM163" s="283"/>
      <c r="BN163" s="283"/>
      <c r="BO163" s="283"/>
      <c r="BP163" s="282"/>
      <c r="BQ163" s="266"/>
      <c r="BR163" s="266"/>
      <c r="BS163" s="270"/>
    </row>
    <row r="164" spans="1:71">
      <c r="A164" s="251"/>
      <c r="B164" s="251"/>
      <c r="C164" s="251"/>
      <c r="D164" s="251"/>
      <c r="E164" s="582"/>
      <c r="F164" s="583"/>
      <c r="G164" s="583"/>
      <c r="H164" s="584"/>
      <c r="I164" s="573"/>
      <c r="J164" s="574"/>
      <c r="K164" s="574"/>
      <c r="L164" s="575"/>
      <c r="M164" s="573"/>
      <c r="N164" s="574"/>
      <c r="O164" s="574"/>
      <c r="P164" s="575"/>
      <c r="Q164" s="573"/>
      <c r="R164" s="574"/>
      <c r="S164" s="574"/>
      <c r="T164" s="575"/>
      <c r="U164" s="573"/>
      <c r="V164" s="574"/>
      <c r="W164" s="574"/>
      <c r="X164" s="575"/>
      <c r="Y164" s="573"/>
      <c r="Z164" s="574"/>
      <c r="AA164" s="574"/>
      <c r="AB164" s="575"/>
      <c r="AC164" s="258"/>
      <c r="AD164" s="259"/>
      <c r="AE164" s="259"/>
      <c r="AF164" s="260"/>
      <c r="AG164" s="258"/>
      <c r="AH164" s="259"/>
      <c r="AI164" s="259"/>
      <c r="AJ164" s="260"/>
      <c r="AK164" s="258"/>
      <c r="AL164" s="259"/>
      <c r="AM164" s="259"/>
      <c r="AN164" s="260"/>
      <c r="AO164" s="258"/>
      <c r="AP164" s="259"/>
      <c r="AQ164" s="259"/>
      <c r="AR164" s="260"/>
      <c r="AS164" s="258"/>
      <c r="AT164" s="259"/>
      <c r="AU164" s="259"/>
      <c r="AV164" s="260"/>
      <c r="AW164" s="258"/>
      <c r="AX164" s="259"/>
      <c r="AY164" s="259"/>
      <c r="AZ164" s="260"/>
      <c r="BG164" s="243"/>
      <c r="BH164" s="243"/>
      <c r="BI164" s="243"/>
      <c r="BJ164" s="282"/>
      <c r="BK164" s="283"/>
      <c r="BL164" s="283"/>
      <c r="BM164" s="283"/>
      <c r="BN164" s="283"/>
      <c r="BO164" s="283"/>
      <c r="BP164" s="282"/>
      <c r="BQ164" s="266"/>
      <c r="BR164" s="266"/>
      <c r="BS164" s="270"/>
    </row>
    <row r="165" spans="1:71">
      <c r="A165" s="251"/>
      <c r="B165" s="251"/>
      <c r="C165" s="251"/>
      <c r="D165" s="251"/>
      <c r="E165" s="576"/>
      <c r="F165" s="577"/>
      <c r="G165" s="577"/>
      <c r="H165" s="578"/>
      <c r="I165" s="579"/>
      <c r="J165" s="580"/>
      <c r="K165" s="580"/>
      <c r="L165" s="581"/>
      <c r="M165" s="579"/>
      <c r="N165" s="580"/>
      <c r="O165" s="580"/>
      <c r="P165" s="581"/>
      <c r="Q165" s="579"/>
      <c r="R165" s="580"/>
      <c r="S165" s="580"/>
      <c r="T165" s="581"/>
      <c r="U165" s="579"/>
      <c r="V165" s="580"/>
      <c r="W165" s="580"/>
      <c r="X165" s="581"/>
      <c r="Y165" s="579"/>
      <c r="Z165" s="580"/>
      <c r="AA165" s="580"/>
      <c r="AB165" s="581"/>
      <c r="AC165" s="258"/>
      <c r="AD165" s="259"/>
      <c r="AE165" s="259"/>
      <c r="AF165" s="260"/>
      <c r="AG165" s="258"/>
      <c r="AH165" s="259"/>
      <c r="AI165" s="259"/>
      <c r="AJ165" s="260"/>
      <c r="AK165" s="258"/>
      <c r="AL165" s="259"/>
      <c r="AM165" s="259"/>
      <c r="AN165" s="260"/>
      <c r="AO165" s="258"/>
      <c r="AP165" s="259"/>
      <c r="AQ165" s="259"/>
      <c r="AR165" s="260"/>
      <c r="AS165" s="258"/>
      <c r="AT165" s="259"/>
      <c r="AU165" s="259"/>
      <c r="AV165" s="260"/>
      <c r="AW165" s="258"/>
      <c r="AX165" s="259"/>
      <c r="AY165" s="259"/>
      <c r="AZ165" s="260"/>
      <c r="BG165" s="243"/>
      <c r="BH165" s="243"/>
      <c r="BI165" s="243"/>
      <c r="BJ165" s="282"/>
      <c r="BK165" s="283"/>
      <c r="BL165" s="283"/>
      <c r="BM165" s="283"/>
      <c r="BN165" s="283"/>
      <c r="BO165" s="283"/>
      <c r="BP165" s="282"/>
      <c r="BQ165" s="266"/>
      <c r="BR165" s="266"/>
      <c r="BS165" s="270"/>
    </row>
    <row r="166" spans="1:71">
      <c r="A166" s="251"/>
      <c r="B166" s="251"/>
      <c r="C166" s="251"/>
      <c r="D166" s="251"/>
      <c r="E166" s="582"/>
      <c r="F166" s="583"/>
      <c r="G166" s="583"/>
      <c r="H166" s="584"/>
      <c r="I166" s="573"/>
      <c r="J166" s="574"/>
      <c r="K166" s="574"/>
      <c r="L166" s="575"/>
      <c r="M166" s="573"/>
      <c r="N166" s="574"/>
      <c r="O166" s="574"/>
      <c r="P166" s="575"/>
      <c r="Q166" s="573"/>
      <c r="R166" s="574"/>
      <c r="S166" s="574"/>
      <c r="T166" s="575"/>
      <c r="U166" s="573"/>
      <c r="V166" s="574"/>
      <c r="W166" s="574"/>
      <c r="X166" s="575"/>
      <c r="Y166" s="573"/>
      <c r="Z166" s="574"/>
      <c r="AA166" s="574"/>
      <c r="AB166" s="575"/>
      <c r="AC166" s="258"/>
      <c r="AD166" s="259"/>
      <c r="AE166" s="259"/>
      <c r="AF166" s="260"/>
      <c r="AG166" s="258"/>
      <c r="AH166" s="259"/>
      <c r="AI166" s="259"/>
      <c r="AJ166" s="260"/>
      <c r="AK166" s="258"/>
      <c r="AL166" s="259"/>
      <c r="AM166" s="259"/>
      <c r="AN166" s="260"/>
      <c r="AO166" s="258"/>
      <c r="AP166" s="259"/>
      <c r="AQ166" s="259"/>
      <c r="AR166" s="260"/>
      <c r="AS166" s="258"/>
      <c r="AT166" s="259"/>
      <c r="AU166" s="259"/>
      <c r="AV166" s="260"/>
      <c r="AW166" s="258"/>
      <c r="AX166" s="259"/>
      <c r="AY166" s="259"/>
      <c r="AZ166" s="260"/>
      <c r="BG166" s="243"/>
      <c r="BH166" s="243"/>
      <c r="BI166" s="243"/>
      <c r="BJ166" s="282"/>
      <c r="BK166" s="283"/>
      <c r="BL166" s="283"/>
      <c r="BM166" s="283"/>
      <c r="BN166" s="283"/>
      <c r="BO166" s="283"/>
      <c r="BP166" s="282"/>
      <c r="BQ166" s="266"/>
      <c r="BR166" s="266"/>
      <c r="BS166" s="270"/>
    </row>
    <row r="167" spans="1:71">
      <c r="A167" s="251"/>
      <c r="B167" s="251"/>
      <c r="C167" s="251"/>
      <c r="D167" s="251"/>
      <c r="E167" s="576"/>
      <c r="F167" s="577"/>
      <c r="G167" s="577"/>
      <c r="H167" s="578"/>
      <c r="I167" s="579"/>
      <c r="J167" s="580"/>
      <c r="K167" s="580"/>
      <c r="L167" s="581"/>
      <c r="M167" s="579"/>
      <c r="N167" s="580"/>
      <c r="O167" s="580"/>
      <c r="P167" s="581"/>
      <c r="Q167" s="579"/>
      <c r="R167" s="580"/>
      <c r="S167" s="580"/>
      <c r="T167" s="581"/>
      <c r="U167" s="579"/>
      <c r="V167" s="580"/>
      <c r="W167" s="580"/>
      <c r="X167" s="581"/>
      <c r="Y167" s="579"/>
      <c r="Z167" s="580"/>
      <c r="AA167" s="580"/>
      <c r="AB167" s="581"/>
      <c r="AC167" s="258"/>
      <c r="AD167" s="259"/>
      <c r="AE167" s="259"/>
      <c r="AF167" s="260"/>
      <c r="AG167" s="258"/>
      <c r="AH167" s="259"/>
      <c r="AI167" s="259"/>
      <c r="AJ167" s="260"/>
      <c r="AK167" s="258"/>
      <c r="AL167" s="259"/>
      <c r="AM167" s="259"/>
      <c r="AN167" s="260"/>
      <c r="AO167" s="258"/>
      <c r="AP167" s="259"/>
      <c r="AQ167" s="259"/>
      <c r="AR167" s="260"/>
      <c r="AS167" s="258"/>
      <c r="AT167" s="259"/>
      <c r="AU167" s="259"/>
      <c r="AV167" s="260"/>
      <c r="AW167" s="258"/>
      <c r="AX167" s="259"/>
      <c r="AY167" s="259"/>
      <c r="AZ167" s="260"/>
      <c r="BG167" s="243"/>
      <c r="BH167" s="243"/>
      <c r="BI167" s="243"/>
      <c r="BJ167" s="282"/>
      <c r="BK167" s="283"/>
      <c r="BL167" s="283"/>
      <c r="BM167" s="283"/>
      <c r="BN167" s="283"/>
      <c r="BO167" s="283"/>
      <c r="BP167" s="282"/>
      <c r="BQ167" s="266"/>
      <c r="BR167" s="266"/>
      <c r="BS167" s="270"/>
    </row>
    <row r="168" spans="1:71">
      <c r="A168" s="251"/>
      <c r="B168" s="251"/>
      <c r="C168" s="251"/>
      <c r="D168" s="251"/>
      <c r="E168" s="582"/>
      <c r="F168" s="583"/>
      <c r="G168" s="583"/>
      <c r="H168" s="584"/>
      <c r="I168" s="573"/>
      <c r="J168" s="574"/>
      <c r="K168" s="574"/>
      <c r="L168" s="575"/>
      <c r="M168" s="573"/>
      <c r="N168" s="574"/>
      <c r="O168" s="574"/>
      <c r="P168" s="575"/>
      <c r="Q168" s="573"/>
      <c r="R168" s="574"/>
      <c r="S168" s="574"/>
      <c r="T168" s="575"/>
      <c r="U168" s="573"/>
      <c r="V168" s="574"/>
      <c r="W168" s="574"/>
      <c r="X168" s="575"/>
      <c r="Y168" s="573"/>
      <c r="Z168" s="574"/>
      <c r="AA168" s="574"/>
      <c r="AB168" s="575"/>
      <c r="AC168" s="258"/>
      <c r="AD168" s="259"/>
      <c r="AE168" s="259"/>
      <c r="AF168" s="260"/>
      <c r="AG168" s="258"/>
      <c r="AH168" s="259"/>
      <c r="AI168" s="259"/>
      <c r="AJ168" s="260"/>
      <c r="AK168" s="258"/>
      <c r="AL168" s="259"/>
      <c r="AM168" s="259"/>
      <c r="AN168" s="260"/>
      <c r="AO168" s="258"/>
      <c r="AP168" s="259"/>
      <c r="AQ168" s="259"/>
      <c r="AR168" s="260"/>
      <c r="AS168" s="258"/>
      <c r="AT168" s="259"/>
      <c r="AU168" s="259"/>
      <c r="AV168" s="260"/>
      <c r="AW168" s="258"/>
      <c r="AX168" s="259"/>
      <c r="AY168" s="259"/>
      <c r="AZ168" s="260"/>
      <c r="BG168" s="243"/>
      <c r="BH168" s="243"/>
      <c r="BI168" s="243"/>
      <c r="BJ168" s="282"/>
      <c r="BK168" s="283"/>
      <c r="BL168" s="283"/>
      <c r="BM168" s="283"/>
      <c r="BN168" s="283"/>
      <c r="BO168" s="283"/>
      <c r="BP168" s="282"/>
      <c r="BQ168" s="266"/>
      <c r="BR168" s="266"/>
      <c r="BS168" s="270"/>
    </row>
    <row r="169" spans="1:71">
      <c r="A169" s="251"/>
      <c r="B169" s="251"/>
      <c r="C169" s="251"/>
      <c r="D169" s="251"/>
      <c r="E169" s="576"/>
      <c r="F169" s="577"/>
      <c r="G169" s="577"/>
      <c r="H169" s="578"/>
      <c r="I169" s="579"/>
      <c r="J169" s="580"/>
      <c r="K169" s="580"/>
      <c r="L169" s="581"/>
      <c r="M169" s="579"/>
      <c r="N169" s="580"/>
      <c r="O169" s="580"/>
      <c r="P169" s="581"/>
      <c r="Q169" s="579"/>
      <c r="R169" s="580"/>
      <c r="S169" s="580"/>
      <c r="T169" s="581"/>
      <c r="U169" s="579"/>
      <c r="V169" s="580"/>
      <c r="W169" s="580"/>
      <c r="X169" s="581"/>
      <c r="Y169" s="579"/>
      <c r="Z169" s="580"/>
      <c r="AA169" s="580"/>
      <c r="AB169" s="581"/>
      <c r="AC169" s="258"/>
      <c r="AD169" s="259"/>
      <c r="AE169" s="259"/>
      <c r="AF169" s="260"/>
      <c r="AG169" s="258"/>
      <c r="AH169" s="259"/>
      <c r="AI169" s="259"/>
      <c r="AJ169" s="260"/>
      <c r="AK169" s="258"/>
      <c r="AL169" s="259"/>
      <c r="AM169" s="259"/>
      <c r="AN169" s="260"/>
      <c r="AO169" s="258"/>
      <c r="AP169" s="259"/>
      <c r="AQ169" s="259"/>
      <c r="AR169" s="260"/>
      <c r="AS169" s="258"/>
      <c r="AT169" s="259"/>
      <c r="AU169" s="259"/>
      <c r="AV169" s="260"/>
      <c r="AW169" s="258"/>
      <c r="AX169" s="259"/>
      <c r="AY169" s="259"/>
      <c r="AZ169" s="260"/>
      <c r="BG169" s="243"/>
      <c r="BH169" s="243"/>
      <c r="BI169" s="243"/>
      <c r="BJ169" s="282"/>
      <c r="BK169" s="283"/>
      <c r="BL169" s="283"/>
      <c r="BM169" s="283"/>
      <c r="BN169" s="283"/>
      <c r="BO169" s="283"/>
      <c r="BP169" s="282"/>
      <c r="BQ169" s="266"/>
      <c r="BR169" s="266"/>
      <c r="BS169" s="270"/>
    </row>
    <row r="170" spans="1:71">
      <c r="A170" s="251"/>
      <c r="B170" s="251"/>
      <c r="C170" s="251"/>
      <c r="D170" s="251"/>
      <c r="E170" s="582"/>
      <c r="F170" s="583"/>
      <c r="G170" s="583"/>
      <c r="H170" s="584"/>
      <c r="I170" s="573"/>
      <c r="J170" s="574"/>
      <c r="K170" s="574"/>
      <c r="L170" s="575"/>
      <c r="M170" s="573"/>
      <c r="N170" s="574"/>
      <c r="O170" s="574"/>
      <c r="P170" s="575"/>
      <c r="Q170" s="573"/>
      <c r="R170" s="574"/>
      <c r="S170" s="574"/>
      <c r="T170" s="575"/>
      <c r="U170" s="573"/>
      <c r="V170" s="574"/>
      <c r="W170" s="574"/>
      <c r="X170" s="575"/>
      <c r="Y170" s="573"/>
      <c r="Z170" s="574"/>
      <c r="AA170" s="574"/>
      <c r="AB170" s="575"/>
      <c r="AC170" s="258"/>
      <c r="AD170" s="259"/>
      <c r="AE170" s="259"/>
      <c r="AF170" s="260"/>
      <c r="AG170" s="258"/>
      <c r="AH170" s="259"/>
      <c r="AI170" s="259"/>
      <c r="AJ170" s="260"/>
      <c r="AK170" s="258"/>
      <c r="AL170" s="259"/>
      <c r="AM170" s="259"/>
      <c r="AN170" s="260"/>
      <c r="AO170" s="258"/>
      <c r="AP170" s="259"/>
      <c r="AQ170" s="259"/>
      <c r="AR170" s="260"/>
      <c r="AS170" s="258"/>
      <c r="AT170" s="259"/>
      <c r="AU170" s="259"/>
      <c r="AV170" s="260"/>
      <c r="AW170" s="258"/>
      <c r="AX170" s="259"/>
      <c r="AY170" s="259"/>
      <c r="AZ170" s="260"/>
      <c r="BG170" s="243"/>
      <c r="BH170" s="243"/>
      <c r="BI170" s="243"/>
      <c r="BJ170" s="282"/>
      <c r="BK170" s="283"/>
      <c r="BL170" s="283"/>
      <c r="BM170" s="283"/>
      <c r="BN170" s="283"/>
      <c r="BO170" s="283"/>
      <c r="BP170" s="282"/>
      <c r="BQ170" s="266"/>
      <c r="BR170" s="266"/>
      <c r="BS170" s="270"/>
    </row>
    <row r="171" spans="1:71">
      <c r="A171" s="251"/>
      <c r="B171" s="251"/>
      <c r="C171" s="251"/>
      <c r="D171" s="251"/>
      <c r="E171" s="576"/>
      <c r="F171" s="577"/>
      <c r="G171" s="577"/>
      <c r="H171" s="578"/>
      <c r="I171" s="579"/>
      <c r="J171" s="580"/>
      <c r="K171" s="580"/>
      <c r="L171" s="581"/>
      <c r="M171" s="579"/>
      <c r="N171" s="580"/>
      <c r="O171" s="580"/>
      <c r="P171" s="581"/>
      <c r="Q171" s="579"/>
      <c r="R171" s="580"/>
      <c r="S171" s="580"/>
      <c r="T171" s="581"/>
      <c r="U171" s="579"/>
      <c r="V171" s="580"/>
      <c r="W171" s="580"/>
      <c r="X171" s="581"/>
      <c r="Y171" s="579"/>
      <c r="Z171" s="580"/>
      <c r="AA171" s="580"/>
      <c r="AB171" s="581"/>
      <c r="AC171" s="258"/>
      <c r="AD171" s="259"/>
      <c r="AE171" s="259"/>
      <c r="AF171" s="260"/>
      <c r="AG171" s="258"/>
      <c r="AH171" s="259"/>
      <c r="AI171" s="259"/>
      <c r="AJ171" s="260"/>
      <c r="AK171" s="258"/>
      <c r="AL171" s="259"/>
      <c r="AM171" s="259"/>
      <c r="AN171" s="260"/>
      <c r="AO171" s="258"/>
      <c r="AP171" s="259"/>
      <c r="AQ171" s="259"/>
      <c r="AR171" s="260"/>
      <c r="AS171" s="258"/>
      <c r="AT171" s="259"/>
      <c r="AU171" s="259"/>
      <c r="AV171" s="260"/>
      <c r="AW171" s="258"/>
      <c r="AX171" s="259"/>
      <c r="AY171" s="259"/>
      <c r="AZ171" s="260"/>
      <c r="BG171" s="243"/>
      <c r="BH171" s="243"/>
      <c r="BI171" s="243"/>
      <c r="BJ171" s="282"/>
      <c r="BK171" s="283"/>
      <c r="BL171" s="283"/>
      <c r="BM171" s="283"/>
      <c r="BN171" s="283"/>
      <c r="BO171" s="283"/>
      <c r="BP171" s="282"/>
      <c r="BQ171" s="266"/>
      <c r="BR171" s="266"/>
      <c r="BS171" s="270"/>
    </row>
    <row r="172" spans="1:71">
      <c r="A172" s="251"/>
      <c r="B172" s="251"/>
      <c r="C172" s="251"/>
      <c r="D172" s="251"/>
      <c r="E172" s="582"/>
      <c r="F172" s="583"/>
      <c r="G172" s="583"/>
      <c r="H172" s="584"/>
      <c r="I172" s="573"/>
      <c r="J172" s="574"/>
      <c r="K172" s="574"/>
      <c r="L172" s="575"/>
      <c r="M172" s="573"/>
      <c r="N172" s="574"/>
      <c r="O172" s="574"/>
      <c r="P172" s="575"/>
      <c r="Q172" s="573"/>
      <c r="R172" s="574"/>
      <c r="S172" s="574"/>
      <c r="T172" s="575"/>
      <c r="U172" s="573"/>
      <c r="V172" s="574"/>
      <c r="W172" s="574"/>
      <c r="X172" s="575"/>
      <c r="Y172" s="573"/>
      <c r="Z172" s="574"/>
      <c r="AA172" s="574"/>
      <c r="AB172" s="575"/>
      <c r="AC172" s="258"/>
      <c r="AD172" s="259"/>
      <c r="AE172" s="259"/>
      <c r="AF172" s="260"/>
      <c r="AG172" s="258"/>
      <c r="AH172" s="259"/>
      <c r="AI172" s="259"/>
      <c r="AJ172" s="260"/>
      <c r="AK172" s="258"/>
      <c r="AL172" s="259"/>
      <c r="AM172" s="259"/>
      <c r="AN172" s="260"/>
      <c r="AO172" s="258"/>
      <c r="AP172" s="259"/>
      <c r="AQ172" s="259"/>
      <c r="AR172" s="260"/>
      <c r="AS172" s="258"/>
      <c r="AT172" s="259"/>
      <c r="AU172" s="259"/>
      <c r="AV172" s="260"/>
      <c r="AW172" s="258"/>
      <c r="AX172" s="259"/>
      <c r="AY172" s="259"/>
      <c r="AZ172" s="260"/>
      <c r="BG172" s="243"/>
      <c r="BH172" s="243"/>
      <c r="BI172" s="243"/>
      <c r="BJ172" s="282"/>
      <c r="BK172" s="283"/>
      <c r="BL172" s="283"/>
      <c r="BM172" s="283"/>
      <c r="BN172" s="283"/>
      <c r="BO172" s="283"/>
      <c r="BP172" s="282"/>
      <c r="BQ172" s="266"/>
      <c r="BR172" s="266"/>
      <c r="BS172" s="270"/>
    </row>
    <row r="173" spans="1:71">
      <c r="A173" s="251"/>
      <c r="B173" s="251"/>
      <c r="C173" s="251"/>
      <c r="D173" s="251"/>
      <c r="E173" s="576"/>
      <c r="F173" s="577"/>
      <c r="G173" s="577"/>
      <c r="H173" s="578"/>
      <c r="I173" s="579"/>
      <c r="J173" s="580"/>
      <c r="K173" s="580"/>
      <c r="L173" s="581"/>
      <c r="M173" s="579"/>
      <c r="N173" s="580"/>
      <c r="O173" s="580"/>
      <c r="P173" s="581"/>
      <c r="Q173" s="579"/>
      <c r="R173" s="580"/>
      <c r="S173" s="580"/>
      <c r="T173" s="581"/>
      <c r="U173" s="579"/>
      <c r="V173" s="580"/>
      <c r="W173" s="580"/>
      <c r="X173" s="581"/>
      <c r="Y173" s="579"/>
      <c r="Z173" s="580"/>
      <c r="AA173" s="580"/>
      <c r="AB173" s="581"/>
      <c r="AC173" s="258"/>
      <c r="AD173" s="259"/>
      <c r="AE173" s="259"/>
      <c r="AF173" s="260"/>
      <c r="AG173" s="258"/>
      <c r="AH173" s="259"/>
      <c r="AI173" s="259"/>
      <c r="AJ173" s="260"/>
      <c r="AK173" s="258"/>
      <c r="AL173" s="259"/>
      <c r="AM173" s="259"/>
      <c r="AN173" s="260"/>
      <c r="AO173" s="258"/>
      <c r="AP173" s="259"/>
      <c r="AQ173" s="259"/>
      <c r="AR173" s="260"/>
      <c r="AS173" s="258"/>
      <c r="AT173" s="259"/>
      <c r="AU173" s="259"/>
      <c r="AV173" s="260"/>
      <c r="AW173" s="258"/>
      <c r="AX173" s="259"/>
      <c r="AY173" s="259"/>
      <c r="AZ173" s="260"/>
      <c r="BG173" s="243"/>
      <c r="BH173" s="243"/>
      <c r="BI173" s="243"/>
      <c r="BJ173" s="282"/>
      <c r="BK173" s="283"/>
      <c r="BL173" s="283"/>
      <c r="BM173" s="283"/>
      <c r="BN173" s="283"/>
      <c r="BO173" s="283"/>
      <c r="BP173" s="282"/>
      <c r="BQ173" s="266"/>
      <c r="BR173" s="266"/>
      <c r="BS173" s="270"/>
    </row>
    <row r="174" spans="1:71">
      <c r="A174" s="251"/>
      <c r="B174" s="251"/>
      <c r="C174" s="251"/>
      <c r="D174" s="251"/>
      <c r="E174" s="582"/>
      <c r="F174" s="583"/>
      <c r="G174" s="583"/>
      <c r="H174" s="584"/>
      <c r="I174" s="573"/>
      <c r="J174" s="574"/>
      <c r="K174" s="574"/>
      <c r="L174" s="575"/>
      <c r="M174" s="573"/>
      <c r="N174" s="574"/>
      <c r="O174" s="574"/>
      <c r="P174" s="575"/>
      <c r="Q174" s="573"/>
      <c r="R174" s="574"/>
      <c r="S174" s="574"/>
      <c r="T174" s="575"/>
      <c r="U174" s="573"/>
      <c r="V174" s="574"/>
      <c r="W174" s="574"/>
      <c r="X174" s="575"/>
      <c r="Y174" s="573"/>
      <c r="Z174" s="574"/>
      <c r="AA174" s="574"/>
      <c r="AB174" s="575"/>
      <c r="AC174" s="258"/>
      <c r="AD174" s="259"/>
      <c r="AE174" s="259"/>
      <c r="AF174" s="260"/>
      <c r="AG174" s="258"/>
      <c r="AH174" s="259"/>
      <c r="AI174" s="259"/>
      <c r="AJ174" s="260"/>
      <c r="AK174" s="258"/>
      <c r="AL174" s="259"/>
      <c r="AM174" s="259"/>
      <c r="AN174" s="260"/>
      <c r="AO174" s="258"/>
      <c r="AP174" s="259"/>
      <c r="AQ174" s="259"/>
      <c r="AR174" s="260"/>
      <c r="AS174" s="258"/>
      <c r="AT174" s="259"/>
      <c r="AU174" s="259"/>
      <c r="AV174" s="260"/>
      <c r="AW174" s="258"/>
      <c r="AX174" s="259"/>
      <c r="AY174" s="259"/>
      <c r="AZ174" s="260"/>
      <c r="BG174" s="243"/>
      <c r="BH174" s="243"/>
      <c r="BI174" s="243"/>
      <c r="BJ174" s="282"/>
      <c r="BK174" s="283"/>
      <c r="BL174" s="283"/>
      <c r="BM174" s="283"/>
      <c r="BN174" s="283"/>
      <c r="BO174" s="283"/>
      <c r="BP174" s="282"/>
      <c r="BQ174" s="266"/>
      <c r="BR174" s="266"/>
      <c r="BS174" s="270"/>
    </row>
    <row r="175" spans="1:71">
      <c r="A175" s="251"/>
      <c r="B175" s="251"/>
      <c r="C175" s="251"/>
      <c r="D175" s="251"/>
      <c r="E175" s="576"/>
      <c r="F175" s="577"/>
      <c r="G175" s="577"/>
      <c r="H175" s="578"/>
      <c r="I175" s="579"/>
      <c r="J175" s="580"/>
      <c r="K175" s="580"/>
      <c r="L175" s="581"/>
      <c r="M175" s="579"/>
      <c r="N175" s="580"/>
      <c r="O175" s="580"/>
      <c r="P175" s="581"/>
      <c r="Q175" s="579"/>
      <c r="R175" s="580"/>
      <c r="S175" s="580"/>
      <c r="T175" s="581"/>
      <c r="U175" s="579"/>
      <c r="V175" s="580"/>
      <c r="W175" s="580"/>
      <c r="X175" s="581"/>
      <c r="Y175" s="579"/>
      <c r="Z175" s="580"/>
      <c r="AA175" s="580"/>
      <c r="AB175" s="581"/>
      <c r="AC175" s="258"/>
      <c r="AD175" s="259"/>
      <c r="AE175" s="259"/>
      <c r="AF175" s="260"/>
      <c r="AG175" s="258"/>
      <c r="AH175" s="259"/>
      <c r="AI175" s="259"/>
      <c r="AJ175" s="260"/>
      <c r="AK175" s="258"/>
      <c r="AL175" s="259"/>
      <c r="AM175" s="259"/>
      <c r="AN175" s="260"/>
      <c r="AO175" s="258"/>
      <c r="AP175" s="259"/>
      <c r="AQ175" s="259"/>
      <c r="AR175" s="260"/>
      <c r="AS175" s="258"/>
      <c r="AT175" s="259"/>
      <c r="AU175" s="259"/>
      <c r="AV175" s="260"/>
      <c r="AW175" s="258"/>
      <c r="AX175" s="259"/>
      <c r="AY175" s="259"/>
      <c r="AZ175" s="260"/>
      <c r="BG175" s="243"/>
      <c r="BH175" s="243"/>
      <c r="BI175" s="243"/>
      <c r="BJ175" s="282"/>
      <c r="BK175" s="283"/>
      <c r="BL175" s="283"/>
      <c r="BM175" s="283"/>
      <c r="BN175" s="283"/>
      <c r="BO175" s="283"/>
      <c r="BP175" s="282"/>
      <c r="BQ175" s="266"/>
      <c r="BR175" s="266"/>
      <c r="BS175" s="270"/>
    </row>
    <row r="176" spans="1:71">
      <c r="A176" s="251"/>
      <c r="B176" s="251"/>
      <c r="C176" s="251"/>
      <c r="D176" s="251"/>
      <c r="E176" s="582"/>
      <c r="F176" s="583"/>
      <c r="G176" s="583"/>
      <c r="H176" s="584"/>
      <c r="I176" s="573"/>
      <c r="J176" s="574"/>
      <c r="K176" s="574"/>
      <c r="L176" s="575"/>
      <c r="M176" s="573"/>
      <c r="N176" s="574"/>
      <c r="O176" s="574"/>
      <c r="P176" s="575"/>
      <c r="Q176" s="573"/>
      <c r="R176" s="574"/>
      <c r="S176" s="574"/>
      <c r="T176" s="575"/>
      <c r="U176" s="573"/>
      <c r="V176" s="574"/>
      <c r="W176" s="574"/>
      <c r="X176" s="575"/>
      <c r="Y176" s="573"/>
      <c r="Z176" s="574"/>
      <c r="AA176" s="574"/>
      <c r="AB176" s="575"/>
      <c r="AC176" s="258"/>
      <c r="AD176" s="259"/>
      <c r="AE176" s="259"/>
      <c r="AF176" s="260"/>
      <c r="AG176" s="258"/>
      <c r="AH176" s="259"/>
      <c r="AI176" s="259"/>
      <c r="AJ176" s="260"/>
      <c r="AK176" s="258"/>
      <c r="AL176" s="259"/>
      <c r="AM176" s="259"/>
      <c r="AN176" s="260"/>
      <c r="AO176" s="258"/>
      <c r="AP176" s="259"/>
      <c r="AQ176" s="259"/>
      <c r="AR176" s="260"/>
      <c r="AS176" s="258"/>
      <c r="AT176" s="259"/>
      <c r="AU176" s="259"/>
      <c r="AV176" s="260"/>
      <c r="AW176" s="258"/>
      <c r="AX176" s="259"/>
      <c r="AY176" s="259"/>
      <c r="AZ176" s="260"/>
      <c r="BG176" s="243"/>
      <c r="BH176" s="243"/>
      <c r="BI176" s="243"/>
      <c r="BJ176" s="282"/>
      <c r="BK176" s="283"/>
      <c r="BL176" s="283"/>
      <c r="BM176" s="283"/>
      <c r="BN176" s="283"/>
      <c r="BO176" s="283"/>
      <c r="BP176" s="282"/>
      <c r="BQ176" s="266"/>
      <c r="BR176" s="266"/>
      <c r="BS176" s="270"/>
    </row>
    <row r="177" spans="1:71">
      <c r="A177" s="251"/>
      <c r="B177" s="251"/>
      <c r="C177" s="251"/>
      <c r="D177" s="251"/>
      <c r="E177" s="576"/>
      <c r="F177" s="577"/>
      <c r="G177" s="577"/>
      <c r="H177" s="578"/>
      <c r="I177" s="579"/>
      <c r="J177" s="580"/>
      <c r="K177" s="580"/>
      <c r="L177" s="581"/>
      <c r="M177" s="579"/>
      <c r="N177" s="580"/>
      <c r="O177" s="580"/>
      <c r="P177" s="581"/>
      <c r="Q177" s="579"/>
      <c r="R177" s="580"/>
      <c r="S177" s="580"/>
      <c r="T177" s="581"/>
      <c r="U177" s="579"/>
      <c r="V177" s="580"/>
      <c r="W177" s="580"/>
      <c r="X177" s="581"/>
      <c r="Y177" s="579"/>
      <c r="Z177" s="580"/>
      <c r="AA177" s="580"/>
      <c r="AB177" s="581"/>
      <c r="AC177" s="258"/>
      <c r="AD177" s="259"/>
      <c r="AE177" s="259"/>
      <c r="AF177" s="260"/>
      <c r="AG177" s="258"/>
      <c r="AH177" s="259"/>
      <c r="AI177" s="259"/>
      <c r="AJ177" s="260"/>
      <c r="AK177" s="258"/>
      <c r="AL177" s="259"/>
      <c r="AM177" s="259"/>
      <c r="AN177" s="260"/>
      <c r="AO177" s="258"/>
      <c r="AP177" s="259"/>
      <c r="AQ177" s="259"/>
      <c r="AR177" s="260"/>
      <c r="AS177" s="258"/>
      <c r="AT177" s="259"/>
      <c r="AU177" s="259"/>
      <c r="AV177" s="260"/>
      <c r="AW177" s="258"/>
      <c r="AX177" s="259"/>
      <c r="AY177" s="259"/>
      <c r="AZ177" s="260"/>
      <c r="BG177" s="243"/>
      <c r="BH177" s="243"/>
      <c r="BI177" s="243"/>
      <c r="BJ177" s="282"/>
      <c r="BK177" s="283"/>
      <c r="BL177" s="283"/>
      <c r="BM177" s="283"/>
      <c r="BN177" s="283"/>
      <c r="BO177" s="283"/>
      <c r="BP177" s="282"/>
      <c r="BQ177" s="266"/>
      <c r="BR177" s="266"/>
      <c r="BS177" s="270"/>
    </row>
    <row r="178" spans="1:71">
      <c r="A178" s="251"/>
      <c r="B178" s="251"/>
      <c r="C178" s="251"/>
      <c r="D178" s="251"/>
      <c r="E178" s="582"/>
      <c r="F178" s="583"/>
      <c r="G178" s="583"/>
      <c r="H178" s="584"/>
      <c r="I178" s="573"/>
      <c r="J178" s="574"/>
      <c r="K178" s="574"/>
      <c r="L178" s="575"/>
      <c r="M178" s="573"/>
      <c r="N178" s="574"/>
      <c r="O178" s="574"/>
      <c r="P178" s="575"/>
      <c r="Q178" s="573"/>
      <c r="R178" s="574"/>
      <c r="S178" s="574"/>
      <c r="T178" s="575"/>
      <c r="U178" s="573"/>
      <c r="V178" s="574"/>
      <c r="W178" s="574"/>
      <c r="X178" s="575"/>
      <c r="Y178" s="573"/>
      <c r="Z178" s="574"/>
      <c r="AA178" s="574"/>
      <c r="AB178" s="575"/>
      <c r="AC178" s="258"/>
      <c r="AD178" s="259"/>
      <c r="AE178" s="259"/>
      <c r="AF178" s="260"/>
      <c r="AG178" s="258"/>
      <c r="AH178" s="259"/>
      <c r="AI178" s="259"/>
      <c r="AJ178" s="260"/>
      <c r="AK178" s="258"/>
      <c r="AL178" s="259"/>
      <c r="AM178" s="259"/>
      <c r="AN178" s="260"/>
      <c r="AO178" s="258"/>
      <c r="AP178" s="259"/>
      <c r="AQ178" s="259"/>
      <c r="AR178" s="260"/>
      <c r="AS178" s="258"/>
      <c r="AT178" s="259"/>
      <c r="AU178" s="259"/>
      <c r="AV178" s="260"/>
      <c r="AW178" s="258"/>
      <c r="AX178" s="259"/>
      <c r="AY178" s="259"/>
      <c r="AZ178" s="260"/>
      <c r="BG178" s="243"/>
      <c r="BH178" s="243"/>
      <c r="BI178" s="243"/>
      <c r="BJ178" s="282"/>
      <c r="BK178" s="283"/>
      <c r="BL178" s="283"/>
      <c r="BM178" s="283"/>
      <c r="BN178" s="283"/>
      <c r="BO178" s="283"/>
      <c r="BP178" s="282"/>
      <c r="BQ178" s="266"/>
      <c r="BR178" s="266"/>
      <c r="BS178" s="270"/>
    </row>
    <row r="179" spans="1:71">
      <c r="A179" s="251"/>
      <c r="B179" s="251"/>
      <c r="C179" s="251"/>
      <c r="D179" s="251"/>
      <c r="E179" s="576"/>
      <c r="F179" s="577"/>
      <c r="G179" s="577"/>
      <c r="H179" s="578"/>
      <c r="I179" s="579"/>
      <c r="J179" s="580"/>
      <c r="K179" s="580"/>
      <c r="L179" s="581"/>
      <c r="M179" s="579"/>
      <c r="N179" s="580"/>
      <c r="O179" s="580"/>
      <c r="P179" s="581"/>
      <c r="Q179" s="579"/>
      <c r="R179" s="580"/>
      <c r="S179" s="580"/>
      <c r="T179" s="581"/>
      <c r="U179" s="579"/>
      <c r="V179" s="580"/>
      <c r="W179" s="580"/>
      <c r="X179" s="581"/>
      <c r="Y179" s="579"/>
      <c r="Z179" s="580"/>
      <c r="AA179" s="580"/>
      <c r="AB179" s="581"/>
      <c r="AC179" s="258"/>
      <c r="AD179" s="259"/>
      <c r="AE179" s="259"/>
      <c r="AF179" s="260"/>
      <c r="AG179" s="258"/>
      <c r="AH179" s="259"/>
      <c r="AI179" s="259"/>
      <c r="AJ179" s="260"/>
      <c r="AK179" s="258"/>
      <c r="AL179" s="259"/>
      <c r="AM179" s="259"/>
      <c r="AN179" s="260"/>
      <c r="AO179" s="258"/>
      <c r="AP179" s="259"/>
      <c r="AQ179" s="259"/>
      <c r="AR179" s="260"/>
      <c r="AS179" s="258"/>
      <c r="AT179" s="259"/>
      <c r="AU179" s="259"/>
      <c r="AV179" s="260"/>
      <c r="AW179" s="258"/>
      <c r="AX179" s="259"/>
      <c r="AY179" s="259"/>
      <c r="AZ179" s="260"/>
      <c r="BG179" s="243"/>
      <c r="BH179" s="243"/>
      <c r="BI179" s="243"/>
      <c r="BJ179" s="282"/>
      <c r="BK179" s="283"/>
      <c r="BL179" s="283"/>
      <c r="BM179" s="283"/>
      <c r="BN179" s="283"/>
      <c r="BO179" s="283"/>
      <c r="BP179" s="282"/>
      <c r="BQ179" s="266"/>
      <c r="BR179" s="266"/>
      <c r="BS179" s="270"/>
    </row>
    <row r="180" spans="1:71">
      <c r="A180" s="251"/>
      <c r="B180" s="251"/>
      <c r="C180" s="251"/>
      <c r="D180" s="251"/>
      <c r="E180" s="582"/>
      <c r="F180" s="583"/>
      <c r="G180" s="583"/>
      <c r="H180" s="584"/>
      <c r="I180" s="573"/>
      <c r="J180" s="574"/>
      <c r="K180" s="574"/>
      <c r="L180" s="575"/>
      <c r="M180" s="573"/>
      <c r="N180" s="574"/>
      <c r="O180" s="574"/>
      <c r="P180" s="575"/>
      <c r="Q180" s="573"/>
      <c r="R180" s="574"/>
      <c r="S180" s="574"/>
      <c r="T180" s="575"/>
      <c r="U180" s="573"/>
      <c r="V180" s="574"/>
      <c r="W180" s="574"/>
      <c r="X180" s="575"/>
      <c r="Y180" s="573"/>
      <c r="Z180" s="574"/>
      <c r="AA180" s="574"/>
      <c r="AB180" s="575"/>
      <c r="AC180" s="258"/>
      <c r="AD180" s="259"/>
      <c r="AE180" s="259"/>
      <c r="AF180" s="260"/>
      <c r="AG180" s="258"/>
      <c r="AH180" s="259"/>
      <c r="AI180" s="259"/>
      <c r="AJ180" s="260"/>
      <c r="AK180" s="258"/>
      <c r="AL180" s="259"/>
      <c r="AM180" s="259"/>
      <c r="AN180" s="260"/>
      <c r="AO180" s="258"/>
      <c r="AP180" s="259"/>
      <c r="AQ180" s="259"/>
      <c r="AR180" s="260"/>
      <c r="AS180" s="258"/>
      <c r="AT180" s="259"/>
      <c r="AU180" s="259"/>
      <c r="AV180" s="260"/>
      <c r="AW180" s="258"/>
      <c r="AX180" s="259"/>
      <c r="AY180" s="259"/>
      <c r="AZ180" s="260"/>
      <c r="BG180" s="243"/>
      <c r="BH180" s="243"/>
      <c r="BI180" s="243"/>
      <c r="BJ180" s="282"/>
      <c r="BK180" s="283"/>
      <c r="BL180" s="283"/>
      <c r="BM180" s="283"/>
      <c r="BN180" s="283"/>
      <c r="BO180" s="283"/>
      <c r="BP180" s="282"/>
      <c r="BQ180" s="266"/>
      <c r="BR180" s="266"/>
      <c r="BS180" s="270"/>
    </row>
    <row r="181" spans="1:71">
      <c r="A181" s="251"/>
      <c r="B181" s="251"/>
      <c r="C181" s="251"/>
      <c r="D181" s="251"/>
      <c r="E181" s="576"/>
      <c r="F181" s="577"/>
      <c r="G181" s="577"/>
      <c r="H181" s="578"/>
      <c r="I181" s="579"/>
      <c r="J181" s="580"/>
      <c r="K181" s="580"/>
      <c r="L181" s="581"/>
      <c r="M181" s="579"/>
      <c r="N181" s="580"/>
      <c r="O181" s="580"/>
      <c r="P181" s="581"/>
      <c r="Q181" s="579"/>
      <c r="R181" s="580"/>
      <c r="S181" s="580"/>
      <c r="T181" s="581"/>
      <c r="U181" s="579"/>
      <c r="V181" s="580"/>
      <c r="W181" s="580"/>
      <c r="X181" s="581"/>
      <c r="Y181" s="579"/>
      <c r="Z181" s="580"/>
      <c r="AA181" s="580"/>
      <c r="AB181" s="581"/>
      <c r="AC181" s="258"/>
      <c r="AD181" s="259"/>
      <c r="AE181" s="259"/>
      <c r="AF181" s="260"/>
      <c r="AG181" s="258"/>
      <c r="AH181" s="259"/>
      <c r="AI181" s="259"/>
      <c r="AJ181" s="260"/>
      <c r="AK181" s="258"/>
      <c r="AL181" s="259"/>
      <c r="AM181" s="259"/>
      <c r="AN181" s="260"/>
      <c r="AO181" s="258"/>
      <c r="AP181" s="259"/>
      <c r="AQ181" s="259"/>
      <c r="AR181" s="260"/>
      <c r="AS181" s="258"/>
      <c r="AT181" s="259"/>
      <c r="AU181" s="259"/>
      <c r="AV181" s="260"/>
      <c r="AW181" s="258"/>
      <c r="AX181" s="259"/>
      <c r="AY181" s="259"/>
      <c r="AZ181" s="260"/>
      <c r="BG181" s="243"/>
      <c r="BH181" s="243"/>
      <c r="BI181" s="243"/>
      <c r="BJ181" s="282"/>
      <c r="BK181" s="283"/>
      <c r="BL181" s="283"/>
      <c r="BM181" s="283"/>
      <c r="BN181" s="283"/>
      <c r="BO181" s="283"/>
      <c r="BP181" s="282"/>
      <c r="BQ181" s="266"/>
      <c r="BR181" s="266"/>
      <c r="BS181" s="270"/>
    </row>
    <row r="182" spans="1:71">
      <c r="A182" s="251"/>
      <c r="B182" s="251"/>
      <c r="C182" s="251"/>
      <c r="D182" s="251"/>
      <c r="E182" s="582"/>
      <c r="F182" s="583"/>
      <c r="G182" s="583"/>
      <c r="H182" s="584"/>
      <c r="I182" s="573"/>
      <c r="J182" s="574"/>
      <c r="K182" s="574"/>
      <c r="L182" s="575"/>
      <c r="M182" s="573"/>
      <c r="N182" s="574"/>
      <c r="O182" s="574"/>
      <c r="P182" s="575"/>
      <c r="Q182" s="573"/>
      <c r="R182" s="574"/>
      <c r="S182" s="574"/>
      <c r="T182" s="575"/>
      <c r="U182" s="573"/>
      <c r="V182" s="574"/>
      <c r="W182" s="574"/>
      <c r="X182" s="575"/>
      <c r="Y182" s="573"/>
      <c r="Z182" s="574"/>
      <c r="AA182" s="574"/>
      <c r="AB182" s="575"/>
      <c r="AC182" s="258"/>
      <c r="AD182" s="259"/>
      <c r="AE182" s="259"/>
      <c r="AF182" s="260"/>
      <c r="AG182" s="258"/>
      <c r="AH182" s="259"/>
      <c r="AI182" s="259"/>
      <c r="AJ182" s="260"/>
      <c r="AK182" s="258"/>
      <c r="AL182" s="259"/>
      <c r="AM182" s="259"/>
      <c r="AN182" s="260"/>
      <c r="AO182" s="258"/>
      <c r="AP182" s="259"/>
      <c r="AQ182" s="259"/>
      <c r="AR182" s="260"/>
      <c r="AS182" s="258"/>
      <c r="AT182" s="259"/>
      <c r="AU182" s="259"/>
      <c r="AV182" s="260"/>
      <c r="AW182" s="258"/>
      <c r="AX182" s="259"/>
      <c r="AY182" s="259"/>
      <c r="AZ182" s="260"/>
      <c r="BG182" s="243"/>
      <c r="BH182" s="243"/>
      <c r="BI182" s="243"/>
      <c r="BJ182" s="282"/>
      <c r="BK182" s="283"/>
      <c r="BL182" s="283"/>
      <c r="BM182" s="283"/>
      <c r="BN182" s="283"/>
      <c r="BO182" s="283"/>
      <c r="BP182" s="282"/>
      <c r="BQ182" s="266"/>
      <c r="BR182" s="266"/>
      <c r="BS182" s="270"/>
    </row>
    <row r="183" spans="1:71">
      <c r="A183" s="251"/>
      <c r="B183" s="251"/>
      <c r="C183" s="251"/>
      <c r="D183" s="251"/>
      <c r="E183" s="576"/>
      <c r="F183" s="577"/>
      <c r="G183" s="577"/>
      <c r="H183" s="578"/>
      <c r="I183" s="579"/>
      <c r="J183" s="580"/>
      <c r="K183" s="580"/>
      <c r="L183" s="581"/>
      <c r="M183" s="579"/>
      <c r="N183" s="580"/>
      <c r="O183" s="580"/>
      <c r="P183" s="581"/>
      <c r="Q183" s="579"/>
      <c r="R183" s="580"/>
      <c r="S183" s="580"/>
      <c r="T183" s="581"/>
      <c r="U183" s="579"/>
      <c r="V183" s="580"/>
      <c r="W183" s="580"/>
      <c r="X183" s="581"/>
      <c r="Y183" s="579"/>
      <c r="Z183" s="580"/>
      <c r="AA183" s="580"/>
      <c r="AB183" s="581"/>
      <c r="AC183" s="258"/>
      <c r="AD183" s="259"/>
      <c r="AE183" s="259"/>
      <c r="AF183" s="260"/>
      <c r="AG183" s="258"/>
      <c r="AH183" s="259"/>
      <c r="AI183" s="259"/>
      <c r="AJ183" s="260"/>
      <c r="AK183" s="258"/>
      <c r="AL183" s="259"/>
      <c r="AM183" s="259"/>
      <c r="AN183" s="260"/>
      <c r="AO183" s="258"/>
      <c r="AP183" s="259"/>
      <c r="AQ183" s="259"/>
      <c r="AR183" s="260"/>
      <c r="AS183" s="258"/>
      <c r="AT183" s="259"/>
      <c r="AU183" s="259"/>
      <c r="AV183" s="260"/>
      <c r="AW183" s="258"/>
      <c r="AX183" s="259"/>
      <c r="AY183" s="259"/>
      <c r="AZ183" s="260"/>
      <c r="BG183" s="243"/>
      <c r="BH183" s="243"/>
      <c r="BI183" s="243"/>
      <c r="BJ183" s="282"/>
      <c r="BK183" s="283"/>
      <c r="BL183" s="283"/>
      <c r="BM183" s="283"/>
      <c r="BN183" s="283"/>
      <c r="BO183" s="283"/>
      <c r="BP183" s="282"/>
      <c r="BQ183" s="266"/>
      <c r="BR183" s="266"/>
      <c r="BS183" s="270"/>
    </row>
    <row r="184" spans="1:71">
      <c r="A184" s="251"/>
      <c r="B184" s="251"/>
      <c r="C184" s="251"/>
      <c r="D184" s="251"/>
      <c r="E184" s="582"/>
      <c r="F184" s="583"/>
      <c r="G184" s="583"/>
      <c r="H184" s="584"/>
      <c r="I184" s="573"/>
      <c r="J184" s="574"/>
      <c r="K184" s="574"/>
      <c r="L184" s="575"/>
      <c r="M184" s="573"/>
      <c r="N184" s="574"/>
      <c r="O184" s="574"/>
      <c r="P184" s="575"/>
      <c r="Q184" s="573"/>
      <c r="R184" s="574"/>
      <c r="S184" s="574"/>
      <c r="T184" s="575"/>
      <c r="U184" s="573"/>
      <c r="V184" s="574"/>
      <c r="W184" s="574"/>
      <c r="X184" s="575"/>
      <c r="Y184" s="573"/>
      <c r="Z184" s="574"/>
      <c r="AA184" s="574"/>
      <c r="AB184" s="575"/>
      <c r="AC184" s="258"/>
      <c r="AD184" s="259"/>
      <c r="AE184" s="259"/>
      <c r="AF184" s="260"/>
      <c r="AG184" s="258"/>
      <c r="AH184" s="259"/>
      <c r="AI184" s="259"/>
      <c r="AJ184" s="260"/>
      <c r="AK184" s="258"/>
      <c r="AL184" s="259"/>
      <c r="AM184" s="259"/>
      <c r="AN184" s="260"/>
      <c r="AO184" s="258"/>
      <c r="AP184" s="259"/>
      <c r="AQ184" s="259"/>
      <c r="AR184" s="260"/>
      <c r="AS184" s="258"/>
      <c r="AT184" s="259"/>
      <c r="AU184" s="259"/>
      <c r="AV184" s="260"/>
      <c r="AW184" s="258"/>
      <c r="AX184" s="259"/>
      <c r="AY184" s="259"/>
      <c r="AZ184" s="260"/>
      <c r="BG184" s="243"/>
      <c r="BH184" s="243"/>
      <c r="BI184" s="243"/>
      <c r="BJ184" s="282"/>
      <c r="BK184" s="283"/>
      <c r="BL184" s="283"/>
      <c r="BM184" s="283"/>
      <c r="BN184" s="283"/>
      <c r="BO184" s="283"/>
      <c r="BP184" s="282"/>
      <c r="BQ184" s="266"/>
      <c r="BR184" s="266"/>
      <c r="BS184" s="270"/>
    </row>
    <row r="185" spans="1:71">
      <c r="A185" s="251"/>
      <c r="B185" s="251"/>
      <c r="C185" s="251"/>
      <c r="D185" s="251"/>
      <c r="E185" s="576"/>
      <c r="F185" s="577"/>
      <c r="G185" s="577"/>
      <c r="H185" s="578"/>
      <c r="I185" s="579"/>
      <c r="J185" s="580"/>
      <c r="K185" s="580"/>
      <c r="L185" s="581"/>
      <c r="M185" s="579"/>
      <c r="N185" s="580"/>
      <c r="O185" s="580"/>
      <c r="P185" s="581"/>
      <c r="Q185" s="579"/>
      <c r="R185" s="580"/>
      <c r="S185" s="580"/>
      <c r="T185" s="581"/>
      <c r="U185" s="579"/>
      <c r="V185" s="580"/>
      <c r="W185" s="580"/>
      <c r="X185" s="581"/>
      <c r="Y185" s="579"/>
      <c r="Z185" s="580"/>
      <c r="AA185" s="580"/>
      <c r="AB185" s="581"/>
      <c r="AC185" s="258"/>
      <c r="AD185" s="259"/>
      <c r="AE185" s="259"/>
      <c r="AF185" s="260"/>
      <c r="AG185" s="258"/>
      <c r="AH185" s="259"/>
      <c r="AI185" s="259"/>
      <c r="AJ185" s="260"/>
      <c r="AK185" s="258"/>
      <c r="AL185" s="259"/>
      <c r="AM185" s="259"/>
      <c r="AN185" s="260"/>
      <c r="AO185" s="258"/>
      <c r="AP185" s="259"/>
      <c r="AQ185" s="259"/>
      <c r="AR185" s="260"/>
      <c r="AS185" s="258"/>
      <c r="AT185" s="259"/>
      <c r="AU185" s="259"/>
      <c r="AV185" s="260"/>
      <c r="AW185" s="258"/>
      <c r="AX185" s="259"/>
      <c r="AY185" s="259"/>
      <c r="AZ185" s="260"/>
      <c r="BG185" s="243"/>
      <c r="BH185" s="243"/>
      <c r="BI185" s="243"/>
      <c r="BJ185" s="282"/>
      <c r="BK185" s="283"/>
      <c r="BL185" s="283"/>
      <c r="BM185" s="283"/>
      <c r="BN185" s="283"/>
      <c r="BO185" s="283"/>
      <c r="BP185" s="282"/>
      <c r="BQ185" s="266"/>
      <c r="BR185" s="266"/>
      <c r="BS185" s="270"/>
    </row>
    <row r="186" spans="1:71">
      <c r="A186" s="251"/>
      <c r="B186" s="251"/>
      <c r="C186" s="251"/>
      <c r="D186" s="251"/>
      <c r="E186" s="582"/>
      <c r="F186" s="583"/>
      <c r="G186" s="583"/>
      <c r="H186" s="584"/>
      <c r="I186" s="573"/>
      <c r="J186" s="574"/>
      <c r="K186" s="574"/>
      <c r="L186" s="575"/>
      <c r="M186" s="573"/>
      <c r="N186" s="574"/>
      <c r="O186" s="574"/>
      <c r="P186" s="575"/>
      <c r="Q186" s="573"/>
      <c r="R186" s="574"/>
      <c r="S186" s="574"/>
      <c r="T186" s="575"/>
      <c r="U186" s="573"/>
      <c r="V186" s="574"/>
      <c r="W186" s="574"/>
      <c r="X186" s="575"/>
      <c r="Y186" s="573"/>
      <c r="Z186" s="574"/>
      <c r="AA186" s="574"/>
      <c r="AB186" s="575"/>
      <c r="AC186" s="258"/>
      <c r="AD186" s="259"/>
      <c r="AE186" s="259"/>
      <c r="AF186" s="260"/>
      <c r="AG186" s="258"/>
      <c r="AH186" s="259"/>
      <c r="AI186" s="259"/>
      <c r="AJ186" s="260"/>
      <c r="AK186" s="258"/>
      <c r="AL186" s="259"/>
      <c r="AM186" s="259"/>
      <c r="AN186" s="260"/>
      <c r="AO186" s="258"/>
      <c r="AP186" s="259"/>
      <c r="AQ186" s="259"/>
      <c r="AR186" s="260"/>
      <c r="AS186" s="258"/>
      <c r="AT186" s="259"/>
      <c r="AU186" s="259"/>
      <c r="AV186" s="260"/>
      <c r="AW186" s="258"/>
      <c r="AX186" s="259"/>
      <c r="AY186" s="259"/>
      <c r="AZ186" s="260"/>
      <c r="BG186" s="243"/>
      <c r="BH186" s="243"/>
      <c r="BI186" s="243"/>
      <c r="BJ186" s="282"/>
      <c r="BK186" s="283"/>
      <c r="BL186" s="283"/>
      <c r="BM186" s="283"/>
      <c r="BN186" s="283"/>
      <c r="BO186" s="283"/>
      <c r="BP186" s="282"/>
      <c r="BQ186" s="266"/>
      <c r="BR186" s="266"/>
      <c r="BS186" s="270"/>
    </row>
    <row r="187" spans="1:71">
      <c r="A187" s="251"/>
      <c r="B187" s="251"/>
      <c r="C187" s="251"/>
      <c r="D187" s="251"/>
      <c r="E187" s="576"/>
      <c r="F187" s="577"/>
      <c r="G187" s="577"/>
      <c r="H187" s="578"/>
      <c r="I187" s="579"/>
      <c r="J187" s="580"/>
      <c r="K187" s="580"/>
      <c r="L187" s="581"/>
      <c r="M187" s="579"/>
      <c r="N187" s="580"/>
      <c r="O187" s="580"/>
      <c r="P187" s="581"/>
      <c r="Q187" s="579"/>
      <c r="R187" s="580"/>
      <c r="S187" s="580"/>
      <c r="T187" s="581"/>
      <c r="U187" s="579"/>
      <c r="V187" s="580"/>
      <c r="W187" s="580"/>
      <c r="X187" s="581"/>
      <c r="Y187" s="579"/>
      <c r="Z187" s="580"/>
      <c r="AA187" s="580"/>
      <c r="AB187" s="581"/>
      <c r="AC187" s="258"/>
      <c r="AD187" s="259"/>
      <c r="AE187" s="259"/>
      <c r="AF187" s="260"/>
      <c r="AG187" s="258"/>
      <c r="AH187" s="259"/>
      <c r="AI187" s="259"/>
      <c r="AJ187" s="260"/>
      <c r="AK187" s="258"/>
      <c r="AL187" s="259"/>
      <c r="AM187" s="259"/>
      <c r="AN187" s="260"/>
      <c r="AO187" s="258"/>
      <c r="AP187" s="259"/>
      <c r="AQ187" s="259"/>
      <c r="AR187" s="260"/>
      <c r="AS187" s="258"/>
      <c r="AT187" s="259"/>
      <c r="AU187" s="259"/>
      <c r="AV187" s="260"/>
      <c r="AW187" s="258"/>
      <c r="AX187" s="259"/>
      <c r="AY187" s="259"/>
      <c r="AZ187" s="260"/>
      <c r="BG187" s="243"/>
      <c r="BH187" s="243"/>
      <c r="BI187" s="243"/>
      <c r="BJ187" s="282"/>
      <c r="BK187" s="283"/>
      <c r="BL187" s="283"/>
      <c r="BM187" s="283"/>
      <c r="BN187" s="283"/>
      <c r="BO187" s="283"/>
      <c r="BP187" s="282"/>
      <c r="BQ187" s="266"/>
      <c r="BR187" s="266"/>
      <c r="BS187" s="270"/>
    </row>
    <row r="188" spans="1:71">
      <c r="A188" s="251"/>
      <c r="B188" s="251"/>
      <c r="C188" s="251"/>
      <c r="D188" s="251"/>
      <c r="E188" s="582"/>
      <c r="F188" s="583"/>
      <c r="G188" s="583"/>
      <c r="H188" s="584"/>
      <c r="I188" s="573"/>
      <c r="J188" s="574"/>
      <c r="K188" s="574"/>
      <c r="L188" s="575"/>
      <c r="M188" s="573"/>
      <c r="N188" s="574"/>
      <c r="O188" s="574"/>
      <c r="P188" s="575"/>
      <c r="Q188" s="573"/>
      <c r="R188" s="574"/>
      <c r="S188" s="574"/>
      <c r="T188" s="575"/>
      <c r="U188" s="573"/>
      <c r="V188" s="574"/>
      <c r="W188" s="574"/>
      <c r="X188" s="575"/>
      <c r="Y188" s="573"/>
      <c r="Z188" s="574"/>
      <c r="AA188" s="574"/>
      <c r="AB188" s="575"/>
      <c r="AC188" s="258"/>
      <c r="AD188" s="259"/>
      <c r="AE188" s="259"/>
      <c r="AF188" s="260"/>
      <c r="AG188" s="258"/>
      <c r="AH188" s="259"/>
      <c r="AI188" s="259"/>
      <c r="AJ188" s="260"/>
      <c r="AK188" s="258"/>
      <c r="AL188" s="259"/>
      <c r="AM188" s="259"/>
      <c r="AN188" s="260"/>
      <c r="AO188" s="258"/>
      <c r="AP188" s="259"/>
      <c r="AQ188" s="259"/>
      <c r="AR188" s="260"/>
      <c r="AS188" s="258"/>
      <c r="AT188" s="259"/>
      <c r="AU188" s="259"/>
      <c r="AV188" s="260"/>
      <c r="AW188" s="258"/>
      <c r="AX188" s="259"/>
      <c r="AY188" s="259"/>
      <c r="AZ188" s="260"/>
      <c r="BG188" s="243"/>
      <c r="BH188" s="243"/>
      <c r="BI188" s="243"/>
      <c r="BJ188" s="282"/>
      <c r="BK188" s="283"/>
      <c r="BL188" s="283"/>
      <c r="BM188" s="283"/>
      <c r="BN188" s="283"/>
      <c r="BO188" s="283"/>
      <c r="BP188" s="282"/>
      <c r="BQ188" s="266"/>
      <c r="BR188" s="266"/>
      <c r="BS188" s="270"/>
    </row>
    <row r="189" spans="1:71">
      <c r="A189" s="251"/>
      <c r="B189" s="251"/>
      <c r="C189" s="251"/>
      <c r="D189" s="251"/>
      <c r="E189" s="576"/>
      <c r="F189" s="577"/>
      <c r="G189" s="577"/>
      <c r="H189" s="578"/>
      <c r="I189" s="579"/>
      <c r="J189" s="580"/>
      <c r="K189" s="580"/>
      <c r="L189" s="581"/>
      <c r="M189" s="579"/>
      <c r="N189" s="580"/>
      <c r="O189" s="580"/>
      <c r="P189" s="581"/>
      <c r="Q189" s="579"/>
      <c r="R189" s="580"/>
      <c r="S189" s="580"/>
      <c r="T189" s="581"/>
      <c r="U189" s="579"/>
      <c r="V189" s="580"/>
      <c r="W189" s="580"/>
      <c r="X189" s="581"/>
      <c r="Y189" s="579"/>
      <c r="Z189" s="580"/>
      <c r="AA189" s="580"/>
      <c r="AB189" s="581"/>
      <c r="AC189" s="258"/>
      <c r="AD189" s="259"/>
      <c r="AE189" s="259"/>
      <c r="AF189" s="260"/>
      <c r="AG189" s="258"/>
      <c r="AH189" s="259"/>
      <c r="AI189" s="259"/>
      <c r="AJ189" s="260"/>
      <c r="AK189" s="258"/>
      <c r="AL189" s="259"/>
      <c r="AM189" s="259"/>
      <c r="AN189" s="260"/>
      <c r="AO189" s="258"/>
      <c r="AP189" s="259"/>
      <c r="AQ189" s="259"/>
      <c r="AR189" s="260"/>
      <c r="AS189" s="258"/>
      <c r="AT189" s="259"/>
      <c r="AU189" s="259"/>
      <c r="AV189" s="260"/>
      <c r="AW189" s="258"/>
      <c r="AX189" s="259"/>
      <c r="AY189" s="259"/>
      <c r="AZ189" s="260"/>
      <c r="BG189" s="243"/>
      <c r="BH189" s="243"/>
      <c r="BI189" s="243"/>
      <c r="BJ189" s="282"/>
      <c r="BK189" s="283"/>
      <c r="BL189" s="283"/>
      <c r="BM189" s="283"/>
      <c r="BN189" s="283"/>
      <c r="BO189" s="283"/>
      <c r="BP189" s="282"/>
      <c r="BQ189" s="266"/>
      <c r="BR189" s="266"/>
      <c r="BS189" s="270"/>
    </row>
    <row r="190" spans="1:71">
      <c r="A190" s="251"/>
      <c r="B190" s="251"/>
      <c r="C190" s="251"/>
      <c r="D190" s="251"/>
      <c r="E190" s="582"/>
      <c r="F190" s="583"/>
      <c r="G190" s="583"/>
      <c r="H190" s="584"/>
      <c r="I190" s="573"/>
      <c r="J190" s="574"/>
      <c r="K190" s="574"/>
      <c r="L190" s="575"/>
      <c r="M190" s="573"/>
      <c r="N190" s="574"/>
      <c r="O190" s="574"/>
      <c r="P190" s="575"/>
      <c r="Q190" s="573"/>
      <c r="R190" s="574"/>
      <c r="S190" s="574"/>
      <c r="T190" s="575"/>
      <c r="U190" s="573"/>
      <c r="V190" s="574"/>
      <c r="W190" s="574"/>
      <c r="X190" s="575"/>
      <c r="Y190" s="573"/>
      <c r="Z190" s="574"/>
      <c r="AA190" s="574"/>
      <c r="AB190" s="575"/>
      <c r="AC190" s="258"/>
      <c r="AD190" s="259"/>
      <c r="AE190" s="259"/>
      <c r="AF190" s="260"/>
      <c r="AG190" s="258"/>
      <c r="AH190" s="259"/>
      <c r="AI190" s="259"/>
      <c r="AJ190" s="260"/>
      <c r="AK190" s="258"/>
      <c r="AL190" s="259"/>
      <c r="AM190" s="259"/>
      <c r="AN190" s="260"/>
      <c r="AO190" s="258"/>
      <c r="AP190" s="259"/>
      <c r="AQ190" s="259"/>
      <c r="AR190" s="260"/>
      <c r="AS190" s="258"/>
      <c r="AT190" s="259"/>
      <c r="AU190" s="259"/>
      <c r="AV190" s="260"/>
      <c r="AW190" s="258"/>
      <c r="AX190" s="259"/>
      <c r="AY190" s="259"/>
      <c r="AZ190" s="260"/>
      <c r="BG190" s="243"/>
      <c r="BH190" s="243"/>
      <c r="BI190" s="243"/>
      <c r="BJ190" s="282"/>
      <c r="BK190" s="283"/>
      <c r="BL190" s="283"/>
      <c r="BM190" s="283"/>
      <c r="BN190" s="283"/>
      <c r="BO190" s="283"/>
      <c r="BP190" s="282"/>
      <c r="BQ190" s="266"/>
      <c r="BR190" s="266"/>
      <c r="BS190" s="270"/>
    </row>
    <row r="191" spans="1:71">
      <c r="A191" s="251"/>
      <c r="B191" s="251"/>
      <c r="C191" s="251"/>
      <c r="D191" s="251"/>
      <c r="E191" s="576"/>
      <c r="F191" s="577"/>
      <c r="G191" s="577"/>
      <c r="H191" s="578"/>
      <c r="I191" s="579"/>
      <c r="J191" s="580"/>
      <c r="K191" s="580"/>
      <c r="L191" s="581"/>
      <c r="M191" s="579"/>
      <c r="N191" s="580"/>
      <c r="O191" s="580"/>
      <c r="P191" s="581"/>
      <c r="Q191" s="579"/>
      <c r="R191" s="580"/>
      <c r="S191" s="580"/>
      <c r="T191" s="581"/>
      <c r="U191" s="579"/>
      <c r="V191" s="580"/>
      <c r="W191" s="580"/>
      <c r="X191" s="581"/>
      <c r="Y191" s="579"/>
      <c r="Z191" s="580"/>
      <c r="AA191" s="580"/>
      <c r="AB191" s="581"/>
      <c r="AC191" s="258"/>
      <c r="AD191" s="259"/>
      <c r="AE191" s="259"/>
      <c r="AF191" s="260"/>
      <c r="AG191" s="258"/>
      <c r="AH191" s="259"/>
      <c r="AI191" s="259"/>
      <c r="AJ191" s="260"/>
      <c r="AK191" s="258"/>
      <c r="AL191" s="259"/>
      <c r="AM191" s="259"/>
      <c r="AN191" s="260"/>
      <c r="AO191" s="258"/>
      <c r="AP191" s="259"/>
      <c r="AQ191" s="259"/>
      <c r="AR191" s="260"/>
      <c r="AS191" s="258"/>
      <c r="AT191" s="259"/>
      <c r="AU191" s="259"/>
      <c r="AV191" s="260"/>
      <c r="AW191" s="258"/>
      <c r="AX191" s="259"/>
      <c r="AY191" s="259"/>
      <c r="AZ191" s="260"/>
      <c r="BG191" s="243"/>
      <c r="BH191" s="243"/>
      <c r="BI191" s="243"/>
      <c r="BJ191" s="282"/>
      <c r="BK191" s="283"/>
      <c r="BL191" s="283"/>
      <c r="BM191" s="283"/>
      <c r="BN191" s="283"/>
      <c r="BO191" s="283"/>
      <c r="BP191" s="282"/>
      <c r="BQ191" s="266"/>
      <c r="BR191" s="266"/>
      <c r="BS191" s="270"/>
    </row>
    <row r="192" spans="1:71">
      <c r="A192" s="251"/>
      <c r="B192" s="251"/>
      <c r="C192" s="251"/>
      <c r="D192" s="251"/>
      <c r="E192" s="582"/>
      <c r="F192" s="583"/>
      <c r="G192" s="583"/>
      <c r="H192" s="584"/>
      <c r="I192" s="573"/>
      <c r="J192" s="574"/>
      <c r="K192" s="574"/>
      <c r="L192" s="575"/>
      <c r="M192" s="573"/>
      <c r="N192" s="574"/>
      <c r="O192" s="574"/>
      <c r="P192" s="575"/>
      <c r="Q192" s="573"/>
      <c r="R192" s="574"/>
      <c r="S192" s="574"/>
      <c r="T192" s="575"/>
      <c r="U192" s="573"/>
      <c r="V192" s="574"/>
      <c r="W192" s="574"/>
      <c r="X192" s="575"/>
      <c r="Y192" s="573"/>
      <c r="Z192" s="574"/>
      <c r="AA192" s="574"/>
      <c r="AB192" s="575"/>
      <c r="AC192" s="258"/>
      <c r="AD192" s="259"/>
      <c r="AE192" s="259"/>
      <c r="AF192" s="260"/>
      <c r="AG192" s="258"/>
      <c r="AH192" s="259"/>
      <c r="AI192" s="259"/>
      <c r="AJ192" s="260"/>
      <c r="AK192" s="258"/>
      <c r="AL192" s="259"/>
      <c r="AM192" s="259"/>
      <c r="AN192" s="260"/>
      <c r="AO192" s="258"/>
      <c r="AP192" s="259"/>
      <c r="AQ192" s="259"/>
      <c r="AR192" s="260"/>
      <c r="AS192" s="258"/>
      <c r="AT192" s="259"/>
      <c r="AU192" s="259"/>
      <c r="AV192" s="260"/>
      <c r="AW192" s="258"/>
      <c r="AX192" s="259"/>
      <c r="AY192" s="259"/>
      <c r="AZ192" s="260"/>
      <c r="BG192" s="243"/>
      <c r="BH192" s="243"/>
      <c r="BI192" s="243"/>
      <c r="BJ192" s="282"/>
      <c r="BK192" s="283"/>
      <c r="BL192" s="283"/>
      <c r="BM192" s="283"/>
      <c r="BN192" s="283"/>
      <c r="BO192" s="283"/>
      <c r="BP192" s="282"/>
      <c r="BQ192" s="266"/>
      <c r="BR192" s="266"/>
      <c r="BS192" s="270"/>
    </row>
    <row r="193" spans="1:71">
      <c r="A193" s="251"/>
      <c r="B193" s="251"/>
      <c r="C193" s="251"/>
      <c r="D193" s="251"/>
      <c r="E193" s="576"/>
      <c r="F193" s="577"/>
      <c r="G193" s="577"/>
      <c r="H193" s="578"/>
      <c r="I193" s="579"/>
      <c r="J193" s="580"/>
      <c r="K193" s="580"/>
      <c r="L193" s="581"/>
      <c r="M193" s="579"/>
      <c r="N193" s="580"/>
      <c r="O193" s="580"/>
      <c r="P193" s="581"/>
      <c r="Q193" s="579"/>
      <c r="R193" s="580"/>
      <c r="S193" s="580"/>
      <c r="T193" s="581"/>
      <c r="U193" s="579"/>
      <c r="V193" s="580"/>
      <c r="W193" s="580"/>
      <c r="X193" s="581"/>
      <c r="Y193" s="579"/>
      <c r="Z193" s="580"/>
      <c r="AA193" s="580"/>
      <c r="AB193" s="581"/>
      <c r="AC193" s="258"/>
      <c r="AD193" s="259"/>
      <c r="AE193" s="259"/>
      <c r="AF193" s="260"/>
      <c r="AG193" s="258"/>
      <c r="AH193" s="259"/>
      <c r="AI193" s="259"/>
      <c r="AJ193" s="260"/>
      <c r="AK193" s="258"/>
      <c r="AL193" s="259"/>
      <c r="AM193" s="259"/>
      <c r="AN193" s="260"/>
      <c r="AO193" s="258"/>
      <c r="AP193" s="259"/>
      <c r="AQ193" s="259"/>
      <c r="AR193" s="260"/>
      <c r="AS193" s="258"/>
      <c r="AT193" s="259"/>
      <c r="AU193" s="259"/>
      <c r="AV193" s="260"/>
      <c r="AW193" s="258"/>
      <c r="AX193" s="259"/>
      <c r="AY193" s="259"/>
      <c r="AZ193" s="260"/>
      <c r="BG193" s="243"/>
      <c r="BH193" s="243"/>
      <c r="BI193" s="243"/>
      <c r="BJ193" s="282"/>
      <c r="BK193" s="283"/>
      <c r="BL193" s="283"/>
      <c r="BM193" s="283"/>
      <c r="BN193" s="283"/>
      <c r="BO193" s="283"/>
      <c r="BP193" s="282"/>
      <c r="BQ193" s="266"/>
      <c r="BR193" s="266"/>
      <c r="BS193" s="270"/>
    </row>
    <row r="194" spans="1:71">
      <c r="A194" s="251"/>
      <c r="B194" s="251"/>
      <c r="C194" s="251"/>
      <c r="D194" s="251"/>
      <c r="E194" s="582"/>
      <c r="F194" s="583"/>
      <c r="G194" s="583"/>
      <c r="H194" s="584"/>
      <c r="I194" s="573"/>
      <c r="J194" s="574"/>
      <c r="K194" s="574"/>
      <c r="L194" s="575"/>
      <c r="M194" s="573"/>
      <c r="N194" s="574"/>
      <c r="O194" s="574"/>
      <c r="P194" s="575"/>
      <c r="Q194" s="573"/>
      <c r="R194" s="574"/>
      <c r="S194" s="574"/>
      <c r="T194" s="575"/>
      <c r="U194" s="573"/>
      <c r="V194" s="574"/>
      <c r="W194" s="574"/>
      <c r="X194" s="575"/>
      <c r="Y194" s="573"/>
      <c r="Z194" s="574"/>
      <c r="AA194" s="574"/>
      <c r="AB194" s="575"/>
      <c r="AC194" s="258"/>
      <c r="AD194" s="259"/>
      <c r="AE194" s="259"/>
      <c r="AF194" s="260"/>
      <c r="AG194" s="258"/>
      <c r="AH194" s="259"/>
      <c r="AI194" s="259"/>
      <c r="AJ194" s="260"/>
      <c r="AK194" s="258"/>
      <c r="AL194" s="259"/>
      <c r="AM194" s="259"/>
      <c r="AN194" s="260"/>
      <c r="AO194" s="258"/>
      <c r="AP194" s="259"/>
      <c r="AQ194" s="259"/>
      <c r="AR194" s="260"/>
      <c r="AS194" s="258"/>
      <c r="AT194" s="259"/>
      <c r="AU194" s="259"/>
      <c r="AV194" s="260"/>
      <c r="AW194" s="258"/>
      <c r="AX194" s="259"/>
      <c r="AY194" s="259"/>
      <c r="AZ194" s="260"/>
      <c r="BG194" s="243"/>
      <c r="BH194" s="243"/>
      <c r="BI194" s="243"/>
      <c r="BJ194" s="282"/>
      <c r="BK194" s="283"/>
      <c r="BL194" s="283"/>
      <c r="BM194" s="283"/>
      <c r="BN194" s="283"/>
      <c r="BO194" s="283"/>
      <c r="BP194" s="282"/>
      <c r="BQ194" s="266"/>
      <c r="BR194" s="266"/>
      <c r="BS194" s="270"/>
    </row>
    <row r="195" spans="1:71">
      <c r="A195" s="251"/>
      <c r="B195" s="251"/>
      <c r="C195" s="251"/>
      <c r="D195" s="251"/>
      <c r="E195" s="576"/>
      <c r="F195" s="577"/>
      <c r="G195" s="577"/>
      <c r="H195" s="578"/>
      <c r="I195" s="579"/>
      <c r="J195" s="580"/>
      <c r="K195" s="580"/>
      <c r="L195" s="581"/>
      <c r="M195" s="579"/>
      <c r="N195" s="580"/>
      <c r="O195" s="580"/>
      <c r="P195" s="581"/>
      <c r="Q195" s="579"/>
      <c r="R195" s="580"/>
      <c r="S195" s="580"/>
      <c r="T195" s="581"/>
      <c r="U195" s="579"/>
      <c r="V195" s="580"/>
      <c r="W195" s="580"/>
      <c r="X195" s="581"/>
      <c r="Y195" s="579"/>
      <c r="Z195" s="580"/>
      <c r="AA195" s="580"/>
      <c r="AB195" s="581"/>
      <c r="AC195" s="258"/>
      <c r="AD195" s="259"/>
      <c r="AE195" s="259"/>
      <c r="AF195" s="260"/>
      <c r="AG195" s="258"/>
      <c r="AH195" s="259"/>
      <c r="AI195" s="259"/>
      <c r="AJ195" s="260"/>
      <c r="AK195" s="258"/>
      <c r="AL195" s="259"/>
      <c r="AM195" s="259"/>
      <c r="AN195" s="260"/>
      <c r="AO195" s="258"/>
      <c r="AP195" s="259"/>
      <c r="AQ195" s="259"/>
      <c r="AR195" s="260"/>
      <c r="AS195" s="258"/>
      <c r="AT195" s="259"/>
      <c r="AU195" s="259"/>
      <c r="AV195" s="260"/>
      <c r="AW195" s="258"/>
      <c r="AX195" s="259"/>
      <c r="AY195" s="259"/>
      <c r="AZ195" s="260"/>
      <c r="BG195" s="243"/>
      <c r="BH195" s="243"/>
      <c r="BI195" s="243"/>
      <c r="BJ195" s="282"/>
      <c r="BK195" s="283"/>
      <c r="BL195" s="283"/>
      <c r="BM195" s="283"/>
      <c r="BN195" s="283"/>
      <c r="BO195" s="283"/>
      <c r="BP195" s="282"/>
      <c r="BQ195" s="266"/>
      <c r="BR195" s="266"/>
      <c r="BS195" s="270"/>
    </row>
    <row r="196" spans="1:71">
      <c r="A196" s="251"/>
      <c r="B196" s="251"/>
      <c r="C196" s="251"/>
      <c r="D196" s="251"/>
      <c r="E196" s="582"/>
      <c r="F196" s="583"/>
      <c r="G196" s="583"/>
      <c r="H196" s="584"/>
      <c r="I196" s="573"/>
      <c r="J196" s="574"/>
      <c r="K196" s="574"/>
      <c r="L196" s="575"/>
      <c r="M196" s="573"/>
      <c r="N196" s="574"/>
      <c r="O196" s="574"/>
      <c r="P196" s="575"/>
      <c r="Q196" s="573"/>
      <c r="R196" s="574"/>
      <c r="S196" s="574"/>
      <c r="T196" s="575"/>
      <c r="U196" s="573"/>
      <c r="V196" s="574"/>
      <c r="W196" s="574"/>
      <c r="X196" s="575"/>
      <c r="Y196" s="573"/>
      <c r="Z196" s="574"/>
      <c r="AA196" s="574"/>
      <c r="AB196" s="575"/>
      <c r="AC196" s="258"/>
      <c r="AD196" s="259"/>
      <c r="AE196" s="259"/>
      <c r="AF196" s="260"/>
      <c r="AG196" s="258"/>
      <c r="AH196" s="259"/>
      <c r="AI196" s="259"/>
      <c r="AJ196" s="260"/>
      <c r="AK196" s="258"/>
      <c r="AL196" s="259"/>
      <c r="AM196" s="259"/>
      <c r="AN196" s="260"/>
      <c r="AO196" s="258"/>
      <c r="AP196" s="259"/>
      <c r="AQ196" s="259"/>
      <c r="AR196" s="260"/>
      <c r="AS196" s="258"/>
      <c r="AT196" s="259"/>
      <c r="AU196" s="259"/>
      <c r="AV196" s="260"/>
      <c r="AW196" s="258"/>
      <c r="AX196" s="259"/>
      <c r="AY196" s="259"/>
      <c r="AZ196" s="260"/>
      <c r="BG196" s="243"/>
      <c r="BH196" s="243"/>
      <c r="BI196" s="243"/>
      <c r="BJ196" s="282"/>
      <c r="BK196" s="283"/>
      <c r="BL196" s="283"/>
      <c r="BM196" s="283"/>
      <c r="BN196" s="283"/>
      <c r="BO196" s="283"/>
      <c r="BP196" s="282"/>
      <c r="BQ196" s="266"/>
      <c r="BR196" s="266"/>
      <c r="BS196" s="270"/>
    </row>
    <row r="197" spans="1:71">
      <c r="A197" s="251"/>
      <c r="B197" s="251"/>
      <c r="C197" s="251"/>
      <c r="D197" s="251"/>
      <c r="E197" s="576"/>
      <c r="F197" s="577"/>
      <c r="G197" s="577"/>
      <c r="H197" s="578"/>
      <c r="I197" s="579"/>
      <c r="J197" s="580"/>
      <c r="K197" s="580"/>
      <c r="L197" s="581"/>
      <c r="M197" s="579"/>
      <c r="N197" s="580"/>
      <c r="O197" s="580"/>
      <c r="P197" s="581"/>
      <c r="Q197" s="579"/>
      <c r="R197" s="580"/>
      <c r="S197" s="580"/>
      <c r="T197" s="581"/>
      <c r="U197" s="579"/>
      <c r="V197" s="580"/>
      <c r="W197" s="580"/>
      <c r="X197" s="581"/>
      <c r="Y197" s="579"/>
      <c r="Z197" s="580"/>
      <c r="AA197" s="580"/>
      <c r="AB197" s="581"/>
      <c r="AC197" s="258"/>
      <c r="AD197" s="259"/>
      <c r="AE197" s="259"/>
      <c r="AF197" s="260"/>
      <c r="AG197" s="258"/>
      <c r="AH197" s="259"/>
      <c r="AI197" s="259"/>
      <c r="AJ197" s="260"/>
      <c r="AK197" s="258"/>
      <c r="AL197" s="259"/>
      <c r="AM197" s="259"/>
      <c r="AN197" s="260"/>
      <c r="AO197" s="258"/>
      <c r="AP197" s="259"/>
      <c r="AQ197" s="259"/>
      <c r="AR197" s="260"/>
      <c r="AS197" s="258"/>
      <c r="AT197" s="259"/>
      <c r="AU197" s="259"/>
      <c r="AV197" s="260"/>
      <c r="AW197" s="258"/>
      <c r="AX197" s="259"/>
      <c r="AY197" s="259"/>
      <c r="AZ197" s="260"/>
      <c r="BG197" s="243"/>
      <c r="BH197" s="243"/>
      <c r="BI197" s="243"/>
      <c r="BJ197" s="282"/>
      <c r="BK197" s="283"/>
      <c r="BL197" s="283"/>
      <c r="BM197" s="283"/>
      <c r="BN197" s="283"/>
      <c r="BO197" s="283"/>
      <c r="BP197" s="282"/>
      <c r="BQ197" s="266"/>
      <c r="BR197" s="266"/>
      <c r="BS197" s="270"/>
    </row>
    <row r="198" spans="1:71">
      <c r="A198" s="251"/>
      <c r="B198" s="251"/>
      <c r="C198" s="251"/>
      <c r="D198" s="251"/>
      <c r="E198" s="582"/>
      <c r="F198" s="583"/>
      <c r="G198" s="583"/>
      <c r="H198" s="584"/>
      <c r="I198" s="573"/>
      <c r="J198" s="574"/>
      <c r="K198" s="574"/>
      <c r="L198" s="575"/>
      <c r="M198" s="573"/>
      <c r="N198" s="574"/>
      <c r="O198" s="574"/>
      <c r="P198" s="575"/>
      <c r="Q198" s="573"/>
      <c r="R198" s="574"/>
      <c r="S198" s="574"/>
      <c r="T198" s="575"/>
      <c r="U198" s="573"/>
      <c r="V198" s="574"/>
      <c r="W198" s="574"/>
      <c r="X198" s="575"/>
      <c r="Y198" s="573"/>
      <c r="Z198" s="574"/>
      <c r="AA198" s="574"/>
      <c r="AB198" s="575"/>
      <c r="AC198" s="258"/>
      <c r="AD198" s="259"/>
      <c r="AE198" s="259"/>
      <c r="AF198" s="260"/>
      <c r="AG198" s="258"/>
      <c r="AH198" s="259"/>
      <c r="AI198" s="259"/>
      <c r="AJ198" s="260"/>
      <c r="AK198" s="258"/>
      <c r="AL198" s="259"/>
      <c r="AM198" s="259"/>
      <c r="AN198" s="260"/>
      <c r="AO198" s="258"/>
      <c r="AP198" s="259"/>
      <c r="AQ198" s="259"/>
      <c r="AR198" s="260"/>
      <c r="AS198" s="258"/>
      <c r="AT198" s="259"/>
      <c r="AU198" s="259"/>
      <c r="AV198" s="260"/>
      <c r="AW198" s="258"/>
      <c r="AX198" s="259"/>
      <c r="AY198" s="259"/>
      <c r="AZ198" s="260"/>
      <c r="BG198" s="243"/>
      <c r="BH198" s="243"/>
      <c r="BI198" s="243"/>
      <c r="BJ198" s="282"/>
      <c r="BK198" s="283"/>
      <c r="BL198" s="283"/>
      <c r="BM198" s="283"/>
      <c r="BN198" s="283"/>
      <c r="BO198" s="283"/>
      <c r="BP198" s="282"/>
      <c r="BQ198" s="266"/>
      <c r="BR198" s="266"/>
      <c r="BS198" s="270"/>
    </row>
    <row r="199" spans="1:71">
      <c r="A199" s="251"/>
      <c r="B199" s="251"/>
      <c r="C199" s="251"/>
      <c r="D199" s="251"/>
      <c r="E199" s="576"/>
      <c r="F199" s="577"/>
      <c r="G199" s="577"/>
      <c r="H199" s="578"/>
      <c r="I199" s="579"/>
      <c r="J199" s="580"/>
      <c r="K199" s="580"/>
      <c r="L199" s="581"/>
      <c r="M199" s="579"/>
      <c r="N199" s="580"/>
      <c r="O199" s="580"/>
      <c r="P199" s="581"/>
      <c r="Q199" s="579"/>
      <c r="R199" s="580"/>
      <c r="S199" s="580"/>
      <c r="T199" s="581"/>
      <c r="U199" s="579"/>
      <c r="V199" s="580"/>
      <c r="W199" s="580"/>
      <c r="X199" s="581"/>
      <c r="Y199" s="579"/>
      <c r="Z199" s="580"/>
      <c r="AA199" s="580"/>
      <c r="AB199" s="581"/>
      <c r="AC199" s="258"/>
      <c r="AD199" s="259"/>
      <c r="AE199" s="259"/>
      <c r="AF199" s="260"/>
      <c r="AG199" s="258"/>
      <c r="AH199" s="259"/>
      <c r="AI199" s="259"/>
      <c r="AJ199" s="260"/>
      <c r="AK199" s="258"/>
      <c r="AL199" s="259"/>
      <c r="AM199" s="259"/>
      <c r="AN199" s="260"/>
      <c r="AO199" s="258"/>
      <c r="AP199" s="259"/>
      <c r="AQ199" s="259"/>
      <c r="AR199" s="260"/>
      <c r="AS199" s="258"/>
      <c r="AT199" s="259"/>
      <c r="AU199" s="259"/>
      <c r="AV199" s="260"/>
      <c r="AW199" s="258"/>
      <c r="AX199" s="259"/>
      <c r="AY199" s="259"/>
      <c r="AZ199" s="260"/>
      <c r="BG199" s="243"/>
      <c r="BH199" s="243"/>
      <c r="BI199" s="243"/>
      <c r="BJ199" s="282"/>
      <c r="BK199" s="283"/>
      <c r="BL199" s="283"/>
      <c r="BM199" s="283"/>
      <c r="BN199" s="283"/>
      <c r="BO199" s="283"/>
      <c r="BP199" s="282"/>
      <c r="BQ199" s="266"/>
      <c r="BR199" s="266"/>
      <c r="BS199" s="270"/>
    </row>
    <row r="200" spans="1:71">
      <c r="A200" s="251"/>
      <c r="B200" s="251"/>
      <c r="C200" s="251"/>
      <c r="D200" s="251"/>
      <c r="E200" s="582"/>
      <c r="F200" s="583"/>
      <c r="G200" s="583"/>
      <c r="H200" s="584"/>
      <c r="I200" s="573"/>
      <c r="J200" s="574"/>
      <c r="K200" s="574"/>
      <c r="L200" s="575"/>
      <c r="M200" s="573"/>
      <c r="N200" s="574"/>
      <c r="O200" s="574"/>
      <c r="P200" s="575"/>
      <c r="Q200" s="573"/>
      <c r="R200" s="574"/>
      <c r="S200" s="574"/>
      <c r="T200" s="575"/>
      <c r="U200" s="573"/>
      <c r="V200" s="574"/>
      <c r="W200" s="574"/>
      <c r="X200" s="575"/>
      <c r="Y200" s="573"/>
      <c r="Z200" s="574"/>
      <c r="AA200" s="574"/>
      <c r="AB200" s="575"/>
      <c r="AC200" s="258"/>
      <c r="AD200" s="259"/>
      <c r="AE200" s="259"/>
      <c r="AF200" s="260"/>
      <c r="AG200" s="258"/>
      <c r="AH200" s="259"/>
      <c r="AI200" s="259"/>
      <c r="AJ200" s="260"/>
      <c r="AK200" s="258"/>
      <c r="AL200" s="259"/>
      <c r="AM200" s="259"/>
      <c r="AN200" s="260"/>
      <c r="AO200" s="258"/>
      <c r="AP200" s="259"/>
      <c r="AQ200" s="259"/>
      <c r="AR200" s="260"/>
      <c r="AS200" s="258"/>
      <c r="AT200" s="259"/>
      <c r="AU200" s="259"/>
      <c r="AV200" s="260"/>
      <c r="AW200" s="258"/>
      <c r="AX200" s="259"/>
      <c r="AY200" s="259"/>
      <c r="AZ200" s="260"/>
      <c r="BG200" s="243"/>
      <c r="BH200" s="243"/>
      <c r="BI200" s="243"/>
      <c r="BJ200" s="282"/>
      <c r="BK200" s="283"/>
      <c r="BL200" s="283"/>
      <c r="BM200" s="283"/>
      <c r="BN200" s="283"/>
      <c r="BO200" s="283"/>
      <c r="BP200" s="282"/>
      <c r="BQ200" s="266"/>
      <c r="BR200" s="266"/>
      <c r="BS200" s="270"/>
    </row>
    <row r="201" spans="1:71">
      <c r="A201" s="251"/>
      <c r="B201" s="251"/>
      <c r="C201" s="251"/>
      <c r="D201" s="251"/>
      <c r="E201" s="576"/>
      <c r="F201" s="577"/>
      <c r="G201" s="577"/>
      <c r="H201" s="578"/>
      <c r="I201" s="579"/>
      <c r="J201" s="580"/>
      <c r="K201" s="580"/>
      <c r="L201" s="581"/>
      <c r="M201" s="579"/>
      <c r="N201" s="580"/>
      <c r="O201" s="580"/>
      <c r="P201" s="581"/>
      <c r="Q201" s="579"/>
      <c r="R201" s="580"/>
      <c r="S201" s="580"/>
      <c r="T201" s="581"/>
      <c r="U201" s="579"/>
      <c r="V201" s="580"/>
      <c r="W201" s="580"/>
      <c r="X201" s="581"/>
      <c r="Y201" s="579"/>
      <c r="Z201" s="580"/>
      <c r="AA201" s="580"/>
      <c r="AB201" s="581"/>
      <c r="AC201" s="258"/>
      <c r="AD201" s="259"/>
      <c r="AE201" s="259"/>
      <c r="AF201" s="260"/>
      <c r="AG201" s="258"/>
      <c r="AH201" s="259"/>
      <c r="AI201" s="259"/>
      <c r="AJ201" s="260"/>
      <c r="AK201" s="258"/>
      <c r="AL201" s="259"/>
      <c r="AM201" s="259"/>
      <c r="AN201" s="260"/>
      <c r="AO201" s="258"/>
      <c r="AP201" s="259"/>
      <c r="AQ201" s="259"/>
      <c r="AR201" s="260"/>
      <c r="AS201" s="258"/>
      <c r="AT201" s="259"/>
      <c r="AU201" s="259"/>
      <c r="AV201" s="260"/>
      <c r="AW201" s="258"/>
      <c r="AX201" s="259"/>
      <c r="AY201" s="259"/>
      <c r="AZ201" s="260"/>
      <c r="BG201" s="243"/>
      <c r="BH201" s="243"/>
      <c r="BI201" s="243"/>
      <c r="BJ201" s="282"/>
      <c r="BK201" s="283"/>
      <c r="BL201" s="283"/>
      <c r="BM201" s="283"/>
      <c r="BN201" s="283"/>
      <c r="BO201" s="283"/>
      <c r="BP201" s="282"/>
      <c r="BQ201" s="266"/>
      <c r="BR201" s="266"/>
      <c r="BS201" s="270"/>
    </row>
    <row r="202" spans="1:71">
      <c r="A202" s="251"/>
      <c r="B202" s="251"/>
      <c r="C202" s="251"/>
      <c r="D202" s="251"/>
      <c r="E202" s="582"/>
      <c r="F202" s="583"/>
      <c r="G202" s="583"/>
      <c r="H202" s="584"/>
      <c r="I202" s="573"/>
      <c r="J202" s="574"/>
      <c r="K202" s="574"/>
      <c r="L202" s="575"/>
      <c r="M202" s="573"/>
      <c r="N202" s="574"/>
      <c r="O202" s="574"/>
      <c r="P202" s="575"/>
      <c r="Q202" s="573"/>
      <c r="R202" s="574"/>
      <c r="S202" s="574"/>
      <c r="T202" s="575"/>
      <c r="U202" s="573"/>
      <c r="V202" s="574"/>
      <c r="W202" s="574"/>
      <c r="X202" s="575"/>
      <c r="Y202" s="573"/>
      <c r="Z202" s="574"/>
      <c r="AA202" s="574"/>
      <c r="AB202" s="575"/>
      <c r="AC202" s="258"/>
      <c r="AD202" s="259"/>
      <c r="AE202" s="259"/>
      <c r="AF202" s="260"/>
      <c r="AG202" s="258"/>
      <c r="AH202" s="259"/>
      <c r="AI202" s="259"/>
      <c r="AJ202" s="260"/>
      <c r="AK202" s="258"/>
      <c r="AL202" s="259"/>
      <c r="AM202" s="259"/>
      <c r="AN202" s="260"/>
      <c r="AO202" s="258"/>
      <c r="AP202" s="259"/>
      <c r="AQ202" s="259"/>
      <c r="AR202" s="260"/>
      <c r="AS202" s="258"/>
      <c r="AT202" s="259"/>
      <c r="AU202" s="259"/>
      <c r="AV202" s="260"/>
      <c r="AW202" s="258"/>
      <c r="AX202" s="259"/>
      <c r="AY202" s="259"/>
      <c r="AZ202" s="260"/>
      <c r="BG202" s="243"/>
      <c r="BH202" s="243"/>
      <c r="BI202" s="243"/>
      <c r="BJ202" s="282"/>
      <c r="BK202" s="283"/>
      <c r="BL202" s="283"/>
      <c r="BM202" s="283"/>
      <c r="BN202" s="283"/>
      <c r="BO202" s="283"/>
      <c r="BP202" s="282"/>
      <c r="BQ202" s="266"/>
      <c r="BR202" s="266"/>
      <c r="BS202" s="270"/>
    </row>
    <row r="203" spans="1:71">
      <c r="A203" s="251"/>
      <c r="B203" s="251"/>
      <c r="C203" s="251"/>
      <c r="D203" s="251"/>
      <c r="E203" s="576"/>
      <c r="F203" s="577"/>
      <c r="G203" s="577"/>
      <c r="H203" s="578"/>
      <c r="I203" s="579"/>
      <c r="J203" s="580"/>
      <c r="K203" s="580"/>
      <c r="L203" s="581"/>
      <c r="M203" s="579"/>
      <c r="N203" s="580"/>
      <c r="O203" s="580"/>
      <c r="P203" s="581"/>
      <c r="Q203" s="579"/>
      <c r="R203" s="580"/>
      <c r="S203" s="580"/>
      <c r="T203" s="581"/>
      <c r="U203" s="579"/>
      <c r="V203" s="580"/>
      <c r="W203" s="580"/>
      <c r="X203" s="581"/>
      <c r="Y203" s="579"/>
      <c r="Z203" s="580"/>
      <c r="AA203" s="580"/>
      <c r="AB203" s="581"/>
      <c r="AC203" s="258"/>
      <c r="AD203" s="259"/>
      <c r="AE203" s="259"/>
      <c r="AF203" s="260"/>
      <c r="AG203" s="258"/>
      <c r="AH203" s="259"/>
      <c r="AI203" s="259"/>
      <c r="AJ203" s="260"/>
      <c r="AK203" s="258"/>
      <c r="AL203" s="259"/>
      <c r="AM203" s="259"/>
      <c r="AN203" s="260"/>
      <c r="AO203" s="258"/>
      <c r="AP203" s="259"/>
      <c r="AQ203" s="259"/>
      <c r="AR203" s="260"/>
      <c r="AS203" s="258"/>
      <c r="AT203" s="259"/>
      <c r="AU203" s="259"/>
      <c r="AV203" s="260"/>
      <c r="AW203" s="258"/>
      <c r="AX203" s="259"/>
      <c r="AY203" s="259"/>
      <c r="AZ203" s="260"/>
      <c r="BG203" s="243"/>
      <c r="BH203" s="243"/>
      <c r="BI203" s="243"/>
      <c r="BJ203" s="282"/>
      <c r="BK203" s="283"/>
      <c r="BL203" s="283"/>
      <c r="BM203" s="283"/>
      <c r="BN203" s="283"/>
      <c r="BO203" s="283"/>
      <c r="BP203" s="282"/>
      <c r="BQ203" s="266"/>
      <c r="BR203" s="266"/>
      <c r="BS203" s="270"/>
    </row>
    <row r="204" spans="1:71">
      <c r="A204" s="251"/>
      <c r="B204" s="251"/>
      <c r="C204" s="251"/>
      <c r="D204" s="251"/>
      <c r="E204" s="582"/>
      <c r="F204" s="583"/>
      <c r="G204" s="583"/>
      <c r="H204" s="584"/>
      <c r="I204" s="573"/>
      <c r="J204" s="574"/>
      <c r="K204" s="574"/>
      <c r="L204" s="575"/>
      <c r="M204" s="573"/>
      <c r="N204" s="574"/>
      <c r="O204" s="574"/>
      <c r="P204" s="575"/>
      <c r="Q204" s="573"/>
      <c r="R204" s="574"/>
      <c r="S204" s="574"/>
      <c r="T204" s="575"/>
      <c r="U204" s="573"/>
      <c r="V204" s="574"/>
      <c r="W204" s="574"/>
      <c r="X204" s="575"/>
      <c r="Y204" s="573"/>
      <c r="Z204" s="574"/>
      <c r="AA204" s="574"/>
      <c r="AB204" s="575"/>
      <c r="AC204" s="258"/>
      <c r="AD204" s="259"/>
      <c r="AE204" s="259"/>
      <c r="AF204" s="260"/>
      <c r="AG204" s="258"/>
      <c r="AH204" s="259"/>
      <c r="AI204" s="259"/>
      <c r="AJ204" s="260"/>
      <c r="AK204" s="258"/>
      <c r="AL204" s="259"/>
      <c r="AM204" s="259"/>
      <c r="AN204" s="260"/>
      <c r="AO204" s="258"/>
      <c r="AP204" s="259"/>
      <c r="AQ204" s="259"/>
      <c r="AR204" s="260"/>
      <c r="AS204" s="258"/>
      <c r="AT204" s="259"/>
      <c r="AU204" s="259"/>
      <c r="AV204" s="260"/>
      <c r="AW204" s="258"/>
      <c r="AX204" s="259"/>
      <c r="AY204" s="259"/>
      <c r="AZ204" s="260"/>
      <c r="BG204" s="243"/>
      <c r="BH204" s="243"/>
      <c r="BI204" s="243"/>
      <c r="BJ204" s="282"/>
      <c r="BK204" s="283"/>
      <c r="BL204" s="283"/>
      <c r="BM204" s="283"/>
      <c r="BN204" s="283"/>
      <c r="BO204" s="283"/>
      <c r="BP204" s="282"/>
      <c r="BQ204" s="266"/>
      <c r="BR204" s="266"/>
      <c r="BS204" s="270"/>
    </row>
    <row r="205" spans="1:71">
      <c r="A205" s="251"/>
      <c r="B205" s="251"/>
      <c r="C205" s="251"/>
      <c r="D205" s="251"/>
      <c r="E205" s="576"/>
      <c r="F205" s="577"/>
      <c r="G205" s="577"/>
      <c r="H205" s="578"/>
      <c r="I205" s="579"/>
      <c r="J205" s="580"/>
      <c r="K205" s="580"/>
      <c r="L205" s="581"/>
      <c r="M205" s="579"/>
      <c r="N205" s="580"/>
      <c r="O205" s="580"/>
      <c r="P205" s="581"/>
      <c r="Q205" s="579"/>
      <c r="R205" s="580"/>
      <c r="S205" s="580"/>
      <c r="T205" s="581"/>
      <c r="U205" s="579"/>
      <c r="V205" s="580"/>
      <c r="W205" s="580"/>
      <c r="X205" s="581"/>
      <c r="Y205" s="579"/>
      <c r="Z205" s="580"/>
      <c r="AA205" s="580"/>
      <c r="AB205" s="581"/>
      <c r="AC205" s="258"/>
      <c r="AD205" s="259"/>
      <c r="AE205" s="259"/>
      <c r="AF205" s="260"/>
      <c r="AG205" s="258"/>
      <c r="AH205" s="259"/>
      <c r="AI205" s="259"/>
      <c r="AJ205" s="260"/>
      <c r="AK205" s="258"/>
      <c r="AL205" s="259"/>
      <c r="AM205" s="259"/>
      <c r="AN205" s="260"/>
      <c r="AO205" s="258"/>
      <c r="AP205" s="259"/>
      <c r="AQ205" s="259"/>
      <c r="AR205" s="260"/>
      <c r="AS205" s="258"/>
      <c r="AT205" s="259"/>
      <c r="AU205" s="259"/>
      <c r="AV205" s="260"/>
      <c r="AW205" s="258"/>
      <c r="AX205" s="259"/>
      <c r="AY205" s="259"/>
      <c r="AZ205" s="260"/>
      <c r="BG205" s="243"/>
      <c r="BH205" s="243"/>
      <c r="BI205" s="243"/>
      <c r="BJ205" s="282"/>
      <c r="BK205" s="283"/>
      <c r="BL205" s="283"/>
      <c r="BM205" s="283"/>
      <c r="BN205" s="283"/>
      <c r="BO205" s="283"/>
      <c r="BP205" s="282"/>
      <c r="BQ205" s="266"/>
      <c r="BR205" s="266"/>
      <c r="BS205" s="270"/>
    </row>
    <row r="206" spans="1:71">
      <c r="A206" s="251"/>
      <c r="B206" s="251"/>
      <c r="C206" s="251"/>
      <c r="D206" s="251"/>
      <c r="E206" s="582"/>
      <c r="F206" s="583"/>
      <c r="G206" s="583"/>
      <c r="H206" s="584"/>
      <c r="I206" s="573"/>
      <c r="J206" s="574"/>
      <c r="K206" s="574"/>
      <c r="L206" s="575"/>
      <c r="M206" s="573"/>
      <c r="N206" s="574"/>
      <c r="O206" s="574"/>
      <c r="P206" s="575"/>
      <c r="Q206" s="573"/>
      <c r="R206" s="574"/>
      <c r="S206" s="574"/>
      <c r="T206" s="575"/>
      <c r="U206" s="573"/>
      <c r="V206" s="574"/>
      <c r="W206" s="574"/>
      <c r="X206" s="575"/>
      <c r="Y206" s="573"/>
      <c r="Z206" s="574"/>
      <c r="AA206" s="574"/>
      <c r="AB206" s="575"/>
      <c r="AC206" s="258"/>
      <c r="AD206" s="259"/>
      <c r="AE206" s="259"/>
      <c r="AF206" s="260"/>
      <c r="AG206" s="258"/>
      <c r="AH206" s="259"/>
      <c r="AI206" s="259"/>
      <c r="AJ206" s="260"/>
      <c r="AK206" s="258"/>
      <c r="AL206" s="259"/>
      <c r="AM206" s="259"/>
      <c r="AN206" s="260"/>
      <c r="AO206" s="258"/>
      <c r="AP206" s="259"/>
      <c r="AQ206" s="259"/>
      <c r="AR206" s="260"/>
      <c r="AS206" s="258"/>
      <c r="AT206" s="259"/>
      <c r="AU206" s="259"/>
      <c r="AV206" s="260"/>
      <c r="AW206" s="258"/>
      <c r="AX206" s="259"/>
      <c r="AY206" s="259"/>
      <c r="AZ206" s="260"/>
      <c r="BG206" s="243"/>
      <c r="BH206" s="243"/>
      <c r="BI206" s="243"/>
      <c r="BJ206" s="282"/>
      <c r="BK206" s="283"/>
      <c r="BL206" s="283"/>
      <c r="BM206" s="283"/>
      <c r="BN206" s="283"/>
      <c r="BO206" s="283"/>
      <c r="BP206" s="282"/>
      <c r="BQ206" s="266"/>
      <c r="BR206" s="266"/>
      <c r="BS206" s="270"/>
    </row>
    <row r="207" spans="1:71">
      <c r="A207" s="251"/>
      <c r="B207" s="251"/>
      <c r="C207" s="251"/>
      <c r="D207" s="251"/>
      <c r="E207" s="576"/>
      <c r="F207" s="577"/>
      <c r="G207" s="577"/>
      <c r="H207" s="578"/>
      <c r="I207" s="579"/>
      <c r="J207" s="580"/>
      <c r="K207" s="580"/>
      <c r="L207" s="581"/>
      <c r="M207" s="579"/>
      <c r="N207" s="580"/>
      <c r="O207" s="580"/>
      <c r="P207" s="581"/>
      <c r="Q207" s="579"/>
      <c r="R207" s="580"/>
      <c r="S207" s="580"/>
      <c r="T207" s="581"/>
      <c r="U207" s="579"/>
      <c r="V207" s="580"/>
      <c r="W207" s="580"/>
      <c r="X207" s="581"/>
      <c r="Y207" s="579"/>
      <c r="Z207" s="580"/>
      <c r="AA207" s="580"/>
      <c r="AB207" s="581"/>
      <c r="AC207" s="258"/>
      <c r="AD207" s="259"/>
      <c r="AE207" s="259"/>
      <c r="AF207" s="260"/>
      <c r="AG207" s="258"/>
      <c r="AH207" s="259"/>
      <c r="AI207" s="259"/>
      <c r="AJ207" s="260"/>
      <c r="AK207" s="258"/>
      <c r="AL207" s="259"/>
      <c r="AM207" s="259"/>
      <c r="AN207" s="260"/>
      <c r="AO207" s="258"/>
      <c r="AP207" s="259"/>
      <c r="AQ207" s="259"/>
      <c r="AR207" s="260"/>
      <c r="AS207" s="258"/>
      <c r="AT207" s="259"/>
      <c r="AU207" s="259"/>
      <c r="AV207" s="260"/>
      <c r="AW207" s="258"/>
      <c r="AX207" s="259"/>
      <c r="AY207" s="259"/>
      <c r="AZ207" s="260"/>
      <c r="BG207" s="243"/>
      <c r="BH207" s="243"/>
      <c r="BI207" s="243"/>
      <c r="BJ207" s="282"/>
      <c r="BK207" s="283"/>
      <c r="BL207" s="283"/>
      <c r="BM207" s="283"/>
      <c r="BN207" s="283"/>
      <c r="BO207" s="283"/>
      <c r="BP207" s="282"/>
      <c r="BQ207" s="266"/>
      <c r="BR207" s="266"/>
      <c r="BS207" s="270"/>
    </row>
    <row r="208" spans="1:71">
      <c r="A208" s="251"/>
      <c r="B208" s="251"/>
      <c r="C208" s="251"/>
      <c r="D208" s="251"/>
      <c r="E208" s="582"/>
      <c r="F208" s="583"/>
      <c r="G208" s="583"/>
      <c r="H208" s="584"/>
      <c r="I208" s="573"/>
      <c r="J208" s="574"/>
      <c r="K208" s="574"/>
      <c r="L208" s="575"/>
      <c r="M208" s="573"/>
      <c r="N208" s="574"/>
      <c r="O208" s="574"/>
      <c r="P208" s="575"/>
      <c r="Q208" s="573"/>
      <c r="R208" s="574"/>
      <c r="S208" s="574"/>
      <c r="T208" s="575"/>
      <c r="U208" s="573"/>
      <c r="V208" s="574"/>
      <c r="W208" s="574"/>
      <c r="X208" s="575"/>
      <c r="Y208" s="573"/>
      <c r="Z208" s="574"/>
      <c r="AA208" s="574"/>
      <c r="AB208" s="575"/>
      <c r="AC208" s="258"/>
      <c r="AD208" s="259"/>
      <c r="AE208" s="259"/>
      <c r="AF208" s="260"/>
      <c r="AG208" s="258"/>
      <c r="AH208" s="259"/>
      <c r="AI208" s="259"/>
      <c r="AJ208" s="260"/>
      <c r="AK208" s="258"/>
      <c r="AL208" s="259"/>
      <c r="AM208" s="259"/>
      <c r="AN208" s="260"/>
      <c r="AO208" s="258"/>
      <c r="AP208" s="259"/>
      <c r="AQ208" s="259"/>
      <c r="AR208" s="260"/>
      <c r="AS208" s="258"/>
      <c r="AT208" s="259"/>
      <c r="AU208" s="259"/>
      <c r="AV208" s="260"/>
      <c r="AW208" s="258"/>
      <c r="AX208" s="259"/>
      <c r="AY208" s="259"/>
      <c r="AZ208" s="260"/>
      <c r="BG208" s="243"/>
      <c r="BH208" s="243"/>
      <c r="BI208" s="243"/>
      <c r="BJ208" s="282"/>
      <c r="BK208" s="283"/>
      <c r="BL208" s="283"/>
      <c r="BM208" s="283"/>
      <c r="BN208" s="283"/>
      <c r="BO208" s="283"/>
      <c r="BP208" s="282"/>
      <c r="BQ208" s="266"/>
      <c r="BR208" s="266"/>
      <c r="BS208" s="270"/>
    </row>
    <row r="209" spans="1:71">
      <c r="A209" s="251"/>
      <c r="B209" s="251"/>
      <c r="C209" s="251"/>
      <c r="D209" s="251"/>
      <c r="E209" s="576"/>
      <c r="F209" s="577"/>
      <c r="G209" s="577"/>
      <c r="H209" s="578"/>
      <c r="I209" s="579"/>
      <c r="J209" s="580"/>
      <c r="K209" s="580"/>
      <c r="L209" s="581"/>
      <c r="M209" s="579"/>
      <c r="N209" s="580"/>
      <c r="O209" s="580"/>
      <c r="P209" s="581"/>
      <c r="Q209" s="579"/>
      <c r="R209" s="580"/>
      <c r="S209" s="580"/>
      <c r="T209" s="581"/>
      <c r="U209" s="579"/>
      <c r="V209" s="580"/>
      <c r="W209" s="580"/>
      <c r="X209" s="581"/>
      <c r="Y209" s="579"/>
      <c r="Z209" s="580"/>
      <c r="AA209" s="580"/>
      <c r="AB209" s="581"/>
      <c r="AC209" s="258"/>
      <c r="AD209" s="259"/>
      <c r="AE209" s="259"/>
      <c r="AF209" s="260"/>
      <c r="AG209" s="258"/>
      <c r="AH209" s="259"/>
      <c r="AI209" s="259"/>
      <c r="AJ209" s="260"/>
      <c r="AK209" s="258"/>
      <c r="AL209" s="259"/>
      <c r="AM209" s="259"/>
      <c r="AN209" s="260"/>
      <c r="AO209" s="258"/>
      <c r="AP209" s="259"/>
      <c r="AQ209" s="259"/>
      <c r="AR209" s="260"/>
      <c r="AS209" s="258"/>
      <c r="AT209" s="259"/>
      <c r="AU209" s="259"/>
      <c r="AV209" s="260"/>
      <c r="AW209" s="258"/>
      <c r="AX209" s="259"/>
      <c r="AY209" s="259"/>
      <c r="AZ209" s="260"/>
      <c r="BG209" s="243"/>
      <c r="BH209" s="243"/>
      <c r="BI209" s="243"/>
      <c r="BJ209" s="282"/>
      <c r="BK209" s="283"/>
      <c r="BL209" s="283"/>
      <c r="BM209" s="283"/>
      <c r="BN209" s="283"/>
      <c r="BO209" s="283"/>
      <c r="BP209" s="282"/>
      <c r="BQ209" s="266"/>
      <c r="BR209" s="266"/>
      <c r="BS209" s="270"/>
    </row>
    <row r="210" spans="1:71">
      <c r="A210" s="251"/>
      <c r="B210" s="251"/>
      <c r="C210" s="251"/>
      <c r="D210" s="251"/>
      <c r="E210" s="582"/>
      <c r="F210" s="583"/>
      <c r="G210" s="583"/>
      <c r="H210" s="584"/>
      <c r="I210" s="573"/>
      <c r="J210" s="574"/>
      <c r="K210" s="574"/>
      <c r="L210" s="575"/>
      <c r="M210" s="573"/>
      <c r="N210" s="574"/>
      <c r="O210" s="574"/>
      <c r="P210" s="575"/>
      <c r="Q210" s="573"/>
      <c r="R210" s="574"/>
      <c r="S210" s="574"/>
      <c r="T210" s="575"/>
      <c r="U210" s="573"/>
      <c r="V210" s="574"/>
      <c r="W210" s="574"/>
      <c r="X210" s="575"/>
      <c r="Y210" s="573"/>
      <c r="Z210" s="574"/>
      <c r="AA210" s="574"/>
      <c r="AB210" s="575"/>
      <c r="AC210" s="258"/>
      <c r="AD210" s="259"/>
      <c r="AE210" s="259"/>
      <c r="AF210" s="260"/>
      <c r="AG210" s="258"/>
      <c r="AH210" s="259"/>
      <c r="AI210" s="259"/>
      <c r="AJ210" s="260"/>
      <c r="AK210" s="258"/>
      <c r="AL210" s="259"/>
      <c r="AM210" s="259"/>
      <c r="AN210" s="260"/>
      <c r="AO210" s="258"/>
      <c r="AP210" s="259"/>
      <c r="AQ210" s="259"/>
      <c r="AR210" s="260"/>
      <c r="AS210" s="258"/>
      <c r="AT210" s="259"/>
      <c r="AU210" s="259"/>
      <c r="AV210" s="260"/>
      <c r="AW210" s="258"/>
      <c r="AX210" s="259"/>
      <c r="AY210" s="259"/>
      <c r="AZ210" s="260"/>
      <c r="BG210" s="243"/>
      <c r="BH210" s="243"/>
      <c r="BI210" s="243"/>
      <c r="BJ210" s="282"/>
      <c r="BK210" s="283"/>
      <c r="BL210" s="283"/>
      <c r="BM210" s="283"/>
      <c r="BN210" s="283"/>
      <c r="BO210" s="283"/>
      <c r="BP210" s="282"/>
      <c r="BQ210" s="266"/>
      <c r="BR210" s="266"/>
      <c r="BS210" s="270"/>
    </row>
    <row r="211" spans="1:71">
      <c r="A211" s="251"/>
      <c r="B211" s="251"/>
      <c r="C211" s="251"/>
      <c r="D211" s="251"/>
      <c r="E211" s="576"/>
      <c r="F211" s="577"/>
      <c r="G211" s="577"/>
      <c r="H211" s="578"/>
      <c r="I211" s="579"/>
      <c r="J211" s="580"/>
      <c r="K211" s="580"/>
      <c r="L211" s="581"/>
      <c r="M211" s="579"/>
      <c r="N211" s="580"/>
      <c r="O211" s="580"/>
      <c r="P211" s="581"/>
      <c r="Q211" s="579"/>
      <c r="R211" s="580"/>
      <c r="S211" s="580"/>
      <c r="T211" s="581"/>
      <c r="U211" s="579"/>
      <c r="V211" s="580"/>
      <c r="W211" s="580"/>
      <c r="X211" s="581"/>
      <c r="Y211" s="579"/>
      <c r="Z211" s="580"/>
      <c r="AA211" s="580"/>
      <c r="AB211" s="581"/>
      <c r="AC211" s="258"/>
      <c r="AD211" s="259"/>
      <c r="AE211" s="259"/>
      <c r="AF211" s="260"/>
      <c r="AG211" s="258"/>
      <c r="AH211" s="259"/>
      <c r="AI211" s="259"/>
      <c r="AJ211" s="260"/>
      <c r="AK211" s="258"/>
      <c r="AL211" s="259"/>
      <c r="AM211" s="259"/>
      <c r="AN211" s="260"/>
      <c r="AO211" s="258"/>
      <c r="AP211" s="259"/>
      <c r="AQ211" s="259"/>
      <c r="AR211" s="260"/>
      <c r="AS211" s="258"/>
      <c r="AT211" s="259"/>
      <c r="AU211" s="259"/>
      <c r="AV211" s="260"/>
      <c r="AW211" s="258"/>
      <c r="AX211" s="259"/>
      <c r="AY211" s="259"/>
      <c r="AZ211" s="260"/>
      <c r="BG211" s="243"/>
      <c r="BH211" s="243"/>
      <c r="BI211" s="243"/>
      <c r="BJ211" s="282"/>
      <c r="BK211" s="283"/>
      <c r="BL211" s="283"/>
      <c r="BM211" s="283"/>
      <c r="BN211" s="283"/>
      <c r="BO211" s="283"/>
      <c r="BP211" s="282"/>
      <c r="BQ211" s="266"/>
      <c r="BR211" s="266"/>
      <c r="BS211" s="270"/>
    </row>
    <row r="212" spans="1:71">
      <c r="A212" s="251"/>
      <c r="B212" s="251"/>
      <c r="C212" s="251"/>
      <c r="D212" s="251"/>
      <c r="E212" s="582"/>
      <c r="F212" s="583"/>
      <c r="G212" s="583"/>
      <c r="H212" s="584"/>
      <c r="I212" s="573"/>
      <c r="J212" s="574"/>
      <c r="K212" s="574"/>
      <c r="L212" s="575"/>
      <c r="M212" s="573"/>
      <c r="N212" s="574"/>
      <c r="O212" s="574"/>
      <c r="P212" s="575"/>
      <c r="Q212" s="573"/>
      <c r="R212" s="574"/>
      <c r="S212" s="574"/>
      <c r="T212" s="575"/>
      <c r="U212" s="573"/>
      <c r="V212" s="574"/>
      <c r="W212" s="574"/>
      <c r="X212" s="575"/>
      <c r="Y212" s="573"/>
      <c r="Z212" s="574"/>
      <c r="AA212" s="574"/>
      <c r="AB212" s="575"/>
      <c r="AC212" s="258"/>
      <c r="AD212" s="259"/>
      <c r="AE212" s="259"/>
      <c r="AF212" s="260"/>
      <c r="AG212" s="258"/>
      <c r="AH212" s="259"/>
      <c r="AI212" s="259"/>
      <c r="AJ212" s="260"/>
      <c r="AK212" s="258"/>
      <c r="AL212" s="259"/>
      <c r="AM212" s="259"/>
      <c r="AN212" s="260"/>
      <c r="AO212" s="258"/>
      <c r="AP212" s="259"/>
      <c r="AQ212" s="259"/>
      <c r="AR212" s="260"/>
      <c r="AS212" s="258"/>
      <c r="AT212" s="259"/>
      <c r="AU212" s="259"/>
      <c r="AV212" s="260"/>
      <c r="AW212" s="258"/>
      <c r="AX212" s="259"/>
      <c r="AY212" s="259"/>
      <c r="AZ212" s="260"/>
      <c r="BG212" s="243"/>
      <c r="BH212" s="243"/>
      <c r="BI212" s="243"/>
      <c r="BJ212" s="282"/>
      <c r="BK212" s="283"/>
      <c r="BL212" s="283"/>
      <c r="BM212" s="283"/>
      <c r="BN212" s="283"/>
      <c r="BO212" s="283"/>
      <c r="BP212" s="282"/>
      <c r="BQ212" s="266"/>
      <c r="BR212" s="266"/>
      <c r="BS212" s="270"/>
    </row>
    <row r="213" spans="1:71">
      <c r="A213" s="251"/>
      <c r="B213" s="251"/>
      <c r="C213" s="251"/>
      <c r="D213" s="251"/>
      <c r="E213" s="576"/>
      <c r="F213" s="577"/>
      <c r="G213" s="577"/>
      <c r="H213" s="578"/>
      <c r="I213" s="579"/>
      <c r="J213" s="580"/>
      <c r="K213" s="580"/>
      <c r="L213" s="581"/>
      <c r="M213" s="579"/>
      <c r="N213" s="580"/>
      <c r="O213" s="580"/>
      <c r="P213" s="581"/>
      <c r="Q213" s="579"/>
      <c r="R213" s="580"/>
      <c r="S213" s="580"/>
      <c r="T213" s="581"/>
      <c r="U213" s="579"/>
      <c r="V213" s="580"/>
      <c r="W213" s="580"/>
      <c r="X213" s="581"/>
      <c r="Y213" s="579"/>
      <c r="Z213" s="580"/>
      <c r="AA213" s="580"/>
      <c r="AB213" s="581"/>
      <c r="AC213" s="258"/>
      <c r="AD213" s="259"/>
      <c r="AE213" s="259"/>
      <c r="AF213" s="260"/>
      <c r="AG213" s="258"/>
      <c r="AH213" s="259"/>
      <c r="AI213" s="259"/>
      <c r="AJ213" s="260"/>
      <c r="AK213" s="258"/>
      <c r="AL213" s="259"/>
      <c r="AM213" s="259"/>
      <c r="AN213" s="260"/>
      <c r="AO213" s="258"/>
      <c r="AP213" s="259"/>
      <c r="AQ213" s="259"/>
      <c r="AR213" s="260"/>
      <c r="AS213" s="258"/>
      <c r="AT213" s="259"/>
      <c r="AU213" s="259"/>
      <c r="AV213" s="260"/>
      <c r="AW213" s="258"/>
      <c r="AX213" s="259"/>
      <c r="AY213" s="259"/>
      <c r="AZ213" s="260"/>
      <c r="BG213" s="243"/>
      <c r="BH213" s="243"/>
      <c r="BI213" s="243"/>
      <c r="BJ213" s="282"/>
      <c r="BK213" s="283"/>
      <c r="BL213" s="283"/>
      <c r="BM213" s="283"/>
      <c r="BN213" s="283"/>
      <c r="BO213" s="283"/>
      <c r="BP213" s="282"/>
      <c r="BQ213" s="266"/>
      <c r="BR213" s="266"/>
      <c r="BS213" s="270"/>
    </row>
    <row r="214" spans="1:71">
      <c r="A214" s="251"/>
      <c r="B214" s="251"/>
      <c r="C214" s="251"/>
      <c r="D214" s="251"/>
      <c r="E214" s="582"/>
      <c r="F214" s="583"/>
      <c r="G214" s="583"/>
      <c r="H214" s="584"/>
      <c r="I214" s="573"/>
      <c r="J214" s="574"/>
      <c r="K214" s="574"/>
      <c r="L214" s="575"/>
      <c r="M214" s="573"/>
      <c r="N214" s="574"/>
      <c r="O214" s="574"/>
      <c r="P214" s="575"/>
      <c r="Q214" s="573"/>
      <c r="R214" s="574"/>
      <c r="S214" s="574"/>
      <c r="T214" s="575"/>
      <c r="U214" s="573"/>
      <c r="V214" s="574"/>
      <c r="W214" s="574"/>
      <c r="X214" s="575"/>
      <c r="Y214" s="573"/>
      <c r="Z214" s="574"/>
      <c r="AA214" s="574"/>
      <c r="AB214" s="575"/>
      <c r="AC214" s="258"/>
      <c r="AD214" s="259"/>
      <c r="AE214" s="259"/>
      <c r="AF214" s="260"/>
      <c r="AG214" s="258"/>
      <c r="AH214" s="259"/>
      <c r="AI214" s="259"/>
      <c r="AJ214" s="260"/>
      <c r="AK214" s="258"/>
      <c r="AL214" s="259"/>
      <c r="AM214" s="259"/>
      <c r="AN214" s="260"/>
      <c r="AO214" s="258"/>
      <c r="AP214" s="259"/>
      <c r="AQ214" s="259"/>
      <c r="AR214" s="260"/>
      <c r="AS214" s="258"/>
      <c r="AT214" s="259"/>
      <c r="AU214" s="259"/>
      <c r="AV214" s="260"/>
      <c r="AW214" s="258"/>
      <c r="AX214" s="259"/>
      <c r="AY214" s="259"/>
      <c r="AZ214" s="260"/>
      <c r="BG214" s="243"/>
      <c r="BH214" s="243"/>
      <c r="BI214" s="243"/>
      <c r="BJ214" s="282"/>
      <c r="BK214" s="283"/>
      <c r="BL214" s="283"/>
      <c r="BM214" s="283"/>
      <c r="BN214" s="283"/>
      <c r="BO214" s="283"/>
      <c r="BP214" s="282"/>
      <c r="BQ214" s="266"/>
      <c r="BR214" s="266"/>
      <c r="BS214" s="270"/>
    </row>
    <row r="215" spans="1:71">
      <c r="A215" s="251"/>
      <c r="B215" s="251"/>
      <c r="C215" s="251"/>
      <c r="D215" s="251"/>
      <c r="E215" s="576"/>
      <c r="F215" s="577"/>
      <c r="G215" s="577"/>
      <c r="H215" s="578"/>
      <c r="I215" s="579"/>
      <c r="J215" s="580"/>
      <c r="K215" s="580"/>
      <c r="L215" s="581"/>
      <c r="M215" s="579"/>
      <c r="N215" s="580"/>
      <c r="O215" s="580"/>
      <c r="P215" s="581"/>
      <c r="Q215" s="579"/>
      <c r="R215" s="580"/>
      <c r="S215" s="580"/>
      <c r="T215" s="581"/>
      <c r="U215" s="579"/>
      <c r="V215" s="580"/>
      <c r="W215" s="580"/>
      <c r="X215" s="581"/>
      <c r="Y215" s="579"/>
      <c r="Z215" s="580"/>
      <c r="AA215" s="580"/>
      <c r="AB215" s="581"/>
      <c r="AC215" s="258"/>
      <c r="AD215" s="259"/>
      <c r="AE215" s="259"/>
      <c r="AF215" s="260"/>
      <c r="AG215" s="258"/>
      <c r="AH215" s="259"/>
      <c r="AI215" s="259"/>
      <c r="AJ215" s="260"/>
      <c r="AK215" s="258"/>
      <c r="AL215" s="259"/>
      <c r="AM215" s="259"/>
      <c r="AN215" s="260"/>
      <c r="AO215" s="258"/>
      <c r="AP215" s="259"/>
      <c r="AQ215" s="259"/>
      <c r="AR215" s="260"/>
      <c r="AS215" s="258"/>
      <c r="AT215" s="259"/>
      <c r="AU215" s="259"/>
      <c r="AV215" s="260"/>
      <c r="AW215" s="258"/>
      <c r="AX215" s="259"/>
      <c r="AY215" s="259"/>
      <c r="AZ215" s="260"/>
      <c r="BG215" s="243"/>
      <c r="BH215" s="243"/>
      <c r="BI215" s="243"/>
      <c r="BJ215" s="282"/>
      <c r="BK215" s="283"/>
      <c r="BL215" s="283"/>
      <c r="BM215" s="283"/>
      <c r="BN215" s="283"/>
      <c r="BO215" s="283"/>
      <c r="BP215" s="282"/>
      <c r="BQ215" s="266"/>
      <c r="BR215" s="266"/>
      <c r="BS215" s="270"/>
    </row>
    <row r="216" spans="1:71">
      <c r="A216" s="251"/>
      <c r="B216" s="251"/>
      <c r="C216" s="251"/>
      <c r="D216" s="251"/>
      <c r="E216" s="582"/>
      <c r="F216" s="583"/>
      <c r="G216" s="583"/>
      <c r="H216" s="584"/>
      <c r="I216" s="573"/>
      <c r="J216" s="574"/>
      <c r="K216" s="574"/>
      <c r="L216" s="575"/>
      <c r="M216" s="573"/>
      <c r="N216" s="574"/>
      <c r="O216" s="574"/>
      <c r="P216" s="575"/>
      <c r="Q216" s="573"/>
      <c r="R216" s="574"/>
      <c r="S216" s="574"/>
      <c r="T216" s="575"/>
      <c r="U216" s="573"/>
      <c r="V216" s="574"/>
      <c r="W216" s="574"/>
      <c r="X216" s="575"/>
      <c r="Y216" s="573"/>
      <c r="Z216" s="574"/>
      <c r="AA216" s="574"/>
      <c r="AB216" s="575"/>
      <c r="AC216" s="258"/>
      <c r="AD216" s="259"/>
      <c r="AE216" s="259"/>
      <c r="AF216" s="260"/>
      <c r="AG216" s="258"/>
      <c r="AH216" s="259"/>
      <c r="AI216" s="259"/>
      <c r="AJ216" s="260"/>
      <c r="AK216" s="258"/>
      <c r="AL216" s="259"/>
      <c r="AM216" s="259"/>
      <c r="AN216" s="260"/>
      <c r="AO216" s="258"/>
      <c r="AP216" s="259"/>
      <c r="AQ216" s="259"/>
      <c r="AR216" s="260"/>
      <c r="AS216" s="258"/>
      <c r="AT216" s="259"/>
      <c r="AU216" s="259"/>
      <c r="AV216" s="260"/>
      <c r="AW216" s="258"/>
      <c r="AX216" s="259"/>
      <c r="AY216" s="259"/>
      <c r="AZ216" s="260"/>
      <c r="BG216" s="243"/>
      <c r="BH216" s="243"/>
      <c r="BI216" s="243"/>
      <c r="BJ216" s="282"/>
      <c r="BK216" s="283"/>
      <c r="BL216" s="283"/>
      <c r="BM216" s="283"/>
      <c r="BN216" s="283"/>
      <c r="BO216" s="283"/>
      <c r="BP216" s="282"/>
      <c r="BQ216" s="266"/>
      <c r="BR216" s="266"/>
      <c r="BS216" s="270"/>
    </row>
    <row r="217" spans="1:71">
      <c r="A217" s="251"/>
      <c r="B217" s="251"/>
      <c r="C217" s="251"/>
      <c r="D217" s="251"/>
      <c r="E217" s="576"/>
      <c r="F217" s="577"/>
      <c r="G217" s="577"/>
      <c r="H217" s="578"/>
      <c r="I217" s="579"/>
      <c r="J217" s="580"/>
      <c r="K217" s="580"/>
      <c r="L217" s="581"/>
      <c r="M217" s="579"/>
      <c r="N217" s="580"/>
      <c r="O217" s="580"/>
      <c r="P217" s="581"/>
      <c r="Q217" s="579"/>
      <c r="R217" s="580"/>
      <c r="S217" s="580"/>
      <c r="T217" s="581"/>
      <c r="U217" s="579"/>
      <c r="V217" s="580"/>
      <c r="W217" s="580"/>
      <c r="X217" s="581"/>
      <c r="Y217" s="579"/>
      <c r="Z217" s="580"/>
      <c r="AA217" s="580"/>
      <c r="AB217" s="581"/>
      <c r="AC217" s="258"/>
      <c r="AD217" s="259"/>
      <c r="AE217" s="259"/>
      <c r="AF217" s="260"/>
      <c r="AG217" s="258"/>
      <c r="AH217" s="259"/>
      <c r="AI217" s="259"/>
      <c r="AJ217" s="260"/>
      <c r="AK217" s="258"/>
      <c r="AL217" s="259"/>
      <c r="AM217" s="259"/>
      <c r="AN217" s="260"/>
      <c r="AO217" s="258"/>
      <c r="AP217" s="259"/>
      <c r="AQ217" s="259"/>
      <c r="AR217" s="260"/>
      <c r="AS217" s="258"/>
      <c r="AT217" s="259"/>
      <c r="AU217" s="259"/>
      <c r="AV217" s="260"/>
      <c r="AW217" s="258"/>
      <c r="AX217" s="259"/>
      <c r="AY217" s="259"/>
      <c r="AZ217" s="260"/>
      <c r="BG217" s="243"/>
      <c r="BH217" s="243"/>
      <c r="BI217" s="243"/>
      <c r="BJ217" s="282"/>
      <c r="BK217" s="283"/>
      <c r="BL217" s="283"/>
      <c r="BM217" s="283"/>
      <c r="BN217" s="283"/>
      <c r="BO217" s="283"/>
      <c r="BP217" s="282"/>
      <c r="BQ217" s="266"/>
      <c r="BR217" s="266"/>
      <c r="BS217" s="270"/>
    </row>
    <row r="218" spans="1:71">
      <c r="A218" s="251"/>
      <c r="B218" s="251"/>
      <c r="C218" s="251"/>
      <c r="D218" s="251"/>
      <c r="E218" s="582"/>
      <c r="F218" s="583"/>
      <c r="G218" s="583"/>
      <c r="H218" s="584"/>
      <c r="I218" s="573"/>
      <c r="J218" s="574"/>
      <c r="K218" s="574"/>
      <c r="L218" s="575"/>
      <c r="M218" s="573"/>
      <c r="N218" s="574"/>
      <c r="O218" s="574"/>
      <c r="P218" s="575"/>
      <c r="Q218" s="573"/>
      <c r="R218" s="574"/>
      <c r="S218" s="574"/>
      <c r="T218" s="575"/>
      <c r="U218" s="573"/>
      <c r="V218" s="574"/>
      <c r="W218" s="574"/>
      <c r="X218" s="575"/>
      <c r="Y218" s="573"/>
      <c r="Z218" s="574"/>
      <c r="AA218" s="574"/>
      <c r="AB218" s="575"/>
      <c r="AC218" s="258"/>
      <c r="AD218" s="259"/>
      <c r="AE218" s="259"/>
      <c r="AF218" s="260"/>
      <c r="AG218" s="258"/>
      <c r="AH218" s="259"/>
      <c r="AI218" s="259"/>
      <c r="AJ218" s="260"/>
      <c r="AK218" s="258"/>
      <c r="AL218" s="259"/>
      <c r="AM218" s="259"/>
      <c r="AN218" s="260"/>
      <c r="AO218" s="258"/>
      <c r="AP218" s="259"/>
      <c r="AQ218" s="259"/>
      <c r="AR218" s="260"/>
      <c r="AS218" s="258"/>
      <c r="AT218" s="259"/>
      <c r="AU218" s="259"/>
      <c r="AV218" s="260"/>
      <c r="AW218" s="258"/>
      <c r="AX218" s="259"/>
      <c r="AY218" s="259"/>
      <c r="AZ218" s="260"/>
      <c r="BG218" s="243"/>
      <c r="BH218" s="243"/>
      <c r="BI218" s="243"/>
      <c r="BJ218" s="282"/>
      <c r="BK218" s="283"/>
      <c r="BL218" s="283"/>
      <c r="BM218" s="283"/>
      <c r="BN218" s="283"/>
      <c r="BO218" s="283"/>
      <c r="BP218" s="282"/>
      <c r="BQ218" s="266"/>
      <c r="BR218" s="266"/>
      <c r="BS218" s="270"/>
    </row>
    <row r="219" spans="1:71">
      <c r="A219" s="251"/>
      <c r="B219" s="251"/>
      <c r="C219" s="251"/>
      <c r="D219" s="251"/>
      <c r="E219" s="576"/>
      <c r="F219" s="577"/>
      <c r="G219" s="577"/>
      <c r="H219" s="578"/>
      <c r="I219" s="579"/>
      <c r="J219" s="580"/>
      <c r="K219" s="580"/>
      <c r="L219" s="581"/>
      <c r="M219" s="579"/>
      <c r="N219" s="580"/>
      <c r="O219" s="580"/>
      <c r="P219" s="581"/>
      <c r="Q219" s="579"/>
      <c r="R219" s="580"/>
      <c r="S219" s="580"/>
      <c r="T219" s="581"/>
      <c r="U219" s="579"/>
      <c r="V219" s="580"/>
      <c r="W219" s="580"/>
      <c r="X219" s="581"/>
      <c r="Y219" s="579"/>
      <c r="Z219" s="580"/>
      <c r="AA219" s="580"/>
      <c r="AB219" s="581"/>
      <c r="AC219" s="258"/>
      <c r="AD219" s="259"/>
      <c r="AE219" s="259"/>
      <c r="AF219" s="260"/>
      <c r="AG219" s="258"/>
      <c r="AH219" s="259"/>
      <c r="AI219" s="259"/>
      <c r="AJ219" s="260"/>
      <c r="AK219" s="258"/>
      <c r="AL219" s="259"/>
      <c r="AM219" s="259"/>
      <c r="AN219" s="260"/>
      <c r="AO219" s="258"/>
      <c r="AP219" s="259"/>
      <c r="AQ219" s="259"/>
      <c r="AR219" s="260"/>
      <c r="AS219" s="258"/>
      <c r="AT219" s="259"/>
      <c r="AU219" s="259"/>
      <c r="AV219" s="260"/>
      <c r="AW219" s="258"/>
      <c r="AX219" s="259"/>
      <c r="AY219" s="259"/>
      <c r="AZ219" s="260"/>
      <c r="BG219" s="243"/>
      <c r="BH219" s="243"/>
      <c r="BI219" s="243"/>
      <c r="BJ219" s="282"/>
      <c r="BK219" s="283"/>
      <c r="BL219" s="283"/>
      <c r="BM219" s="283"/>
      <c r="BN219" s="283"/>
      <c r="BO219" s="283"/>
      <c r="BP219" s="282"/>
      <c r="BQ219" s="266"/>
      <c r="BR219" s="266"/>
      <c r="BS219" s="270"/>
    </row>
    <row r="220" spans="1:71">
      <c r="A220" s="251"/>
      <c r="B220" s="251"/>
      <c r="C220" s="251"/>
      <c r="D220" s="251"/>
      <c r="E220" s="582"/>
      <c r="F220" s="583"/>
      <c r="G220" s="583"/>
      <c r="H220" s="584"/>
      <c r="I220" s="573"/>
      <c r="J220" s="574"/>
      <c r="K220" s="574"/>
      <c r="L220" s="575"/>
      <c r="M220" s="573"/>
      <c r="N220" s="574"/>
      <c r="O220" s="574"/>
      <c r="P220" s="575"/>
      <c r="Q220" s="573"/>
      <c r="R220" s="574"/>
      <c r="S220" s="574"/>
      <c r="T220" s="575"/>
      <c r="U220" s="573"/>
      <c r="V220" s="574"/>
      <c r="W220" s="574"/>
      <c r="X220" s="575"/>
      <c r="Y220" s="573"/>
      <c r="Z220" s="574"/>
      <c r="AA220" s="574"/>
      <c r="AB220" s="575"/>
      <c r="AC220" s="258"/>
      <c r="AD220" s="259"/>
      <c r="AE220" s="259"/>
      <c r="AF220" s="260"/>
      <c r="AG220" s="258"/>
      <c r="AH220" s="259"/>
      <c r="AI220" s="259"/>
      <c r="AJ220" s="260"/>
      <c r="AK220" s="258"/>
      <c r="AL220" s="259"/>
      <c r="AM220" s="259"/>
      <c r="AN220" s="260"/>
      <c r="AO220" s="258"/>
      <c r="AP220" s="259"/>
      <c r="AQ220" s="259"/>
      <c r="AR220" s="260"/>
      <c r="AS220" s="258"/>
      <c r="AT220" s="259"/>
      <c r="AU220" s="259"/>
      <c r="AV220" s="260"/>
      <c r="AW220" s="258"/>
      <c r="AX220" s="259"/>
      <c r="AY220" s="259"/>
      <c r="AZ220" s="260"/>
      <c r="BG220" s="243"/>
      <c r="BH220" s="243"/>
      <c r="BI220" s="243"/>
      <c r="BJ220" s="282"/>
      <c r="BK220" s="283"/>
      <c r="BL220" s="283"/>
      <c r="BM220" s="283"/>
      <c r="BN220" s="283"/>
      <c r="BO220" s="283"/>
      <c r="BP220" s="282"/>
      <c r="BQ220" s="266"/>
      <c r="BR220" s="266"/>
      <c r="BS220" s="270"/>
    </row>
    <row r="221" spans="1:71">
      <c r="A221" s="251"/>
      <c r="B221" s="251"/>
      <c r="C221" s="251"/>
      <c r="D221" s="251"/>
      <c r="E221" s="576"/>
      <c r="F221" s="577"/>
      <c r="G221" s="577"/>
      <c r="H221" s="578"/>
      <c r="I221" s="579"/>
      <c r="J221" s="580"/>
      <c r="K221" s="580"/>
      <c r="L221" s="581"/>
      <c r="M221" s="579"/>
      <c r="N221" s="580"/>
      <c r="O221" s="580"/>
      <c r="P221" s="581"/>
      <c r="Q221" s="579"/>
      <c r="R221" s="580"/>
      <c r="S221" s="580"/>
      <c r="T221" s="581"/>
      <c r="U221" s="579"/>
      <c r="V221" s="580"/>
      <c r="W221" s="580"/>
      <c r="X221" s="581"/>
      <c r="Y221" s="579"/>
      <c r="Z221" s="580"/>
      <c r="AA221" s="580"/>
      <c r="AB221" s="581"/>
      <c r="AC221" s="258"/>
      <c r="AD221" s="259"/>
      <c r="AE221" s="259"/>
      <c r="AF221" s="260"/>
      <c r="AG221" s="258"/>
      <c r="AH221" s="259"/>
      <c r="AI221" s="259"/>
      <c r="AJ221" s="260"/>
      <c r="AK221" s="258"/>
      <c r="AL221" s="259"/>
      <c r="AM221" s="259"/>
      <c r="AN221" s="260"/>
      <c r="AO221" s="258"/>
      <c r="AP221" s="259"/>
      <c r="AQ221" s="259"/>
      <c r="AR221" s="260"/>
      <c r="AS221" s="258"/>
      <c r="AT221" s="259"/>
      <c r="AU221" s="259"/>
      <c r="AV221" s="260"/>
      <c r="AW221" s="258"/>
      <c r="AX221" s="259"/>
      <c r="AY221" s="259"/>
      <c r="AZ221" s="260"/>
      <c r="BG221" s="243"/>
      <c r="BH221" s="243"/>
      <c r="BI221" s="243"/>
      <c r="BJ221" s="282"/>
      <c r="BK221" s="283"/>
      <c r="BL221" s="283"/>
      <c r="BM221" s="283"/>
      <c r="BN221" s="283"/>
      <c r="BO221" s="283"/>
      <c r="BP221" s="282"/>
      <c r="BQ221" s="266"/>
      <c r="BR221" s="266"/>
      <c r="BS221" s="270"/>
    </row>
    <row r="222" spans="1:71">
      <c r="A222" s="251"/>
      <c r="B222" s="251"/>
      <c r="C222" s="251"/>
      <c r="D222" s="251"/>
      <c r="E222" s="582"/>
      <c r="F222" s="583"/>
      <c r="G222" s="583"/>
      <c r="H222" s="584"/>
      <c r="I222" s="573"/>
      <c r="J222" s="574"/>
      <c r="K222" s="574"/>
      <c r="L222" s="575"/>
      <c r="M222" s="573"/>
      <c r="N222" s="574"/>
      <c r="O222" s="574"/>
      <c r="P222" s="575"/>
      <c r="Q222" s="573"/>
      <c r="R222" s="574"/>
      <c r="S222" s="574"/>
      <c r="T222" s="575"/>
      <c r="U222" s="573"/>
      <c r="V222" s="574"/>
      <c r="W222" s="574"/>
      <c r="X222" s="575"/>
      <c r="Y222" s="573"/>
      <c r="Z222" s="574"/>
      <c r="AA222" s="574"/>
      <c r="AB222" s="575"/>
      <c r="AC222" s="258"/>
      <c r="AD222" s="259"/>
      <c r="AE222" s="259"/>
      <c r="AF222" s="260"/>
      <c r="AG222" s="258"/>
      <c r="AH222" s="259"/>
      <c r="AI222" s="259"/>
      <c r="AJ222" s="260"/>
      <c r="AK222" s="258"/>
      <c r="AL222" s="259"/>
      <c r="AM222" s="259"/>
      <c r="AN222" s="260"/>
      <c r="AO222" s="258"/>
      <c r="AP222" s="259"/>
      <c r="AQ222" s="259"/>
      <c r="AR222" s="260"/>
      <c r="AS222" s="258"/>
      <c r="AT222" s="259"/>
      <c r="AU222" s="259"/>
      <c r="AV222" s="260"/>
      <c r="AW222" s="258"/>
      <c r="AX222" s="259"/>
      <c r="AY222" s="259"/>
      <c r="AZ222" s="260"/>
      <c r="BG222" s="243"/>
      <c r="BH222" s="243"/>
      <c r="BI222" s="243"/>
      <c r="BJ222" s="282"/>
      <c r="BK222" s="283"/>
      <c r="BL222" s="283"/>
      <c r="BM222" s="283"/>
      <c r="BN222" s="283"/>
      <c r="BO222" s="283"/>
      <c r="BP222" s="282"/>
      <c r="BQ222" s="266"/>
      <c r="BR222" s="266"/>
      <c r="BS222" s="270"/>
    </row>
    <row r="223" spans="1:71">
      <c r="A223" s="251"/>
      <c r="B223" s="251"/>
      <c r="C223" s="251"/>
      <c r="D223" s="251"/>
      <c r="E223" s="576"/>
      <c r="F223" s="577"/>
      <c r="G223" s="577"/>
      <c r="H223" s="578"/>
      <c r="I223" s="579"/>
      <c r="J223" s="580"/>
      <c r="K223" s="580"/>
      <c r="L223" s="581"/>
      <c r="M223" s="579"/>
      <c r="N223" s="580"/>
      <c r="O223" s="580"/>
      <c r="P223" s="581"/>
      <c r="Q223" s="579"/>
      <c r="R223" s="580"/>
      <c r="S223" s="580"/>
      <c r="T223" s="581"/>
      <c r="U223" s="579"/>
      <c r="V223" s="580"/>
      <c r="W223" s="580"/>
      <c r="X223" s="581"/>
      <c r="Y223" s="579"/>
      <c r="Z223" s="580"/>
      <c r="AA223" s="580"/>
      <c r="AB223" s="581"/>
      <c r="AC223" s="258"/>
      <c r="AD223" s="259"/>
      <c r="AE223" s="259"/>
      <c r="AF223" s="260"/>
      <c r="AG223" s="258"/>
      <c r="AH223" s="259"/>
      <c r="AI223" s="259"/>
      <c r="AJ223" s="260"/>
      <c r="AK223" s="258"/>
      <c r="AL223" s="259"/>
      <c r="AM223" s="259"/>
      <c r="AN223" s="260"/>
      <c r="AO223" s="258"/>
      <c r="AP223" s="259"/>
      <c r="AQ223" s="259"/>
      <c r="AR223" s="260"/>
      <c r="AS223" s="258"/>
      <c r="AT223" s="259"/>
      <c r="AU223" s="259"/>
      <c r="AV223" s="260"/>
      <c r="AW223" s="258"/>
      <c r="AX223" s="259"/>
      <c r="AY223" s="259"/>
      <c r="AZ223" s="260"/>
      <c r="BG223" s="243"/>
      <c r="BH223" s="243"/>
      <c r="BI223" s="243"/>
      <c r="BJ223" s="282"/>
      <c r="BK223" s="283"/>
      <c r="BL223" s="283"/>
      <c r="BM223" s="283"/>
      <c r="BN223" s="283"/>
      <c r="BO223" s="283"/>
      <c r="BP223" s="282"/>
      <c r="BQ223" s="266"/>
      <c r="BR223" s="266"/>
      <c r="BS223" s="270"/>
    </row>
    <row r="224" spans="1:71">
      <c r="A224" s="251"/>
      <c r="B224" s="251"/>
      <c r="C224" s="251"/>
      <c r="D224" s="251"/>
      <c r="E224" s="582"/>
      <c r="F224" s="583"/>
      <c r="G224" s="583"/>
      <c r="H224" s="584"/>
      <c r="I224" s="573"/>
      <c r="J224" s="574"/>
      <c r="K224" s="574"/>
      <c r="L224" s="575"/>
      <c r="M224" s="573"/>
      <c r="N224" s="574"/>
      <c r="O224" s="574"/>
      <c r="P224" s="575"/>
      <c r="Q224" s="573"/>
      <c r="R224" s="574"/>
      <c r="S224" s="574"/>
      <c r="T224" s="575"/>
      <c r="U224" s="573"/>
      <c r="V224" s="574"/>
      <c r="W224" s="574"/>
      <c r="X224" s="575"/>
      <c r="Y224" s="573"/>
      <c r="Z224" s="574"/>
      <c r="AA224" s="574"/>
      <c r="AB224" s="575"/>
      <c r="AC224" s="258"/>
      <c r="AD224" s="259"/>
      <c r="AE224" s="259"/>
      <c r="AF224" s="260"/>
      <c r="AG224" s="258"/>
      <c r="AH224" s="259"/>
      <c r="AI224" s="259"/>
      <c r="AJ224" s="260"/>
      <c r="AK224" s="258"/>
      <c r="AL224" s="259"/>
      <c r="AM224" s="259"/>
      <c r="AN224" s="260"/>
      <c r="AO224" s="258"/>
      <c r="AP224" s="259"/>
      <c r="AQ224" s="259"/>
      <c r="AR224" s="260"/>
      <c r="AS224" s="258"/>
      <c r="AT224" s="259"/>
      <c r="AU224" s="259"/>
      <c r="AV224" s="260"/>
      <c r="AW224" s="258"/>
      <c r="AX224" s="259"/>
      <c r="AY224" s="259"/>
      <c r="AZ224" s="260"/>
      <c r="BG224" s="243"/>
      <c r="BH224" s="243"/>
      <c r="BI224" s="243"/>
      <c r="BJ224" s="282"/>
      <c r="BK224" s="283"/>
      <c r="BL224" s="283"/>
      <c r="BM224" s="283"/>
      <c r="BN224" s="283"/>
      <c r="BO224" s="283"/>
      <c r="BP224" s="282"/>
      <c r="BQ224" s="266"/>
      <c r="BR224" s="266"/>
      <c r="BS224" s="270"/>
    </row>
    <row r="225" spans="1:71">
      <c r="A225" s="251"/>
      <c r="B225" s="251"/>
      <c r="C225" s="251"/>
      <c r="D225" s="251"/>
      <c r="E225" s="576"/>
      <c r="F225" s="577"/>
      <c r="G225" s="577"/>
      <c r="H225" s="578"/>
      <c r="I225" s="579"/>
      <c r="J225" s="580"/>
      <c r="K225" s="580"/>
      <c r="L225" s="581"/>
      <c r="M225" s="579"/>
      <c r="N225" s="580"/>
      <c r="O225" s="580"/>
      <c r="P225" s="581"/>
      <c r="Q225" s="579"/>
      <c r="R225" s="580"/>
      <c r="S225" s="580"/>
      <c r="T225" s="581"/>
      <c r="U225" s="579"/>
      <c r="V225" s="580"/>
      <c r="W225" s="580"/>
      <c r="X225" s="581"/>
      <c r="Y225" s="579"/>
      <c r="Z225" s="580"/>
      <c r="AA225" s="580"/>
      <c r="AB225" s="581"/>
      <c r="AC225" s="258"/>
      <c r="AD225" s="259"/>
      <c r="AE225" s="259"/>
      <c r="AF225" s="260"/>
      <c r="AG225" s="258"/>
      <c r="AH225" s="259"/>
      <c r="AI225" s="259"/>
      <c r="AJ225" s="260"/>
      <c r="AK225" s="258"/>
      <c r="AL225" s="259"/>
      <c r="AM225" s="259"/>
      <c r="AN225" s="260"/>
      <c r="AO225" s="258"/>
      <c r="AP225" s="259"/>
      <c r="AQ225" s="259"/>
      <c r="AR225" s="260"/>
      <c r="AS225" s="258"/>
      <c r="AT225" s="259"/>
      <c r="AU225" s="259"/>
      <c r="AV225" s="260"/>
      <c r="AW225" s="258"/>
      <c r="AX225" s="259"/>
      <c r="AY225" s="259"/>
      <c r="AZ225" s="260"/>
      <c r="BG225" s="243"/>
      <c r="BH225" s="243"/>
      <c r="BI225" s="243"/>
      <c r="BJ225" s="282"/>
      <c r="BK225" s="283"/>
      <c r="BL225" s="283"/>
      <c r="BM225" s="283"/>
      <c r="BN225" s="283"/>
      <c r="BO225" s="283"/>
      <c r="BP225" s="282"/>
      <c r="BQ225" s="266"/>
      <c r="BR225" s="266"/>
      <c r="BS225" s="270"/>
    </row>
    <row r="226" spans="1:71">
      <c r="A226" s="251"/>
      <c r="B226" s="251"/>
      <c r="C226" s="251"/>
      <c r="D226" s="251"/>
      <c r="E226" s="582"/>
      <c r="F226" s="583"/>
      <c r="G226" s="583"/>
      <c r="H226" s="584"/>
      <c r="I226" s="573"/>
      <c r="J226" s="574"/>
      <c r="K226" s="574"/>
      <c r="L226" s="575"/>
      <c r="M226" s="573"/>
      <c r="N226" s="574"/>
      <c r="O226" s="574"/>
      <c r="P226" s="575"/>
      <c r="Q226" s="573"/>
      <c r="R226" s="574"/>
      <c r="S226" s="574"/>
      <c r="T226" s="575"/>
      <c r="U226" s="573"/>
      <c r="V226" s="574"/>
      <c r="W226" s="574"/>
      <c r="X226" s="575"/>
      <c r="Y226" s="573"/>
      <c r="Z226" s="574"/>
      <c r="AA226" s="574"/>
      <c r="AB226" s="575"/>
      <c r="AC226" s="258"/>
      <c r="AD226" s="259"/>
      <c r="AE226" s="259"/>
      <c r="AF226" s="260"/>
      <c r="AG226" s="258"/>
      <c r="AH226" s="259"/>
      <c r="AI226" s="259"/>
      <c r="AJ226" s="260"/>
      <c r="AK226" s="258"/>
      <c r="AL226" s="259"/>
      <c r="AM226" s="259"/>
      <c r="AN226" s="260"/>
      <c r="AO226" s="258"/>
      <c r="AP226" s="259"/>
      <c r="AQ226" s="259"/>
      <c r="AR226" s="260"/>
      <c r="AS226" s="258"/>
      <c r="AT226" s="259"/>
      <c r="AU226" s="259"/>
      <c r="AV226" s="260"/>
      <c r="AW226" s="258"/>
      <c r="AX226" s="259"/>
      <c r="AY226" s="259"/>
      <c r="AZ226" s="260"/>
      <c r="BG226" s="243"/>
      <c r="BH226" s="243"/>
      <c r="BI226" s="243"/>
      <c r="BJ226" s="282"/>
      <c r="BK226" s="283"/>
      <c r="BL226" s="283"/>
      <c r="BM226" s="283"/>
      <c r="BN226" s="283"/>
      <c r="BO226" s="283"/>
      <c r="BP226" s="282"/>
      <c r="BQ226" s="266"/>
      <c r="BR226" s="266"/>
      <c r="BS226" s="270"/>
    </row>
    <row r="227" spans="1:71">
      <c r="A227" s="251"/>
      <c r="B227" s="251"/>
      <c r="C227" s="251"/>
      <c r="D227" s="251"/>
      <c r="E227" s="576"/>
      <c r="F227" s="577"/>
      <c r="G227" s="577"/>
      <c r="H227" s="578"/>
      <c r="I227" s="579"/>
      <c r="J227" s="580"/>
      <c r="K227" s="580"/>
      <c r="L227" s="581"/>
      <c r="M227" s="579"/>
      <c r="N227" s="580"/>
      <c r="O227" s="580"/>
      <c r="P227" s="581"/>
      <c r="Q227" s="579"/>
      <c r="R227" s="580"/>
      <c r="S227" s="580"/>
      <c r="T227" s="581"/>
      <c r="U227" s="579"/>
      <c r="V227" s="580"/>
      <c r="W227" s="580"/>
      <c r="X227" s="581"/>
      <c r="Y227" s="579"/>
      <c r="Z227" s="580"/>
      <c r="AA227" s="580"/>
      <c r="AB227" s="581"/>
      <c r="AC227" s="258"/>
      <c r="AD227" s="259"/>
      <c r="AE227" s="259"/>
      <c r="AF227" s="260"/>
      <c r="AG227" s="258"/>
      <c r="AH227" s="259"/>
      <c r="AI227" s="259"/>
      <c r="AJ227" s="260"/>
      <c r="AK227" s="258"/>
      <c r="AL227" s="259"/>
      <c r="AM227" s="259"/>
      <c r="AN227" s="260"/>
      <c r="AO227" s="258"/>
      <c r="AP227" s="259"/>
      <c r="AQ227" s="259"/>
      <c r="AR227" s="260"/>
      <c r="AS227" s="258"/>
      <c r="AT227" s="259"/>
      <c r="AU227" s="259"/>
      <c r="AV227" s="260"/>
      <c r="AW227" s="258"/>
      <c r="AX227" s="259"/>
      <c r="AY227" s="259"/>
      <c r="AZ227" s="260"/>
      <c r="BG227" s="243"/>
      <c r="BH227" s="243"/>
      <c r="BI227" s="243"/>
      <c r="BJ227" s="282"/>
      <c r="BK227" s="283"/>
      <c r="BL227" s="283"/>
      <c r="BM227" s="283"/>
      <c r="BN227" s="283"/>
      <c r="BO227" s="283"/>
      <c r="BP227" s="282"/>
      <c r="BQ227" s="266"/>
      <c r="BR227" s="266"/>
      <c r="BS227" s="270"/>
    </row>
    <row r="228" spans="1:71">
      <c r="A228" s="251"/>
      <c r="B228" s="251"/>
      <c r="C228" s="251"/>
      <c r="D228" s="251"/>
      <c r="E228" s="582"/>
      <c r="F228" s="583"/>
      <c r="G228" s="583"/>
      <c r="H228" s="584"/>
      <c r="I228" s="573"/>
      <c r="J228" s="574"/>
      <c r="K228" s="574"/>
      <c r="L228" s="575"/>
      <c r="M228" s="573"/>
      <c r="N228" s="574"/>
      <c r="O228" s="574"/>
      <c r="P228" s="575"/>
      <c r="Q228" s="573"/>
      <c r="R228" s="574"/>
      <c r="S228" s="574"/>
      <c r="T228" s="575"/>
      <c r="U228" s="573"/>
      <c r="V228" s="574"/>
      <c r="W228" s="574"/>
      <c r="X228" s="575"/>
      <c r="Y228" s="573"/>
      <c r="Z228" s="574"/>
      <c r="AA228" s="574"/>
      <c r="AB228" s="575"/>
      <c r="AC228" s="258"/>
      <c r="AD228" s="259"/>
      <c r="AE228" s="259"/>
      <c r="AF228" s="260"/>
      <c r="AG228" s="258"/>
      <c r="AH228" s="259"/>
      <c r="AI228" s="259"/>
      <c r="AJ228" s="260"/>
      <c r="AK228" s="258"/>
      <c r="AL228" s="259"/>
      <c r="AM228" s="259"/>
      <c r="AN228" s="260"/>
      <c r="AO228" s="258"/>
      <c r="AP228" s="259"/>
      <c r="AQ228" s="259"/>
      <c r="AR228" s="260"/>
      <c r="AS228" s="258"/>
      <c r="AT228" s="259"/>
      <c r="AU228" s="259"/>
      <c r="AV228" s="260"/>
      <c r="AW228" s="258"/>
      <c r="AX228" s="259"/>
      <c r="AY228" s="259"/>
      <c r="AZ228" s="260"/>
      <c r="BG228" s="243"/>
      <c r="BH228" s="243"/>
      <c r="BI228" s="243"/>
      <c r="BJ228" s="282"/>
      <c r="BK228" s="283"/>
      <c r="BL228" s="283"/>
      <c r="BM228" s="283"/>
      <c r="BN228" s="283"/>
      <c r="BO228" s="283"/>
      <c r="BP228" s="282"/>
      <c r="BQ228" s="266"/>
      <c r="BR228" s="266"/>
      <c r="BS228" s="270"/>
    </row>
    <row r="229" spans="1:71">
      <c r="A229" s="251"/>
      <c r="B229" s="251"/>
      <c r="C229" s="251"/>
      <c r="D229" s="251"/>
      <c r="E229" s="576"/>
      <c r="F229" s="577"/>
      <c r="G229" s="577"/>
      <c r="H229" s="578"/>
      <c r="I229" s="579"/>
      <c r="J229" s="580"/>
      <c r="K229" s="580"/>
      <c r="L229" s="581"/>
      <c r="M229" s="579"/>
      <c r="N229" s="580"/>
      <c r="O229" s="580"/>
      <c r="P229" s="581"/>
      <c r="Q229" s="579"/>
      <c r="R229" s="580"/>
      <c r="S229" s="580"/>
      <c r="T229" s="581"/>
      <c r="U229" s="579"/>
      <c r="V229" s="580"/>
      <c r="W229" s="580"/>
      <c r="X229" s="581"/>
      <c r="Y229" s="579"/>
      <c r="Z229" s="580"/>
      <c r="AA229" s="580"/>
      <c r="AB229" s="581"/>
      <c r="AC229" s="258"/>
      <c r="AD229" s="259"/>
      <c r="AE229" s="259"/>
      <c r="AF229" s="260"/>
      <c r="AG229" s="258"/>
      <c r="AH229" s="259"/>
      <c r="AI229" s="259"/>
      <c r="AJ229" s="260"/>
      <c r="AK229" s="258"/>
      <c r="AL229" s="259"/>
      <c r="AM229" s="259"/>
      <c r="AN229" s="260"/>
      <c r="AO229" s="258"/>
      <c r="AP229" s="259"/>
      <c r="AQ229" s="259"/>
      <c r="AR229" s="260"/>
      <c r="AS229" s="258"/>
      <c r="AT229" s="259"/>
      <c r="AU229" s="259"/>
      <c r="AV229" s="260"/>
      <c r="AW229" s="258"/>
      <c r="AX229" s="259"/>
      <c r="AY229" s="259"/>
      <c r="AZ229" s="260"/>
      <c r="BG229" s="243"/>
      <c r="BH229" s="243"/>
      <c r="BI229" s="243"/>
      <c r="BJ229" s="282"/>
      <c r="BK229" s="283"/>
      <c r="BL229" s="283"/>
      <c r="BM229" s="283"/>
      <c r="BN229" s="283"/>
      <c r="BO229" s="283"/>
      <c r="BP229" s="282"/>
      <c r="BQ229" s="266"/>
      <c r="BR229" s="266"/>
      <c r="BS229" s="270"/>
    </row>
    <row r="230" spans="1:71">
      <c r="A230" s="251"/>
      <c r="B230" s="251"/>
      <c r="C230" s="251"/>
      <c r="D230" s="251"/>
      <c r="E230" s="582"/>
      <c r="F230" s="583"/>
      <c r="G230" s="583"/>
      <c r="H230" s="584"/>
      <c r="I230" s="573"/>
      <c r="J230" s="574"/>
      <c r="K230" s="574"/>
      <c r="L230" s="575"/>
      <c r="M230" s="573"/>
      <c r="N230" s="574"/>
      <c r="O230" s="574"/>
      <c r="P230" s="575"/>
      <c r="Q230" s="573"/>
      <c r="R230" s="574"/>
      <c r="S230" s="574"/>
      <c r="T230" s="575"/>
      <c r="U230" s="573"/>
      <c r="V230" s="574"/>
      <c r="W230" s="574"/>
      <c r="X230" s="575"/>
      <c r="Y230" s="573"/>
      <c r="Z230" s="574"/>
      <c r="AA230" s="574"/>
      <c r="AB230" s="575"/>
      <c r="AC230" s="258"/>
      <c r="AD230" s="259"/>
      <c r="AE230" s="259"/>
      <c r="AF230" s="260"/>
      <c r="AG230" s="258"/>
      <c r="AH230" s="259"/>
      <c r="AI230" s="259"/>
      <c r="AJ230" s="260"/>
      <c r="AK230" s="258"/>
      <c r="AL230" s="259"/>
      <c r="AM230" s="259"/>
      <c r="AN230" s="260"/>
      <c r="AO230" s="258"/>
      <c r="AP230" s="259"/>
      <c r="AQ230" s="259"/>
      <c r="AR230" s="260"/>
      <c r="AS230" s="258"/>
      <c r="AT230" s="259"/>
      <c r="AU230" s="259"/>
      <c r="AV230" s="260"/>
      <c r="AW230" s="258"/>
      <c r="AX230" s="259"/>
      <c r="AY230" s="259"/>
      <c r="AZ230" s="260"/>
      <c r="BG230" s="243"/>
      <c r="BH230" s="243"/>
      <c r="BI230" s="243"/>
      <c r="BJ230" s="282"/>
      <c r="BK230" s="283"/>
      <c r="BL230" s="283"/>
      <c r="BM230" s="283"/>
      <c r="BN230" s="283"/>
      <c r="BO230" s="283"/>
      <c r="BP230" s="282"/>
      <c r="BQ230" s="266"/>
      <c r="BR230" s="266"/>
      <c r="BS230" s="270"/>
    </row>
    <row r="231" spans="1:71">
      <c r="A231" s="251"/>
      <c r="B231" s="251"/>
      <c r="C231" s="251"/>
      <c r="D231" s="251"/>
      <c r="E231" s="576"/>
      <c r="F231" s="577"/>
      <c r="G231" s="577"/>
      <c r="H231" s="578"/>
      <c r="I231" s="579"/>
      <c r="J231" s="580"/>
      <c r="K231" s="580"/>
      <c r="L231" s="581"/>
      <c r="M231" s="579"/>
      <c r="N231" s="580"/>
      <c r="O231" s="580"/>
      <c r="P231" s="581"/>
      <c r="Q231" s="579"/>
      <c r="R231" s="580"/>
      <c r="S231" s="580"/>
      <c r="T231" s="581"/>
      <c r="U231" s="579"/>
      <c r="V231" s="580"/>
      <c r="W231" s="580"/>
      <c r="X231" s="581"/>
      <c r="Y231" s="579"/>
      <c r="Z231" s="580"/>
      <c r="AA231" s="580"/>
      <c r="AB231" s="581"/>
      <c r="AC231" s="258"/>
      <c r="AD231" s="259"/>
      <c r="AE231" s="259"/>
      <c r="AF231" s="260"/>
      <c r="AG231" s="258"/>
      <c r="AH231" s="259"/>
      <c r="AI231" s="259"/>
      <c r="AJ231" s="260"/>
      <c r="AK231" s="258"/>
      <c r="AL231" s="259"/>
      <c r="AM231" s="259"/>
      <c r="AN231" s="260"/>
      <c r="AO231" s="258"/>
      <c r="AP231" s="259"/>
      <c r="AQ231" s="259"/>
      <c r="AR231" s="260"/>
      <c r="AS231" s="258"/>
      <c r="AT231" s="259"/>
      <c r="AU231" s="259"/>
      <c r="AV231" s="260"/>
      <c r="AW231" s="258"/>
      <c r="AX231" s="259"/>
      <c r="AY231" s="259"/>
      <c r="AZ231" s="260"/>
      <c r="BG231" s="243"/>
      <c r="BH231" s="243"/>
      <c r="BI231" s="243"/>
      <c r="BJ231" s="282"/>
      <c r="BK231" s="283"/>
      <c r="BL231" s="283"/>
      <c r="BM231" s="283"/>
      <c r="BN231" s="283"/>
      <c r="BO231" s="283"/>
      <c r="BP231" s="282"/>
      <c r="BQ231" s="266"/>
      <c r="BR231" s="266"/>
      <c r="BS231" s="270"/>
    </row>
    <row r="232" spans="1:71">
      <c r="A232" s="251"/>
      <c r="B232" s="251"/>
      <c r="C232" s="251"/>
      <c r="D232" s="251"/>
      <c r="E232" s="582"/>
      <c r="F232" s="583"/>
      <c r="G232" s="583"/>
      <c r="H232" s="584"/>
      <c r="I232" s="573"/>
      <c r="J232" s="574"/>
      <c r="K232" s="574"/>
      <c r="L232" s="575"/>
      <c r="M232" s="573"/>
      <c r="N232" s="574"/>
      <c r="O232" s="574"/>
      <c r="P232" s="575"/>
      <c r="Q232" s="573"/>
      <c r="R232" s="574"/>
      <c r="S232" s="574"/>
      <c r="T232" s="575"/>
      <c r="U232" s="573"/>
      <c r="V232" s="574"/>
      <c r="W232" s="574"/>
      <c r="X232" s="575"/>
      <c r="Y232" s="573"/>
      <c r="Z232" s="574"/>
      <c r="AA232" s="574"/>
      <c r="AB232" s="575"/>
      <c r="AC232" s="258"/>
      <c r="AD232" s="259"/>
      <c r="AE232" s="259"/>
      <c r="AF232" s="260"/>
      <c r="AG232" s="258"/>
      <c r="AH232" s="259"/>
      <c r="AI232" s="259"/>
      <c r="AJ232" s="260"/>
      <c r="AK232" s="258"/>
      <c r="AL232" s="259"/>
      <c r="AM232" s="259"/>
      <c r="AN232" s="260"/>
      <c r="AO232" s="258"/>
      <c r="AP232" s="259"/>
      <c r="AQ232" s="259"/>
      <c r="AR232" s="260"/>
      <c r="AS232" s="258"/>
      <c r="AT232" s="259"/>
      <c r="AU232" s="259"/>
      <c r="AV232" s="260"/>
      <c r="AW232" s="258"/>
      <c r="AX232" s="259"/>
      <c r="AY232" s="259"/>
      <c r="AZ232" s="260"/>
      <c r="BG232" s="243"/>
      <c r="BH232" s="243"/>
      <c r="BI232" s="243"/>
      <c r="BJ232" s="282"/>
      <c r="BK232" s="283"/>
      <c r="BL232" s="283"/>
      <c r="BM232" s="283"/>
      <c r="BN232" s="283"/>
      <c r="BO232" s="283"/>
      <c r="BP232" s="282"/>
      <c r="BQ232" s="266"/>
      <c r="BR232" s="266"/>
      <c r="BS232" s="270"/>
    </row>
    <row r="233" spans="1:71">
      <c r="A233" s="251"/>
      <c r="B233" s="251"/>
      <c r="C233" s="251"/>
      <c r="D233" s="251"/>
      <c r="E233" s="576"/>
      <c r="F233" s="577"/>
      <c r="G233" s="577"/>
      <c r="H233" s="578"/>
      <c r="I233" s="579"/>
      <c r="J233" s="580"/>
      <c r="K233" s="580"/>
      <c r="L233" s="581"/>
      <c r="M233" s="579"/>
      <c r="N233" s="580"/>
      <c r="O233" s="580"/>
      <c r="P233" s="581"/>
      <c r="Q233" s="579"/>
      <c r="R233" s="580"/>
      <c r="S233" s="580"/>
      <c r="T233" s="581"/>
      <c r="U233" s="579"/>
      <c r="V233" s="580"/>
      <c r="W233" s="580"/>
      <c r="X233" s="581"/>
      <c r="Y233" s="579"/>
      <c r="Z233" s="580"/>
      <c r="AA233" s="580"/>
      <c r="AB233" s="581"/>
      <c r="AC233" s="258"/>
      <c r="AD233" s="259"/>
      <c r="AE233" s="259"/>
      <c r="AF233" s="260"/>
      <c r="AG233" s="258"/>
      <c r="AH233" s="259"/>
      <c r="AI233" s="259"/>
      <c r="AJ233" s="260"/>
      <c r="AK233" s="258"/>
      <c r="AL233" s="259"/>
      <c r="AM233" s="259"/>
      <c r="AN233" s="260"/>
      <c r="AO233" s="258"/>
      <c r="AP233" s="259"/>
      <c r="AQ233" s="259"/>
      <c r="AR233" s="260"/>
      <c r="AS233" s="258"/>
      <c r="AT233" s="259"/>
      <c r="AU233" s="259"/>
      <c r="AV233" s="260"/>
      <c r="AW233" s="258"/>
      <c r="AX233" s="259"/>
      <c r="AY233" s="259"/>
      <c r="AZ233" s="260"/>
      <c r="BG233" s="243"/>
      <c r="BH233" s="243"/>
      <c r="BI233" s="243"/>
      <c r="BJ233" s="282"/>
      <c r="BK233" s="283"/>
      <c r="BL233" s="283"/>
      <c r="BM233" s="283"/>
      <c r="BN233" s="283"/>
      <c r="BO233" s="283"/>
      <c r="BP233" s="282"/>
      <c r="BQ233" s="266"/>
      <c r="BR233" s="266"/>
      <c r="BS233" s="270"/>
    </row>
    <row r="234" spans="1:71">
      <c r="A234" s="251"/>
      <c r="B234" s="251"/>
      <c r="C234" s="251"/>
      <c r="D234" s="251"/>
      <c r="E234" s="582"/>
      <c r="F234" s="583"/>
      <c r="G234" s="583"/>
      <c r="H234" s="584"/>
      <c r="I234" s="573"/>
      <c r="J234" s="574"/>
      <c r="K234" s="574"/>
      <c r="L234" s="575"/>
      <c r="M234" s="573"/>
      <c r="N234" s="574"/>
      <c r="O234" s="574"/>
      <c r="P234" s="575"/>
      <c r="Q234" s="573"/>
      <c r="R234" s="574"/>
      <c r="S234" s="574"/>
      <c r="T234" s="575"/>
      <c r="U234" s="573"/>
      <c r="V234" s="574"/>
      <c r="W234" s="574"/>
      <c r="X234" s="575"/>
      <c r="Y234" s="573"/>
      <c r="Z234" s="574"/>
      <c r="AA234" s="574"/>
      <c r="AB234" s="575"/>
      <c r="AC234" s="258"/>
      <c r="AD234" s="259"/>
      <c r="AE234" s="259"/>
      <c r="AF234" s="260"/>
      <c r="AG234" s="258"/>
      <c r="AH234" s="259"/>
      <c r="AI234" s="259"/>
      <c r="AJ234" s="260"/>
      <c r="AK234" s="258"/>
      <c r="AL234" s="259"/>
      <c r="AM234" s="259"/>
      <c r="AN234" s="260"/>
      <c r="AO234" s="258"/>
      <c r="AP234" s="259"/>
      <c r="AQ234" s="259"/>
      <c r="AR234" s="260"/>
      <c r="AS234" s="258"/>
      <c r="AT234" s="259"/>
      <c r="AU234" s="259"/>
      <c r="AV234" s="260"/>
      <c r="AW234" s="258"/>
      <c r="AX234" s="259"/>
      <c r="AY234" s="259"/>
      <c r="AZ234" s="260"/>
      <c r="BG234" s="243"/>
      <c r="BH234" s="243"/>
      <c r="BI234" s="243"/>
      <c r="BJ234" s="282"/>
      <c r="BK234" s="283"/>
      <c r="BL234" s="283"/>
      <c r="BM234" s="283"/>
      <c r="BN234" s="283"/>
      <c r="BO234" s="283"/>
      <c r="BP234" s="282"/>
      <c r="BQ234" s="266"/>
      <c r="BR234" s="266"/>
      <c r="BS234" s="270"/>
    </row>
    <row r="235" spans="1:71">
      <c r="A235" s="251"/>
      <c r="B235" s="251"/>
      <c r="C235" s="251"/>
      <c r="D235" s="251"/>
      <c r="E235" s="576"/>
      <c r="F235" s="577"/>
      <c r="G235" s="577"/>
      <c r="H235" s="578"/>
      <c r="I235" s="579"/>
      <c r="J235" s="580"/>
      <c r="K235" s="580"/>
      <c r="L235" s="581"/>
      <c r="M235" s="579"/>
      <c r="N235" s="580"/>
      <c r="O235" s="580"/>
      <c r="P235" s="581"/>
      <c r="Q235" s="579"/>
      <c r="R235" s="580"/>
      <c r="S235" s="580"/>
      <c r="T235" s="581"/>
      <c r="U235" s="579"/>
      <c r="V235" s="580"/>
      <c r="W235" s="580"/>
      <c r="X235" s="581"/>
      <c r="Y235" s="579"/>
      <c r="Z235" s="580"/>
      <c r="AA235" s="580"/>
      <c r="AB235" s="581"/>
      <c r="AC235" s="258"/>
      <c r="AD235" s="259"/>
      <c r="AE235" s="259"/>
      <c r="AF235" s="260"/>
      <c r="AG235" s="258"/>
      <c r="AH235" s="259"/>
      <c r="AI235" s="259"/>
      <c r="AJ235" s="260"/>
      <c r="AK235" s="258"/>
      <c r="AL235" s="259"/>
      <c r="AM235" s="259"/>
      <c r="AN235" s="260"/>
      <c r="AO235" s="258"/>
      <c r="AP235" s="259"/>
      <c r="AQ235" s="259"/>
      <c r="AR235" s="260"/>
      <c r="AS235" s="258"/>
      <c r="AT235" s="259"/>
      <c r="AU235" s="259"/>
      <c r="AV235" s="260"/>
      <c r="AW235" s="258"/>
      <c r="AX235" s="259"/>
      <c r="AY235" s="259"/>
      <c r="AZ235" s="260"/>
      <c r="BG235" s="243"/>
      <c r="BH235" s="243"/>
      <c r="BI235" s="243"/>
      <c r="BJ235" s="282"/>
      <c r="BK235" s="283"/>
      <c r="BL235" s="283"/>
      <c r="BM235" s="283"/>
      <c r="BN235" s="283"/>
      <c r="BO235" s="283"/>
      <c r="BP235" s="282"/>
      <c r="BQ235" s="266"/>
      <c r="BR235" s="266"/>
      <c r="BS235" s="270"/>
    </row>
    <row r="236" spans="1:71">
      <c r="A236" s="251"/>
      <c r="B236" s="251"/>
      <c r="C236" s="251"/>
      <c r="D236" s="251"/>
      <c r="E236" s="582"/>
      <c r="F236" s="583"/>
      <c r="G236" s="583"/>
      <c r="H236" s="584"/>
      <c r="I236" s="573"/>
      <c r="J236" s="574"/>
      <c r="K236" s="574"/>
      <c r="L236" s="575"/>
      <c r="M236" s="573"/>
      <c r="N236" s="574"/>
      <c r="O236" s="574"/>
      <c r="P236" s="575"/>
      <c r="Q236" s="573"/>
      <c r="R236" s="574"/>
      <c r="S236" s="574"/>
      <c r="T236" s="575"/>
      <c r="U236" s="573"/>
      <c r="V236" s="574"/>
      <c r="W236" s="574"/>
      <c r="X236" s="575"/>
      <c r="Y236" s="573"/>
      <c r="Z236" s="574"/>
      <c r="AA236" s="574"/>
      <c r="AB236" s="575"/>
      <c r="AC236" s="258"/>
      <c r="AD236" s="259"/>
      <c r="AE236" s="259"/>
      <c r="AF236" s="260"/>
      <c r="AG236" s="258"/>
      <c r="AH236" s="259"/>
      <c r="AI236" s="259"/>
      <c r="AJ236" s="260"/>
      <c r="AK236" s="258"/>
      <c r="AL236" s="259"/>
      <c r="AM236" s="259"/>
      <c r="AN236" s="260"/>
      <c r="AO236" s="258"/>
      <c r="AP236" s="259"/>
      <c r="AQ236" s="259"/>
      <c r="AR236" s="260"/>
      <c r="AS236" s="258"/>
      <c r="AT236" s="259"/>
      <c r="AU236" s="259"/>
      <c r="AV236" s="260"/>
      <c r="AW236" s="258"/>
      <c r="AX236" s="259"/>
      <c r="AY236" s="259"/>
      <c r="AZ236" s="260"/>
      <c r="BG236" s="243"/>
      <c r="BH236" s="243"/>
      <c r="BI236" s="243"/>
      <c r="BJ236" s="282"/>
      <c r="BK236" s="283"/>
      <c r="BL236" s="283"/>
      <c r="BM236" s="283"/>
      <c r="BN236" s="283"/>
      <c r="BO236" s="283"/>
      <c r="BP236" s="282"/>
      <c r="BQ236" s="266"/>
      <c r="BR236" s="266"/>
      <c r="BS236" s="270"/>
    </row>
    <row r="237" spans="1:71">
      <c r="A237" s="251"/>
      <c r="B237" s="251"/>
      <c r="C237" s="251"/>
      <c r="D237" s="251"/>
      <c r="E237" s="576"/>
      <c r="F237" s="577"/>
      <c r="G237" s="577"/>
      <c r="H237" s="578"/>
      <c r="I237" s="579"/>
      <c r="J237" s="580"/>
      <c r="K237" s="580"/>
      <c r="L237" s="581"/>
      <c r="M237" s="579"/>
      <c r="N237" s="580"/>
      <c r="O237" s="580"/>
      <c r="P237" s="581"/>
      <c r="Q237" s="579"/>
      <c r="R237" s="580"/>
      <c r="S237" s="580"/>
      <c r="T237" s="581"/>
      <c r="U237" s="579"/>
      <c r="V237" s="580"/>
      <c r="W237" s="580"/>
      <c r="X237" s="581"/>
      <c r="Y237" s="579"/>
      <c r="Z237" s="580"/>
      <c r="AA237" s="580"/>
      <c r="AB237" s="581"/>
      <c r="AC237" s="258"/>
      <c r="AD237" s="259"/>
      <c r="AE237" s="259"/>
      <c r="AF237" s="260"/>
      <c r="AG237" s="258"/>
      <c r="AH237" s="259"/>
      <c r="AI237" s="259"/>
      <c r="AJ237" s="260"/>
      <c r="AK237" s="258"/>
      <c r="AL237" s="259"/>
      <c r="AM237" s="259"/>
      <c r="AN237" s="260"/>
      <c r="AO237" s="258"/>
      <c r="AP237" s="259"/>
      <c r="AQ237" s="259"/>
      <c r="AR237" s="260"/>
      <c r="AS237" s="258"/>
      <c r="AT237" s="259"/>
      <c r="AU237" s="259"/>
      <c r="AV237" s="260"/>
      <c r="AW237" s="258"/>
      <c r="AX237" s="259"/>
      <c r="AY237" s="259"/>
      <c r="AZ237" s="260"/>
      <c r="BG237" s="243"/>
      <c r="BH237" s="243"/>
      <c r="BI237" s="243"/>
      <c r="BJ237" s="282"/>
      <c r="BK237" s="283"/>
      <c r="BL237" s="283"/>
      <c r="BM237" s="283"/>
      <c r="BN237" s="283"/>
      <c r="BO237" s="283"/>
      <c r="BP237" s="282"/>
      <c r="BQ237" s="266"/>
      <c r="BR237" s="266"/>
      <c r="BS237" s="270"/>
    </row>
    <row r="238" spans="1:71">
      <c r="A238" s="251"/>
      <c r="B238" s="251"/>
      <c r="C238" s="251"/>
      <c r="D238" s="251"/>
      <c r="E238" s="582"/>
      <c r="F238" s="583"/>
      <c r="G238" s="583"/>
      <c r="H238" s="584"/>
      <c r="I238" s="573"/>
      <c r="J238" s="574"/>
      <c r="K238" s="574"/>
      <c r="L238" s="575"/>
      <c r="M238" s="573"/>
      <c r="N238" s="574"/>
      <c r="O238" s="574"/>
      <c r="P238" s="575"/>
      <c r="Q238" s="573"/>
      <c r="R238" s="574"/>
      <c r="S238" s="574"/>
      <c r="T238" s="575"/>
      <c r="U238" s="573"/>
      <c r="V238" s="574"/>
      <c r="W238" s="574"/>
      <c r="X238" s="575"/>
      <c r="Y238" s="573"/>
      <c r="Z238" s="574"/>
      <c r="AA238" s="574"/>
      <c r="AB238" s="575"/>
      <c r="AC238" s="258"/>
      <c r="AD238" s="259"/>
      <c r="AE238" s="259"/>
      <c r="AF238" s="260"/>
      <c r="AG238" s="258"/>
      <c r="AH238" s="259"/>
      <c r="AI238" s="259"/>
      <c r="AJ238" s="260"/>
      <c r="AK238" s="258"/>
      <c r="AL238" s="259"/>
      <c r="AM238" s="259"/>
      <c r="AN238" s="260"/>
      <c r="AO238" s="258"/>
      <c r="AP238" s="259"/>
      <c r="AQ238" s="259"/>
      <c r="AR238" s="260"/>
      <c r="AS238" s="258"/>
      <c r="AT238" s="259"/>
      <c r="AU238" s="259"/>
      <c r="AV238" s="260"/>
      <c r="AW238" s="258"/>
      <c r="AX238" s="259"/>
      <c r="AY238" s="259"/>
      <c r="AZ238" s="260"/>
      <c r="BG238" s="243"/>
      <c r="BH238" s="243"/>
      <c r="BI238" s="243"/>
      <c r="BJ238" s="282"/>
      <c r="BK238" s="283"/>
      <c r="BL238" s="283"/>
      <c r="BM238" s="283"/>
      <c r="BN238" s="283"/>
      <c r="BO238" s="283"/>
      <c r="BP238" s="282"/>
      <c r="BQ238" s="266"/>
      <c r="BR238" s="266"/>
      <c r="BS238" s="270"/>
    </row>
    <row r="239" spans="1:71">
      <c r="A239" s="251"/>
      <c r="B239" s="251"/>
      <c r="C239" s="251"/>
      <c r="D239" s="251"/>
      <c r="E239" s="576"/>
      <c r="F239" s="577"/>
      <c r="G239" s="577"/>
      <c r="H239" s="578"/>
      <c r="I239" s="579"/>
      <c r="J239" s="580"/>
      <c r="K239" s="580"/>
      <c r="L239" s="581"/>
      <c r="M239" s="579"/>
      <c r="N239" s="580"/>
      <c r="O239" s="580"/>
      <c r="P239" s="581"/>
      <c r="Q239" s="579"/>
      <c r="R239" s="580"/>
      <c r="S239" s="580"/>
      <c r="T239" s="581"/>
      <c r="U239" s="579"/>
      <c r="V239" s="580"/>
      <c r="W239" s="580"/>
      <c r="X239" s="581"/>
      <c r="Y239" s="579"/>
      <c r="Z239" s="580"/>
      <c r="AA239" s="580"/>
      <c r="AB239" s="581"/>
      <c r="AC239" s="258"/>
      <c r="AD239" s="259"/>
      <c r="AE239" s="259"/>
      <c r="AF239" s="260"/>
      <c r="AG239" s="258"/>
      <c r="AH239" s="259"/>
      <c r="AI239" s="259"/>
      <c r="AJ239" s="260"/>
      <c r="AK239" s="258"/>
      <c r="AL239" s="259"/>
      <c r="AM239" s="259"/>
      <c r="AN239" s="260"/>
      <c r="AO239" s="258"/>
      <c r="AP239" s="259"/>
      <c r="AQ239" s="259"/>
      <c r="AR239" s="260"/>
      <c r="AS239" s="258"/>
      <c r="AT239" s="259"/>
      <c r="AU239" s="259"/>
      <c r="AV239" s="260"/>
      <c r="AW239" s="258"/>
      <c r="AX239" s="259"/>
      <c r="AY239" s="259"/>
      <c r="AZ239" s="260"/>
      <c r="BG239" s="243"/>
      <c r="BH239" s="243"/>
      <c r="BI239" s="243"/>
      <c r="BJ239" s="282"/>
      <c r="BK239" s="283"/>
      <c r="BL239" s="283"/>
      <c r="BM239" s="283"/>
      <c r="BN239" s="283"/>
      <c r="BO239" s="283"/>
      <c r="BP239" s="282"/>
      <c r="BQ239" s="266"/>
      <c r="BR239" s="266"/>
      <c r="BS239" s="270"/>
    </row>
    <row r="240" spans="1:71">
      <c r="A240" s="251"/>
      <c r="B240" s="251"/>
      <c r="C240" s="251"/>
      <c r="D240" s="251"/>
      <c r="E240" s="582"/>
      <c r="F240" s="583"/>
      <c r="G240" s="583"/>
      <c r="H240" s="584"/>
      <c r="I240" s="573"/>
      <c r="J240" s="574"/>
      <c r="K240" s="574"/>
      <c r="L240" s="575"/>
      <c r="M240" s="573"/>
      <c r="N240" s="574"/>
      <c r="O240" s="574"/>
      <c r="P240" s="575"/>
      <c r="Q240" s="573"/>
      <c r="R240" s="574"/>
      <c r="S240" s="574"/>
      <c r="T240" s="575"/>
      <c r="U240" s="573"/>
      <c r="V240" s="574"/>
      <c r="W240" s="574"/>
      <c r="X240" s="575"/>
      <c r="Y240" s="573"/>
      <c r="Z240" s="574"/>
      <c r="AA240" s="574"/>
      <c r="AB240" s="575"/>
      <c r="AC240" s="258"/>
      <c r="AD240" s="259"/>
      <c r="AE240" s="259"/>
      <c r="AF240" s="260"/>
      <c r="AG240" s="258"/>
      <c r="AH240" s="259"/>
      <c r="AI240" s="259"/>
      <c r="AJ240" s="260"/>
      <c r="AK240" s="258"/>
      <c r="AL240" s="259"/>
      <c r="AM240" s="259"/>
      <c r="AN240" s="260"/>
      <c r="AO240" s="258"/>
      <c r="AP240" s="259"/>
      <c r="AQ240" s="259"/>
      <c r="AR240" s="260"/>
      <c r="AS240" s="258"/>
      <c r="AT240" s="259"/>
      <c r="AU240" s="259"/>
      <c r="AV240" s="260"/>
      <c r="AW240" s="258"/>
      <c r="AX240" s="259"/>
      <c r="AY240" s="259"/>
      <c r="AZ240" s="260"/>
      <c r="BG240" s="243"/>
      <c r="BH240" s="243"/>
      <c r="BI240" s="243"/>
      <c r="BJ240" s="282"/>
      <c r="BK240" s="283"/>
      <c r="BL240" s="283"/>
      <c r="BM240" s="283"/>
      <c r="BN240" s="283"/>
      <c r="BO240" s="283"/>
      <c r="BP240" s="282"/>
      <c r="BQ240" s="266"/>
      <c r="BR240" s="266"/>
      <c r="BS240" s="270"/>
    </row>
    <row r="241" spans="1:71">
      <c r="A241" s="251"/>
      <c r="B241" s="251"/>
      <c r="C241" s="251"/>
      <c r="D241" s="251"/>
      <c r="E241" s="576"/>
      <c r="F241" s="577"/>
      <c r="G241" s="577"/>
      <c r="H241" s="578"/>
      <c r="I241" s="579"/>
      <c r="J241" s="580"/>
      <c r="K241" s="580"/>
      <c r="L241" s="581"/>
      <c r="M241" s="579"/>
      <c r="N241" s="580"/>
      <c r="O241" s="580"/>
      <c r="P241" s="581"/>
      <c r="Q241" s="579"/>
      <c r="R241" s="580"/>
      <c r="S241" s="580"/>
      <c r="T241" s="581"/>
      <c r="U241" s="579"/>
      <c r="V241" s="580"/>
      <c r="W241" s="580"/>
      <c r="X241" s="581"/>
      <c r="Y241" s="579"/>
      <c r="Z241" s="580"/>
      <c r="AA241" s="580"/>
      <c r="AB241" s="581"/>
      <c r="AC241" s="258"/>
      <c r="AD241" s="259"/>
      <c r="AE241" s="259"/>
      <c r="AF241" s="260"/>
      <c r="AG241" s="258"/>
      <c r="AH241" s="259"/>
      <c r="AI241" s="259"/>
      <c r="AJ241" s="260"/>
      <c r="AK241" s="258"/>
      <c r="AL241" s="259"/>
      <c r="AM241" s="259"/>
      <c r="AN241" s="260"/>
      <c r="AO241" s="258"/>
      <c r="AP241" s="259"/>
      <c r="AQ241" s="259"/>
      <c r="AR241" s="260"/>
      <c r="AS241" s="258"/>
      <c r="AT241" s="259"/>
      <c r="AU241" s="259"/>
      <c r="AV241" s="260"/>
      <c r="AW241" s="258"/>
      <c r="AX241" s="259"/>
      <c r="AY241" s="259"/>
      <c r="AZ241" s="260"/>
      <c r="BG241" s="243"/>
      <c r="BH241" s="243"/>
      <c r="BI241" s="243"/>
      <c r="BJ241" s="282"/>
      <c r="BK241" s="283"/>
      <c r="BL241" s="283"/>
      <c r="BM241" s="283"/>
      <c r="BN241" s="283"/>
      <c r="BO241" s="283"/>
      <c r="BP241" s="282"/>
      <c r="BQ241" s="266"/>
      <c r="BR241" s="266"/>
      <c r="BS241" s="270"/>
    </row>
    <row r="242" spans="1:71">
      <c r="A242" s="251"/>
      <c r="B242" s="251"/>
      <c r="C242" s="251"/>
      <c r="D242" s="251"/>
      <c r="E242" s="582"/>
      <c r="F242" s="583"/>
      <c r="G242" s="583"/>
      <c r="H242" s="584"/>
      <c r="I242" s="573"/>
      <c r="J242" s="574"/>
      <c r="K242" s="574"/>
      <c r="L242" s="575"/>
      <c r="M242" s="573"/>
      <c r="N242" s="574"/>
      <c r="O242" s="574"/>
      <c r="P242" s="575"/>
      <c r="Q242" s="573"/>
      <c r="R242" s="574"/>
      <c r="S242" s="574"/>
      <c r="T242" s="575"/>
      <c r="U242" s="573"/>
      <c r="V242" s="574"/>
      <c r="W242" s="574"/>
      <c r="X242" s="575"/>
      <c r="Y242" s="573"/>
      <c r="Z242" s="574"/>
      <c r="AA242" s="574"/>
      <c r="AB242" s="575"/>
      <c r="AC242" s="258"/>
      <c r="AD242" s="259"/>
      <c r="AE242" s="259"/>
      <c r="AF242" s="260"/>
      <c r="AG242" s="258"/>
      <c r="AH242" s="259"/>
      <c r="AI242" s="259"/>
      <c r="AJ242" s="260"/>
      <c r="AK242" s="258"/>
      <c r="AL242" s="259"/>
      <c r="AM242" s="259"/>
      <c r="AN242" s="260"/>
      <c r="AO242" s="258"/>
      <c r="AP242" s="259"/>
      <c r="AQ242" s="259"/>
      <c r="AR242" s="260"/>
      <c r="AS242" s="258"/>
      <c r="AT242" s="259"/>
      <c r="AU242" s="259"/>
      <c r="AV242" s="260"/>
      <c r="AW242" s="258"/>
      <c r="AX242" s="259"/>
      <c r="AY242" s="259"/>
      <c r="AZ242" s="260"/>
      <c r="BG242" s="243"/>
      <c r="BH242" s="243"/>
      <c r="BI242" s="243"/>
      <c r="BJ242" s="282"/>
      <c r="BK242" s="283"/>
      <c r="BL242" s="283"/>
      <c r="BM242" s="283"/>
      <c r="BN242" s="283"/>
      <c r="BO242" s="283"/>
      <c r="BP242" s="282"/>
      <c r="BQ242" s="266"/>
      <c r="BR242" s="266"/>
      <c r="BS242" s="270"/>
    </row>
    <row r="243" spans="1:71">
      <c r="A243" s="251"/>
      <c r="B243" s="251"/>
      <c r="C243" s="251"/>
      <c r="D243" s="251"/>
      <c r="E243" s="576"/>
      <c r="F243" s="577"/>
      <c r="G243" s="577"/>
      <c r="H243" s="578"/>
      <c r="I243" s="579"/>
      <c r="J243" s="580"/>
      <c r="K243" s="580"/>
      <c r="L243" s="581"/>
      <c r="M243" s="579"/>
      <c r="N243" s="580"/>
      <c r="O243" s="580"/>
      <c r="P243" s="581"/>
      <c r="Q243" s="579"/>
      <c r="R243" s="580"/>
      <c r="S243" s="580"/>
      <c r="T243" s="581"/>
      <c r="U243" s="579"/>
      <c r="V243" s="580"/>
      <c r="W243" s="580"/>
      <c r="X243" s="581"/>
      <c r="Y243" s="579"/>
      <c r="Z243" s="580"/>
      <c r="AA243" s="580"/>
      <c r="AB243" s="581"/>
      <c r="AC243" s="258"/>
      <c r="AD243" s="259"/>
      <c r="AE243" s="259"/>
      <c r="AF243" s="260"/>
      <c r="AG243" s="258"/>
      <c r="AH243" s="259"/>
      <c r="AI243" s="259"/>
      <c r="AJ243" s="260"/>
      <c r="AK243" s="258"/>
      <c r="AL243" s="259"/>
      <c r="AM243" s="259"/>
      <c r="AN243" s="260"/>
      <c r="AO243" s="258"/>
      <c r="AP243" s="259"/>
      <c r="AQ243" s="259"/>
      <c r="AR243" s="260"/>
      <c r="AS243" s="258"/>
      <c r="AT243" s="259"/>
      <c r="AU243" s="259"/>
      <c r="AV243" s="260"/>
      <c r="AW243" s="258"/>
      <c r="AX243" s="259"/>
      <c r="AY243" s="259"/>
      <c r="AZ243" s="260"/>
      <c r="BG243" s="243"/>
      <c r="BH243" s="243"/>
      <c r="BI243" s="243"/>
      <c r="BJ243" s="282"/>
      <c r="BK243" s="283"/>
      <c r="BL243" s="283"/>
      <c r="BM243" s="283"/>
      <c r="BN243" s="283"/>
      <c r="BO243" s="283"/>
      <c r="BP243" s="282"/>
      <c r="BQ243" s="266"/>
      <c r="BR243" s="266"/>
      <c r="BS243" s="270"/>
    </row>
    <row r="244" spans="1:71">
      <c r="A244" s="251"/>
      <c r="B244" s="251"/>
      <c r="C244" s="251"/>
      <c r="D244" s="251"/>
      <c r="E244" s="582"/>
      <c r="F244" s="583"/>
      <c r="G244" s="583"/>
      <c r="H244" s="584"/>
      <c r="I244" s="573"/>
      <c r="J244" s="574"/>
      <c r="K244" s="574"/>
      <c r="L244" s="575"/>
      <c r="M244" s="573"/>
      <c r="N244" s="574"/>
      <c r="O244" s="574"/>
      <c r="P244" s="575"/>
      <c r="Q244" s="573"/>
      <c r="R244" s="574"/>
      <c r="S244" s="574"/>
      <c r="T244" s="575"/>
      <c r="U244" s="573"/>
      <c r="V244" s="574"/>
      <c r="W244" s="574"/>
      <c r="X244" s="575"/>
      <c r="Y244" s="573"/>
      <c r="Z244" s="574"/>
      <c r="AA244" s="574"/>
      <c r="AB244" s="575"/>
      <c r="AC244" s="258"/>
      <c r="AD244" s="259"/>
      <c r="AE244" s="259"/>
      <c r="AF244" s="260"/>
      <c r="AG244" s="258"/>
      <c r="AH244" s="259"/>
      <c r="AI244" s="259"/>
      <c r="AJ244" s="260"/>
      <c r="AK244" s="258"/>
      <c r="AL244" s="259"/>
      <c r="AM244" s="259"/>
      <c r="AN244" s="260"/>
      <c r="AO244" s="258"/>
      <c r="AP244" s="259"/>
      <c r="AQ244" s="259"/>
      <c r="AR244" s="260"/>
      <c r="AS244" s="258"/>
      <c r="AT244" s="259"/>
      <c r="AU244" s="259"/>
      <c r="AV244" s="260"/>
      <c r="AW244" s="258"/>
      <c r="AX244" s="259"/>
      <c r="AY244" s="259"/>
      <c r="AZ244" s="260"/>
      <c r="BG244" s="243"/>
      <c r="BH244" s="243"/>
      <c r="BI244" s="243"/>
      <c r="BJ244" s="282"/>
      <c r="BK244" s="283"/>
      <c r="BL244" s="283"/>
      <c r="BM244" s="283"/>
      <c r="BN244" s="283"/>
      <c r="BO244" s="283"/>
      <c r="BP244" s="282"/>
      <c r="BQ244" s="266"/>
      <c r="BR244" s="266"/>
      <c r="BS244" s="270"/>
    </row>
    <row r="245" spans="1:71">
      <c r="A245" s="251"/>
      <c r="B245" s="251"/>
      <c r="C245" s="251"/>
      <c r="D245" s="251"/>
      <c r="E245" s="576"/>
      <c r="F245" s="577"/>
      <c r="G245" s="577"/>
      <c r="H245" s="578"/>
      <c r="I245" s="579"/>
      <c r="J245" s="580"/>
      <c r="K245" s="580"/>
      <c r="L245" s="581"/>
      <c r="M245" s="579"/>
      <c r="N245" s="580"/>
      <c r="O245" s="580"/>
      <c r="P245" s="581"/>
      <c r="Q245" s="579"/>
      <c r="R245" s="580"/>
      <c r="S245" s="580"/>
      <c r="T245" s="581"/>
      <c r="U245" s="579"/>
      <c r="V245" s="580"/>
      <c r="W245" s="580"/>
      <c r="X245" s="581"/>
      <c r="Y245" s="579"/>
      <c r="Z245" s="580"/>
      <c r="AA245" s="580"/>
      <c r="AB245" s="581"/>
      <c r="AC245" s="258"/>
      <c r="AD245" s="259"/>
      <c r="AE245" s="259"/>
      <c r="AF245" s="260"/>
      <c r="AG245" s="258"/>
      <c r="AH245" s="259"/>
      <c r="AI245" s="259"/>
      <c r="AJ245" s="260"/>
      <c r="AK245" s="258"/>
      <c r="AL245" s="259"/>
      <c r="AM245" s="259"/>
      <c r="AN245" s="260"/>
      <c r="AO245" s="258"/>
      <c r="AP245" s="259"/>
      <c r="AQ245" s="259"/>
      <c r="AR245" s="260"/>
      <c r="AS245" s="258"/>
      <c r="AT245" s="259"/>
      <c r="AU245" s="259"/>
      <c r="AV245" s="260"/>
      <c r="AW245" s="258"/>
      <c r="AX245" s="259"/>
      <c r="AY245" s="259"/>
      <c r="AZ245" s="260"/>
      <c r="BG245" s="243"/>
      <c r="BH245" s="243"/>
      <c r="BI245" s="243"/>
      <c r="BJ245" s="282"/>
      <c r="BK245" s="283"/>
      <c r="BL245" s="283"/>
      <c r="BM245" s="283"/>
      <c r="BN245" s="283"/>
      <c r="BO245" s="283"/>
      <c r="BP245" s="282"/>
      <c r="BQ245" s="266"/>
      <c r="BR245" s="266"/>
      <c r="BS245" s="270"/>
    </row>
    <row r="246" spans="1:71">
      <c r="A246" s="251"/>
      <c r="B246" s="251"/>
      <c r="C246" s="251"/>
      <c r="D246" s="251"/>
      <c r="E246" s="582"/>
      <c r="F246" s="583"/>
      <c r="G246" s="583"/>
      <c r="H246" s="584"/>
      <c r="I246" s="573"/>
      <c r="J246" s="574"/>
      <c r="K246" s="574"/>
      <c r="L246" s="575"/>
      <c r="M246" s="573"/>
      <c r="N246" s="574"/>
      <c r="O246" s="574"/>
      <c r="P246" s="575"/>
      <c r="Q246" s="573"/>
      <c r="R246" s="574"/>
      <c r="S246" s="574"/>
      <c r="T246" s="575"/>
      <c r="U246" s="573"/>
      <c r="V246" s="574"/>
      <c r="W246" s="574"/>
      <c r="X246" s="575"/>
      <c r="Y246" s="573"/>
      <c r="Z246" s="574"/>
      <c r="AA246" s="574"/>
      <c r="AB246" s="575"/>
      <c r="AC246" s="258"/>
      <c r="AD246" s="259"/>
      <c r="AE246" s="259"/>
      <c r="AF246" s="260"/>
      <c r="AG246" s="258"/>
      <c r="AH246" s="259"/>
      <c r="AI246" s="259"/>
      <c r="AJ246" s="260"/>
      <c r="AK246" s="258"/>
      <c r="AL246" s="259"/>
      <c r="AM246" s="259"/>
      <c r="AN246" s="260"/>
      <c r="AO246" s="258"/>
      <c r="AP246" s="259"/>
      <c r="AQ246" s="259"/>
      <c r="AR246" s="260"/>
      <c r="AS246" s="258"/>
      <c r="AT246" s="259"/>
      <c r="AU246" s="259"/>
      <c r="AV246" s="260"/>
      <c r="AW246" s="258"/>
      <c r="AX246" s="259"/>
      <c r="AY246" s="259"/>
      <c r="AZ246" s="260"/>
      <c r="BG246" s="243"/>
      <c r="BH246" s="243"/>
      <c r="BI246" s="243"/>
      <c r="BJ246" s="282"/>
      <c r="BK246" s="283"/>
      <c r="BL246" s="283"/>
      <c r="BM246" s="283"/>
      <c r="BN246" s="283"/>
      <c r="BO246" s="283"/>
      <c r="BP246" s="282"/>
      <c r="BQ246" s="266"/>
      <c r="BR246" s="266"/>
      <c r="BS246" s="270"/>
    </row>
    <row r="247" spans="1:71">
      <c r="A247" s="251"/>
      <c r="B247" s="251"/>
      <c r="C247" s="251"/>
      <c r="D247" s="251"/>
      <c r="E247" s="576"/>
      <c r="F247" s="577"/>
      <c r="G247" s="577"/>
      <c r="H247" s="578"/>
      <c r="I247" s="579"/>
      <c r="J247" s="580"/>
      <c r="K247" s="580"/>
      <c r="L247" s="581"/>
      <c r="M247" s="579"/>
      <c r="N247" s="580"/>
      <c r="O247" s="580"/>
      <c r="P247" s="581"/>
      <c r="Q247" s="579"/>
      <c r="R247" s="580"/>
      <c r="S247" s="580"/>
      <c r="T247" s="581"/>
      <c r="U247" s="579"/>
      <c r="V247" s="580"/>
      <c r="W247" s="580"/>
      <c r="X247" s="581"/>
      <c r="Y247" s="579"/>
      <c r="Z247" s="580"/>
      <c r="AA247" s="580"/>
      <c r="AB247" s="581"/>
      <c r="AC247" s="258"/>
      <c r="AD247" s="259"/>
      <c r="AE247" s="259"/>
      <c r="AF247" s="260"/>
      <c r="AG247" s="258"/>
      <c r="AH247" s="259"/>
      <c r="AI247" s="259"/>
      <c r="AJ247" s="260"/>
      <c r="AK247" s="258"/>
      <c r="AL247" s="259"/>
      <c r="AM247" s="259"/>
      <c r="AN247" s="260"/>
      <c r="AO247" s="258"/>
      <c r="AP247" s="259"/>
      <c r="AQ247" s="259"/>
      <c r="AR247" s="260"/>
      <c r="AS247" s="258"/>
      <c r="AT247" s="259"/>
      <c r="AU247" s="259"/>
      <c r="AV247" s="260"/>
      <c r="AW247" s="258"/>
      <c r="AX247" s="259"/>
      <c r="AY247" s="259"/>
      <c r="AZ247" s="260"/>
      <c r="BG247" s="243"/>
      <c r="BH247" s="243"/>
      <c r="BI247" s="243"/>
      <c r="BJ247" s="282"/>
      <c r="BK247" s="283"/>
      <c r="BL247" s="283"/>
      <c r="BM247" s="283"/>
      <c r="BN247" s="283"/>
      <c r="BO247" s="283"/>
      <c r="BP247" s="282"/>
      <c r="BQ247" s="266"/>
      <c r="BR247" s="266"/>
      <c r="BS247" s="270"/>
    </row>
    <row r="248" spans="1:71">
      <c r="A248" s="251"/>
      <c r="B248" s="251"/>
      <c r="C248" s="251"/>
      <c r="D248" s="251"/>
      <c r="E248" s="582"/>
      <c r="F248" s="583"/>
      <c r="G248" s="583"/>
      <c r="H248" s="584"/>
      <c r="I248" s="573"/>
      <c r="J248" s="574"/>
      <c r="K248" s="574"/>
      <c r="L248" s="575"/>
      <c r="M248" s="573"/>
      <c r="N248" s="574"/>
      <c r="O248" s="574"/>
      <c r="P248" s="575"/>
      <c r="Q248" s="573"/>
      <c r="R248" s="574"/>
      <c r="S248" s="574"/>
      <c r="T248" s="575"/>
      <c r="U248" s="573"/>
      <c r="V248" s="574"/>
      <c r="W248" s="574"/>
      <c r="X248" s="575"/>
      <c r="Y248" s="573"/>
      <c r="Z248" s="574"/>
      <c r="AA248" s="574"/>
      <c r="AB248" s="575"/>
      <c r="AC248" s="258"/>
      <c r="AD248" s="259"/>
      <c r="AE248" s="259"/>
      <c r="AF248" s="260"/>
      <c r="AG248" s="258"/>
      <c r="AH248" s="259"/>
      <c r="AI248" s="259"/>
      <c r="AJ248" s="260"/>
      <c r="AK248" s="258"/>
      <c r="AL248" s="259"/>
      <c r="AM248" s="259"/>
      <c r="AN248" s="260"/>
      <c r="AO248" s="258"/>
      <c r="AP248" s="259"/>
      <c r="AQ248" s="259"/>
      <c r="AR248" s="260"/>
      <c r="AS248" s="258"/>
      <c r="AT248" s="259"/>
      <c r="AU248" s="259"/>
      <c r="AV248" s="260"/>
      <c r="AW248" s="258"/>
      <c r="AX248" s="259"/>
      <c r="AY248" s="259"/>
      <c r="AZ248" s="260"/>
      <c r="BG248" s="243"/>
      <c r="BH248" s="243"/>
      <c r="BI248" s="243"/>
      <c r="BJ248" s="282"/>
      <c r="BK248" s="283"/>
      <c r="BL248" s="283"/>
      <c r="BM248" s="283"/>
      <c r="BN248" s="283"/>
      <c r="BO248" s="283"/>
      <c r="BP248" s="282"/>
      <c r="BQ248" s="266"/>
      <c r="BR248" s="266"/>
      <c r="BS248" s="270"/>
    </row>
    <row r="249" spans="1:71">
      <c r="A249" s="251"/>
      <c r="B249" s="251"/>
      <c r="C249" s="251"/>
      <c r="D249" s="251"/>
      <c r="E249" s="576"/>
      <c r="F249" s="577"/>
      <c r="G249" s="577"/>
      <c r="H249" s="578"/>
      <c r="I249" s="579"/>
      <c r="J249" s="580"/>
      <c r="K249" s="580"/>
      <c r="L249" s="581"/>
      <c r="M249" s="579"/>
      <c r="N249" s="580"/>
      <c r="O249" s="580"/>
      <c r="P249" s="581"/>
      <c r="Q249" s="579"/>
      <c r="R249" s="580"/>
      <c r="S249" s="580"/>
      <c r="T249" s="581"/>
      <c r="U249" s="579"/>
      <c r="V249" s="580"/>
      <c r="W249" s="580"/>
      <c r="X249" s="581"/>
      <c r="Y249" s="579"/>
      <c r="Z249" s="580"/>
      <c r="AA249" s="580"/>
      <c r="AB249" s="581"/>
      <c r="AC249" s="258"/>
      <c r="AD249" s="259"/>
      <c r="AE249" s="259"/>
      <c r="AF249" s="260"/>
      <c r="AG249" s="258"/>
      <c r="AH249" s="259"/>
      <c r="AI249" s="259"/>
      <c r="AJ249" s="260"/>
      <c r="AK249" s="258"/>
      <c r="AL249" s="259"/>
      <c r="AM249" s="259"/>
      <c r="AN249" s="260"/>
      <c r="AO249" s="258"/>
      <c r="AP249" s="259"/>
      <c r="AQ249" s="259"/>
      <c r="AR249" s="260"/>
      <c r="AS249" s="258"/>
      <c r="AT249" s="259"/>
      <c r="AU249" s="259"/>
      <c r="AV249" s="260"/>
      <c r="AW249" s="258"/>
      <c r="AX249" s="259"/>
      <c r="AY249" s="259"/>
      <c r="AZ249" s="260"/>
      <c r="BG249" s="243"/>
      <c r="BH249" s="243"/>
      <c r="BI249" s="243"/>
      <c r="BJ249" s="282"/>
      <c r="BK249" s="283"/>
      <c r="BL249" s="283"/>
      <c r="BM249" s="283"/>
      <c r="BN249" s="283"/>
      <c r="BO249" s="283"/>
      <c r="BP249" s="282"/>
      <c r="BQ249" s="266"/>
      <c r="BR249" s="266"/>
      <c r="BS249" s="270"/>
    </row>
    <row r="250" spans="1:71">
      <c r="A250" s="251"/>
      <c r="B250" s="251"/>
      <c r="C250" s="251"/>
      <c r="D250" s="251"/>
      <c r="E250" s="582"/>
      <c r="F250" s="583"/>
      <c r="G250" s="583"/>
      <c r="H250" s="584"/>
      <c r="I250" s="573"/>
      <c r="J250" s="574"/>
      <c r="K250" s="574"/>
      <c r="L250" s="575"/>
      <c r="M250" s="573"/>
      <c r="N250" s="574"/>
      <c r="O250" s="574"/>
      <c r="P250" s="575"/>
      <c r="Q250" s="573"/>
      <c r="R250" s="574"/>
      <c r="S250" s="574"/>
      <c r="T250" s="575"/>
      <c r="U250" s="573"/>
      <c r="V250" s="574"/>
      <c r="W250" s="574"/>
      <c r="X250" s="575"/>
      <c r="Y250" s="573"/>
      <c r="Z250" s="574"/>
      <c r="AA250" s="574"/>
      <c r="AB250" s="575"/>
      <c r="AC250" s="258"/>
      <c r="AD250" s="259"/>
      <c r="AE250" s="259"/>
      <c r="AF250" s="260"/>
      <c r="AG250" s="258"/>
      <c r="AH250" s="259"/>
      <c r="AI250" s="259"/>
      <c r="AJ250" s="260"/>
      <c r="AK250" s="258"/>
      <c r="AL250" s="259"/>
      <c r="AM250" s="259"/>
      <c r="AN250" s="260"/>
      <c r="AO250" s="258"/>
      <c r="AP250" s="259"/>
      <c r="AQ250" s="259"/>
      <c r="AR250" s="260"/>
      <c r="AS250" s="258"/>
      <c r="AT250" s="259"/>
      <c r="AU250" s="259"/>
      <c r="AV250" s="260"/>
      <c r="AW250" s="258"/>
      <c r="AX250" s="259"/>
      <c r="AY250" s="259"/>
      <c r="AZ250" s="260"/>
      <c r="BG250" s="243"/>
      <c r="BH250" s="243"/>
      <c r="BI250" s="243"/>
      <c r="BJ250" s="282"/>
      <c r="BK250" s="283"/>
      <c r="BL250" s="283"/>
      <c r="BM250" s="283"/>
      <c r="BN250" s="283"/>
      <c r="BO250" s="283"/>
      <c r="BP250" s="282"/>
      <c r="BQ250" s="266"/>
      <c r="BR250" s="266"/>
      <c r="BS250" s="270"/>
    </row>
    <row r="251" spans="1:71">
      <c r="A251" s="251"/>
      <c r="B251" s="251"/>
      <c r="C251" s="251"/>
      <c r="D251" s="251"/>
      <c r="E251" s="576"/>
      <c r="F251" s="577"/>
      <c r="G251" s="577"/>
      <c r="H251" s="578"/>
      <c r="I251" s="579"/>
      <c r="J251" s="580"/>
      <c r="K251" s="580"/>
      <c r="L251" s="581"/>
      <c r="M251" s="579"/>
      <c r="N251" s="580"/>
      <c r="O251" s="580"/>
      <c r="P251" s="581"/>
      <c r="Q251" s="579"/>
      <c r="R251" s="580"/>
      <c r="S251" s="580"/>
      <c r="T251" s="581"/>
      <c r="U251" s="579"/>
      <c r="V251" s="580"/>
      <c r="W251" s="580"/>
      <c r="X251" s="581"/>
      <c r="Y251" s="579"/>
      <c r="Z251" s="580"/>
      <c r="AA251" s="580"/>
      <c r="AB251" s="581"/>
      <c r="AC251" s="258"/>
      <c r="AD251" s="259"/>
      <c r="AE251" s="259"/>
      <c r="AF251" s="260"/>
      <c r="AG251" s="258"/>
      <c r="AH251" s="259"/>
      <c r="AI251" s="259"/>
      <c r="AJ251" s="260"/>
      <c r="AK251" s="258"/>
      <c r="AL251" s="259"/>
      <c r="AM251" s="259"/>
      <c r="AN251" s="260"/>
      <c r="AO251" s="258"/>
      <c r="AP251" s="259"/>
      <c r="AQ251" s="259"/>
      <c r="AR251" s="260"/>
      <c r="AS251" s="258"/>
      <c r="AT251" s="259"/>
      <c r="AU251" s="259"/>
      <c r="AV251" s="260"/>
      <c r="AW251" s="258"/>
      <c r="AX251" s="259"/>
      <c r="AY251" s="259"/>
      <c r="AZ251" s="260"/>
      <c r="BG251" s="243"/>
      <c r="BH251" s="243"/>
      <c r="BI251" s="243"/>
      <c r="BJ251" s="282"/>
      <c r="BK251" s="283"/>
      <c r="BL251" s="283"/>
      <c r="BM251" s="283"/>
      <c r="BN251" s="283"/>
      <c r="BO251" s="283"/>
      <c r="BP251" s="282"/>
      <c r="BQ251" s="266"/>
      <c r="BR251" s="266"/>
      <c r="BS251" s="270"/>
    </row>
    <row r="252" spans="1:71">
      <c r="A252" s="251"/>
      <c r="B252" s="251"/>
      <c r="C252" s="251"/>
      <c r="D252" s="251"/>
      <c r="E252" s="582"/>
      <c r="F252" s="583"/>
      <c r="G252" s="583"/>
      <c r="H252" s="584"/>
      <c r="I252" s="573"/>
      <c r="J252" s="574"/>
      <c r="K252" s="574"/>
      <c r="L252" s="575"/>
      <c r="M252" s="573"/>
      <c r="N252" s="574"/>
      <c r="O252" s="574"/>
      <c r="P252" s="575"/>
      <c r="Q252" s="573"/>
      <c r="R252" s="574"/>
      <c r="S252" s="574"/>
      <c r="T252" s="575"/>
      <c r="U252" s="573"/>
      <c r="V252" s="574"/>
      <c r="W252" s="574"/>
      <c r="X252" s="575"/>
      <c r="Y252" s="573"/>
      <c r="Z252" s="574"/>
      <c r="AA252" s="574"/>
      <c r="AB252" s="575"/>
      <c r="AC252" s="258"/>
      <c r="AD252" s="259"/>
      <c r="AE252" s="259"/>
      <c r="AF252" s="260"/>
      <c r="AG252" s="258"/>
      <c r="AH252" s="259"/>
      <c r="AI252" s="259"/>
      <c r="AJ252" s="260"/>
      <c r="AK252" s="258"/>
      <c r="AL252" s="259"/>
      <c r="AM252" s="259"/>
      <c r="AN252" s="260"/>
      <c r="AO252" s="258"/>
      <c r="AP252" s="259"/>
      <c r="AQ252" s="259"/>
      <c r="AR252" s="260"/>
      <c r="AS252" s="258"/>
      <c r="AT252" s="259"/>
      <c r="AU252" s="259"/>
      <c r="AV252" s="260"/>
      <c r="AW252" s="258"/>
      <c r="AX252" s="259"/>
      <c r="AY252" s="259"/>
      <c r="AZ252" s="260"/>
      <c r="BG252" s="243"/>
      <c r="BH252" s="243"/>
      <c r="BI252" s="243"/>
      <c r="BJ252" s="282"/>
      <c r="BK252" s="283"/>
      <c r="BL252" s="283"/>
      <c r="BM252" s="283"/>
      <c r="BN252" s="283"/>
      <c r="BO252" s="283"/>
      <c r="BP252" s="282"/>
      <c r="BQ252" s="266"/>
      <c r="BR252" s="266"/>
      <c r="BS252" s="270"/>
    </row>
    <row r="253" spans="1:71">
      <c r="A253" s="251"/>
      <c r="B253" s="251"/>
      <c r="C253" s="251"/>
      <c r="D253" s="251"/>
      <c r="E253" s="576"/>
      <c r="F253" s="577"/>
      <c r="G253" s="577"/>
      <c r="H253" s="578"/>
      <c r="I253" s="579"/>
      <c r="J253" s="580"/>
      <c r="K253" s="580"/>
      <c r="L253" s="581"/>
      <c r="M253" s="579"/>
      <c r="N253" s="580"/>
      <c r="O253" s="580"/>
      <c r="P253" s="581"/>
      <c r="Q253" s="579"/>
      <c r="R253" s="580"/>
      <c r="S253" s="580"/>
      <c r="T253" s="581"/>
      <c r="U253" s="579"/>
      <c r="V253" s="580"/>
      <c r="W253" s="580"/>
      <c r="X253" s="581"/>
      <c r="Y253" s="579"/>
      <c r="Z253" s="580"/>
      <c r="AA253" s="580"/>
      <c r="AB253" s="581"/>
      <c r="AC253" s="258"/>
      <c r="AD253" s="259"/>
      <c r="AE253" s="259"/>
      <c r="AF253" s="260"/>
      <c r="AG253" s="258"/>
      <c r="AH253" s="259"/>
      <c r="AI253" s="259"/>
      <c r="AJ253" s="260"/>
      <c r="AK253" s="258"/>
      <c r="AL253" s="259"/>
      <c r="AM253" s="259"/>
      <c r="AN253" s="260"/>
      <c r="AO253" s="258"/>
      <c r="AP253" s="259"/>
      <c r="AQ253" s="259"/>
      <c r="AR253" s="260"/>
      <c r="AS253" s="258"/>
      <c r="AT253" s="259"/>
      <c r="AU253" s="259"/>
      <c r="AV253" s="260"/>
      <c r="AW253" s="258"/>
      <c r="AX253" s="259"/>
      <c r="AY253" s="259"/>
      <c r="AZ253" s="260"/>
      <c r="BG253" s="243"/>
      <c r="BH253" s="243"/>
      <c r="BI253" s="243"/>
      <c r="BJ253" s="282"/>
      <c r="BK253" s="283"/>
      <c r="BL253" s="283"/>
      <c r="BM253" s="283"/>
      <c r="BN253" s="283"/>
      <c r="BO253" s="283"/>
      <c r="BP253" s="282"/>
      <c r="BQ253" s="266"/>
      <c r="BR253" s="266"/>
      <c r="BS253" s="270"/>
    </row>
    <row r="254" spans="1:71">
      <c r="A254" s="251"/>
      <c r="B254" s="251"/>
      <c r="C254" s="251"/>
      <c r="D254" s="251"/>
      <c r="E254" s="582"/>
      <c r="F254" s="583"/>
      <c r="G254" s="583"/>
      <c r="H254" s="584"/>
      <c r="I254" s="573"/>
      <c r="J254" s="574"/>
      <c r="K254" s="574"/>
      <c r="L254" s="575"/>
      <c r="M254" s="573"/>
      <c r="N254" s="574"/>
      <c r="O254" s="574"/>
      <c r="P254" s="575"/>
      <c r="Q254" s="573"/>
      <c r="R254" s="574"/>
      <c r="S254" s="574"/>
      <c r="T254" s="575"/>
      <c r="U254" s="573"/>
      <c r="V254" s="574"/>
      <c r="W254" s="574"/>
      <c r="X254" s="575"/>
      <c r="Y254" s="573"/>
      <c r="Z254" s="574"/>
      <c r="AA254" s="574"/>
      <c r="AB254" s="575"/>
      <c r="AC254" s="258"/>
      <c r="AD254" s="259"/>
      <c r="AE254" s="259"/>
      <c r="AF254" s="260"/>
      <c r="AG254" s="258"/>
      <c r="AH254" s="259"/>
      <c r="AI254" s="259"/>
      <c r="AJ254" s="260"/>
      <c r="AK254" s="258"/>
      <c r="AL254" s="259"/>
      <c r="AM254" s="259"/>
      <c r="AN254" s="260"/>
      <c r="AO254" s="258"/>
      <c r="AP254" s="259"/>
      <c r="AQ254" s="259"/>
      <c r="AR254" s="260"/>
      <c r="AS254" s="258"/>
      <c r="AT254" s="259"/>
      <c r="AU254" s="259"/>
      <c r="AV254" s="260"/>
      <c r="AW254" s="258"/>
      <c r="AX254" s="259"/>
      <c r="AY254" s="259"/>
      <c r="AZ254" s="260"/>
      <c r="BG254" s="243"/>
      <c r="BH254" s="243"/>
      <c r="BI254" s="243"/>
      <c r="BJ254" s="282"/>
      <c r="BK254" s="283"/>
      <c r="BL254" s="283"/>
      <c r="BM254" s="283"/>
      <c r="BN254" s="283"/>
      <c r="BO254" s="283"/>
      <c r="BP254" s="282"/>
      <c r="BQ254" s="266"/>
      <c r="BR254" s="266"/>
      <c r="BS254" s="270"/>
    </row>
    <row r="255" spans="1:71">
      <c r="A255" s="251"/>
      <c r="B255" s="251"/>
      <c r="C255" s="251"/>
      <c r="D255" s="251"/>
      <c r="E255" s="576"/>
      <c r="F255" s="577"/>
      <c r="G255" s="577"/>
      <c r="H255" s="578"/>
      <c r="I255" s="579"/>
      <c r="J255" s="580"/>
      <c r="K255" s="580"/>
      <c r="L255" s="581"/>
      <c r="M255" s="579"/>
      <c r="N255" s="580"/>
      <c r="O255" s="580"/>
      <c r="P255" s="581"/>
      <c r="Q255" s="579"/>
      <c r="R255" s="580"/>
      <c r="S255" s="580"/>
      <c r="T255" s="581"/>
      <c r="U255" s="579"/>
      <c r="V255" s="580"/>
      <c r="W255" s="580"/>
      <c r="X255" s="581"/>
      <c r="Y255" s="579"/>
      <c r="Z255" s="580"/>
      <c r="AA255" s="580"/>
      <c r="AB255" s="581"/>
      <c r="AC255" s="258"/>
      <c r="AD255" s="259"/>
      <c r="AE255" s="259"/>
      <c r="AF255" s="260"/>
      <c r="AG255" s="258"/>
      <c r="AH255" s="259"/>
      <c r="AI255" s="259"/>
      <c r="AJ255" s="260"/>
      <c r="AK255" s="258"/>
      <c r="AL255" s="259"/>
      <c r="AM255" s="259"/>
      <c r="AN255" s="260"/>
      <c r="AO255" s="258"/>
      <c r="AP255" s="259"/>
      <c r="AQ255" s="259"/>
      <c r="AR255" s="260"/>
      <c r="AS255" s="258"/>
      <c r="AT255" s="259"/>
      <c r="AU255" s="259"/>
      <c r="AV255" s="260"/>
      <c r="AW255" s="258"/>
      <c r="AX255" s="259"/>
      <c r="AY255" s="259"/>
      <c r="AZ255" s="260"/>
      <c r="BG255" s="243"/>
      <c r="BH255" s="243"/>
      <c r="BI255" s="243"/>
      <c r="BJ255" s="282"/>
      <c r="BK255" s="283"/>
      <c r="BL255" s="283"/>
      <c r="BM255" s="283"/>
      <c r="BN255" s="283"/>
      <c r="BO255" s="283"/>
      <c r="BP255" s="282"/>
      <c r="BQ255" s="266"/>
      <c r="BR255" s="266"/>
      <c r="BS255" s="270"/>
    </row>
    <row r="256" spans="1:71">
      <c r="A256" s="251"/>
      <c r="B256" s="251"/>
      <c r="C256" s="251"/>
      <c r="D256" s="251"/>
      <c r="E256" s="582"/>
      <c r="F256" s="583"/>
      <c r="G256" s="583"/>
      <c r="H256" s="584"/>
      <c r="I256" s="573"/>
      <c r="J256" s="574"/>
      <c r="K256" s="574"/>
      <c r="L256" s="575"/>
      <c r="M256" s="573"/>
      <c r="N256" s="574"/>
      <c r="O256" s="574"/>
      <c r="P256" s="575"/>
      <c r="Q256" s="573"/>
      <c r="R256" s="574"/>
      <c r="S256" s="574"/>
      <c r="T256" s="575"/>
      <c r="U256" s="573"/>
      <c r="V256" s="574"/>
      <c r="W256" s="574"/>
      <c r="X256" s="575"/>
      <c r="Y256" s="573"/>
      <c r="Z256" s="574"/>
      <c r="AA256" s="574"/>
      <c r="AB256" s="575"/>
      <c r="AC256" s="258"/>
      <c r="AD256" s="259"/>
      <c r="AE256" s="259"/>
      <c r="AF256" s="260"/>
      <c r="AG256" s="258"/>
      <c r="AH256" s="259"/>
      <c r="AI256" s="259"/>
      <c r="AJ256" s="260"/>
      <c r="AK256" s="258"/>
      <c r="AL256" s="259"/>
      <c r="AM256" s="259"/>
      <c r="AN256" s="260"/>
      <c r="AO256" s="258"/>
      <c r="AP256" s="259"/>
      <c r="AQ256" s="259"/>
      <c r="AR256" s="260"/>
      <c r="AS256" s="258"/>
      <c r="AT256" s="259"/>
      <c r="AU256" s="259"/>
      <c r="AV256" s="260"/>
      <c r="AW256" s="258"/>
      <c r="AX256" s="259"/>
      <c r="AY256" s="259"/>
      <c r="AZ256" s="260"/>
      <c r="BG256" s="243"/>
      <c r="BH256" s="243"/>
      <c r="BI256" s="243"/>
      <c r="BJ256" s="282"/>
      <c r="BK256" s="283"/>
      <c r="BL256" s="283"/>
      <c r="BM256" s="283"/>
      <c r="BN256" s="283"/>
      <c r="BO256" s="283"/>
      <c r="BP256" s="282"/>
      <c r="BQ256" s="266"/>
      <c r="BR256" s="266"/>
      <c r="BS256" s="270"/>
    </row>
    <row r="257" spans="1:71">
      <c r="A257" s="251"/>
      <c r="B257" s="251"/>
      <c r="C257" s="251"/>
      <c r="D257" s="251"/>
      <c r="E257" s="576"/>
      <c r="F257" s="577"/>
      <c r="G257" s="577"/>
      <c r="H257" s="578"/>
      <c r="I257" s="579"/>
      <c r="J257" s="580"/>
      <c r="K257" s="580"/>
      <c r="L257" s="581"/>
      <c r="M257" s="579"/>
      <c r="N257" s="580"/>
      <c r="O257" s="580"/>
      <c r="P257" s="581"/>
      <c r="Q257" s="579"/>
      <c r="R257" s="580"/>
      <c r="S257" s="580"/>
      <c r="T257" s="581"/>
      <c r="U257" s="579"/>
      <c r="V257" s="580"/>
      <c r="W257" s="580"/>
      <c r="X257" s="581"/>
      <c r="Y257" s="579"/>
      <c r="Z257" s="580"/>
      <c r="AA257" s="580"/>
      <c r="AB257" s="581"/>
      <c r="AC257" s="258"/>
      <c r="AD257" s="259"/>
      <c r="AE257" s="259"/>
      <c r="AF257" s="260"/>
      <c r="AG257" s="258"/>
      <c r="AH257" s="259"/>
      <c r="AI257" s="259"/>
      <c r="AJ257" s="260"/>
      <c r="AK257" s="258"/>
      <c r="AL257" s="259"/>
      <c r="AM257" s="259"/>
      <c r="AN257" s="260"/>
      <c r="AO257" s="258"/>
      <c r="AP257" s="259"/>
      <c r="AQ257" s="259"/>
      <c r="AR257" s="260"/>
      <c r="AS257" s="258"/>
      <c r="AT257" s="259"/>
      <c r="AU257" s="259"/>
      <c r="AV257" s="260"/>
      <c r="AW257" s="258"/>
      <c r="AX257" s="259"/>
      <c r="AY257" s="259"/>
      <c r="AZ257" s="260"/>
      <c r="BG257" s="243"/>
      <c r="BH257" s="243"/>
      <c r="BI257" s="243"/>
      <c r="BJ257" s="282"/>
      <c r="BK257" s="283"/>
      <c r="BL257" s="283"/>
      <c r="BM257" s="283"/>
      <c r="BN257" s="283"/>
      <c r="BO257" s="283"/>
      <c r="BP257" s="282"/>
      <c r="BQ257" s="266"/>
      <c r="BR257" s="266"/>
      <c r="BS257" s="270"/>
    </row>
    <row r="258" spans="1:71">
      <c r="A258" s="251"/>
      <c r="B258" s="251"/>
      <c r="C258" s="251"/>
      <c r="D258" s="251"/>
      <c r="E258" s="582"/>
      <c r="F258" s="583"/>
      <c r="G258" s="583"/>
      <c r="H258" s="584"/>
      <c r="I258" s="573"/>
      <c r="J258" s="574"/>
      <c r="K258" s="574"/>
      <c r="L258" s="575"/>
      <c r="M258" s="573"/>
      <c r="N258" s="574"/>
      <c r="O258" s="574"/>
      <c r="P258" s="575"/>
      <c r="Q258" s="573"/>
      <c r="R258" s="574"/>
      <c r="S258" s="574"/>
      <c r="T258" s="575"/>
      <c r="U258" s="573"/>
      <c r="V258" s="574"/>
      <c r="W258" s="574"/>
      <c r="X258" s="575"/>
      <c r="Y258" s="573"/>
      <c r="Z258" s="574"/>
      <c r="AA258" s="574"/>
      <c r="AB258" s="575"/>
      <c r="AC258" s="258"/>
      <c r="AD258" s="259"/>
      <c r="AE258" s="259"/>
      <c r="AF258" s="260"/>
      <c r="AG258" s="258"/>
      <c r="AH258" s="259"/>
      <c r="AI258" s="259"/>
      <c r="AJ258" s="260"/>
      <c r="AK258" s="258"/>
      <c r="AL258" s="259"/>
      <c r="AM258" s="259"/>
      <c r="AN258" s="260"/>
      <c r="AO258" s="258"/>
      <c r="AP258" s="259"/>
      <c r="AQ258" s="259"/>
      <c r="AR258" s="260"/>
      <c r="AS258" s="258"/>
      <c r="AT258" s="259"/>
      <c r="AU258" s="259"/>
      <c r="AV258" s="260"/>
      <c r="AW258" s="258"/>
      <c r="AX258" s="259"/>
      <c r="AY258" s="259"/>
      <c r="AZ258" s="260"/>
      <c r="BG258" s="243"/>
      <c r="BH258" s="243"/>
      <c r="BI258" s="243"/>
      <c r="BJ258" s="282"/>
      <c r="BK258" s="283"/>
      <c r="BL258" s="283"/>
      <c r="BM258" s="283"/>
      <c r="BN258" s="283"/>
      <c r="BO258" s="283"/>
      <c r="BP258" s="282"/>
      <c r="BQ258" s="266"/>
      <c r="BR258" s="266"/>
      <c r="BS258" s="270"/>
    </row>
    <row r="259" spans="1:71">
      <c r="A259" s="251"/>
      <c r="B259" s="251"/>
      <c r="C259" s="251"/>
      <c r="D259" s="251"/>
      <c r="E259" s="576"/>
      <c r="F259" s="577"/>
      <c r="G259" s="577"/>
      <c r="H259" s="578"/>
      <c r="I259" s="579"/>
      <c r="J259" s="580"/>
      <c r="K259" s="580"/>
      <c r="L259" s="581"/>
      <c r="M259" s="579"/>
      <c r="N259" s="580"/>
      <c r="O259" s="580"/>
      <c r="P259" s="581"/>
      <c r="Q259" s="579"/>
      <c r="R259" s="580"/>
      <c r="S259" s="580"/>
      <c r="T259" s="581"/>
      <c r="U259" s="579"/>
      <c r="V259" s="580"/>
      <c r="W259" s="580"/>
      <c r="X259" s="581"/>
      <c r="Y259" s="579"/>
      <c r="Z259" s="580"/>
      <c r="AA259" s="580"/>
      <c r="AB259" s="581"/>
      <c r="AC259" s="258"/>
      <c r="AD259" s="259"/>
      <c r="AE259" s="259"/>
      <c r="AF259" s="260"/>
      <c r="AG259" s="258"/>
      <c r="AH259" s="259"/>
      <c r="AI259" s="259"/>
      <c r="AJ259" s="260"/>
      <c r="AK259" s="258"/>
      <c r="AL259" s="259"/>
      <c r="AM259" s="259"/>
      <c r="AN259" s="260"/>
      <c r="AO259" s="258"/>
      <c r="AP259" s="259"/>
      <c r="AQ259" s="259"/>
      <c r="AR259" s="260"/>
      <c r="AS259" s="258"/>
      <c r="AT259" s="259"/>
      <c r="AU259" s="259"/>
      <c r="AV259" s="260"/>
      <c r="AW259" s="258"/>
      <c r="AX259" s="259"/>
      <c r="AY259" s="259"/>
      <c r="AZ259" s="260"/>
      <c r="BG259" s="243"/>
      <c r="BH259" s="243"/>
      <c r="BI259" s="243"/>
      <c r="BJ259" s="282"/>
      <c r="BK259" s="283"/>
      <c r="BL259" s="283"/>
      <c r="BM259" s="283"/>
      <c r="BN259" s="283"/>
      <c r="BO259" s="283"/>
      <c r="BP259" s="282"/>
      <c r="BQ259" s="266"/>
      <c r="BR259" s="266"/>
      <c r="BS259" s="270"/>
    </row>
    <row r="260" spans="1:71">
      <c r="A260" s="251"/>
      <c r="B260" s="251"/>
      <c r="C260" s="251"/>
      <c r="D260" s="251"/>
      <c r="E260" s="582"/>
      <c r="F260" s="583"/>
      <c r="G260" s="583"/>
      <c r="H260" s="584"/>
      <c r="I260" s="573"/>
      <c r="J260" s="574"/>
      <c r="K260" s="574"/>
      <c r="L260" s="575"/>
      <c r="M260" s="573"/>
      <c r="N260" s="574"/>
      <c r="O260" s="574"/>
      <c r="P260" s="575"/>
      <c r="Q260" s="573"/>
      <c r="R260" s="574"/>
      <c r="S260" s="574"/>
      <c r="T260" s="575"/>
      <c r="U260" s="573"/>
      <c r="V260" s="574"/>
      <c r="W260" s="574"/>
      <c r="X260" s="575"/>
      <c r="Y260" s="573"/>
      <c r="Z260" s="574"/>
      <c r="AA260" s="574"/>
      <c r="AB260" s="575"/>
      <c r="AC260" s="258"/>
      <c r="AD260" s="259"/>
      <c r="AE260" s="259"/>
      <c r="AF260" s="260"/>
      <c r="AG260" s="258"/>
      <c r="AH260" s="259"/>
      <c r="AI260" s="259"/>
      <c r="AJ260" s="260"/>
      <c r="AK260" s="258"/>
      <c r="AL260" s="259"/>
      <c r="AM260" s="259"/>
      <c r="AN260" s="260"/>
      <c r="AO260" s="258"/>
      <c r="AP260" s="259"/>
      <c r="AQ260" s="259"/>
      <c r="AR260" s="260"/>
      <c r="AS260" s="258"/>
      <c r="AT260" s="259"/>
      <c r="AU260" s="259"/>
      <c r="AV260" s="260"/>
      <c r="AW260" s="258"/>
      <c r="AX260" s="259"/>
      <c r="AY260" s="259"/>
      <c r="AZ260" s="260"/>
      <c r="BG260" s="243"/>
      <c r="BH260" s="243"/>
      <c r="BI260" s="243"/>
      <c r="BJ260" s="282"/>
      <c r="BK260" s="283"/>
      <c r="BL260" s="283"/>
      <c r="BM260" s="283"/>
      <c r="BN260" s="283"/>
      <c r="BO260" s="283"/>
      <c r="BP260" s="282"/>
      <c r="BQ260" s="266"/>
      <c r="BR260" s="266"/>
      <c r="BS260" s="270"/>
    </row>
    <row r="261" spans="1:71">
      <c r="A261" s="251"/>
      <c r="B261" s="251"/>
      <c r="C261" s="251"/>
      <c r="D261" s="251"/>
      <c r="E261" s="576"/>
      <c r="F261" s="577"/>
      <c r="G261" s="577"/>
      <c r="H261" s="578"/>
      <c r="I261" s="579"/>
      <c r="J261" s="580"/>
      <c r="K261" s="580"/>
      <c r="L261" s="581"/>
      <c r="M261" s="579"/>
      <c r="N261" s="580"/>
      <c r="O261" s="580"/>
      <c r="P261" s="581"/>
      <c r="Q261" s="579"/>
      <c r="R261" s="580"/>
      <c r="S261" s="580"/>
      <c r="T261" s="581"/>
      <c r="U261" s="579"/>
      <c r="V261" s="580"/>
      <c r="W261" s="580"/>
      <c r="X261" s="581"/>
      <c r="Y261" s="579"/>
      <c r="Z261" s="580"/>
      <c r="AA261" s="580"/>
      <c r="AB261" s="581"/>
      <c r="AC261" s="258"/>
      <c r="AD261" s="259"/>
      <c r="AE261" s="259"/>
      <c r="AF261" s="260"/>
      <c r="AG261" s="258"/>
      <c r="AH261" s="259"/>
      <c r="AI261" s="259"/>
      <c r="AJ261" s="260"/>
      <c r="AK261" s="258"/>
      <c r="AL261" s="259"/>
      <c r="AM261" s="259"/>
      <c r="AN261" s="260"/>
      <c r="AO261" s="258"/>
      <c r="AP261" s="259"/>
      <c r="AQ261" s="259"/>
      <c r="AR261" s="260"/>
      <c r="AS261" s="258"/>
      <c r="AT261" s="259"/>
      <c r="AU261" s="259"/>
      <c r="AV261" s="260"/>
      <c r="AW261" s="258"/>
      <c r="AX261" s="259"/>
      <c r="AY261" s="259"/>
      <c r="AZ261" s="260"/>
      <c r="BG261" s="243"/>
      <c r="BH261" s="243"/>
      <c r="BI261" s="243"/>
      <c r="BJ261" s="282"/>
      <c r="BK261" s="283"/>
      <c r="BL261" s="283"/>
      <c r="BM261" s="283"/>
      <c r="BN261" s="283"/>
      <c r="BO261" s="283"/>
      <c r="BP261" s="282"/>
      <c r="BQ261" s="266"/>
      <c r="BR261" s="266"/>
      <c r="BS261" s="270"/>
    </row>
    <row r="262" spans="1:71">
      <c r="A262" s="251"/>
      <c r="B262" s="251"/>
      <c r="C262" s="251"/>
      <c r="D262" s="251"/>
      <c r="E262" s="582"/>
      <c r="F262" s="583"/>
      <c r="G262" s="583"/>
      <c r="H262" s="584"/>
      <c r="I262" s="573"/>
      <c r="J262" s="574"/>
      <c r="K262" s="574"/>
      <c r="L262" s="575"/>
      <c r="M262" s="573"/>
      <c r="N262" s="574"/>
      <c r="O262" s="574"/>
      <c r="P262" s="575"/>
      <c r="Q262" s="573"/>
      <c r="R262" s="574"/>
      <c r="S262" s="574"/>
      <c r="T262" s="575"/>
      <c r="U262" s="573"/>
      <c r="V262" s="574"/>
      <c r="W262" s="574"/>
      <c r="X262" s="575"/>
      <c r="Y262" s="573"/>
      <c r="Z262" s="574"/>
      <c r="AA262" s="574"/>
      <c r="AB262" s="575"/>
      <c r="AC262" s="258"/>
      <c r="AD262" s="259"/>
      <c r="AE262" s="259"/>
      <c r="AF262" s="260"/>
      <c r="AG262" s="258"/>
      <c r="AH262" s="259"/>
      <c r="AI262" s="259"/>
      <c r="AJ262" s="260"/>
      <c r="AK262" s="258"/>
      <c r="AL262" s="259"/>
      <c r="AM262" s="259"/>
      <c r="AN262" s="260"/>
      <c r="AO262" s="258"/>
      <c r="AP262" s="259"/>
      <c r="AQ262" s="259"/>
      <c r="AR262" s="260"/>
      <c r="AS262" s="258"/>
      <c r="AT262" s="259"/>
      <c r="AU262" s="259"/>
      <c r="AV262" s="260"/>
      <c r="AW262" s="258"/>
      <c r="AX262" s="259"/>
      <c r="AY262" s="259"/>
      <c r="AZ262" s="260"/>
      <c r="BG262" s="243"/>
      <c r="BH262" s="243"/>
      <c r="BI262" s="243"/>
      <c r="BJ262" s="282"/>
      <c r="BK262" s="283"/>
      <c r="BL262" s="283"/>
      <c r="BM262" s="283"/>
      <c r="BN262" s="283"/>
      <c r="BO262" s="283"/>
      <c r="BP262" s="282"/>
      <c r="BQ262" s="266"/>
      <c r="BR262" s="266"/>
      <c r="BS262" s="270"/>
    </row>
    <row r="263" spans="1:71">
      <c r="A263" s="251"/>
      <c r="B263" s="251"/>
      <c r="C263" s="251"/>
      <c r="D263" s="251"/>
      <c r="E263" s="576"/>
      <c r="F263" s="577"/>
      <c r="G263" s="577"/>
      <c r="H263" s="578"/>
      <c r="I263" s="579"/>
      <c r="J263" s="580"/>
      <c r="K263" s="580"/>
      <c r="L263" s="581"/>
      <c r="M263" s="579"/>
      <c r="N263" s="580"/>
      <c r="O263" s="580"/>
      <c r="P263" s="581"/>
      <c r="Q263" s="579"/>
      <c r="R263" s="580"/>
      <c r="S263" s="580"/>
      <c r="T263" s="581"/>
      <c r="U263" s="579"/>
      <c r="V263" s="580"/>
      <c r="W263" s="580"/>
      <c r="X263" s="581"/>
      <c r="Y263" s="579"/>
      <c r="Z263" s="580"/>
      <c r="AA263" s="580"/>
      <c r="AB263" s="581"/>
      <c r="AC263" s="258"/>
      <c r="AD263" s="259"/>
      <c r="AE263" s="259"/>
      <c r="AF263" s="260"/>
      <c r="AG263" s="258"/>
      <c r="AH263" s="259"/>
      <c r="AI263" s="259"/>
      <c r="AJ263" s="260"/>
      <c r="AK263" s="258"/>
      <c r="AL263" s="259"/>
      <c r="AM263" s="259"/>
      <c r="AN263" s="260"/>
      <c r="AO263" s="258"/>
      <c r="AP263" s="259"/>
      <c r="AQ263" s="259"/>
      <c r="AR263" s="260"/>
      <c r="AS263" s="258"/>
      <c r="AT263" s="259"/>
      <c r="AU263" s="259"/>
      <c r="AV263" s="260"/>
      <c r="AW263" s="258"/>
      <c r="AX263" s="259"/>
      <c r="AY263" s="259"/>
      <c r="AZ263" s="260"/>
      <c r="BG263" s="243"/>
      <c r="BH263" s="243"/>
      <c r="BI263" s="243"/>
      <c r="BJ263" s="282"/>
      <c r="BK263" s="283"/>
      <c r="BL263" s="283"/>
      <c r="BM263" s="283"/>
      <c r="BN263" s="283"/>
      <c r="BO263" s="283"/>
      <c r="BP263" s="282"/>
      <c r="BQ263" s="266"/>
      <c r="BR263" s="266"/>
      <c r="BS263" s="270"/>
    </row>
    <row r="264" spans="1:71">
      <c r="A264" s="251"/>
      <c r="B264" s="251"/>
      <c r="C264" s="251"/>
      <c r="D264" s="251"/>
      <c r="E264" s="582"/>
      <c r="F264" s="583"/>
      <c r="G264" s="583"/>
      <c r="H264" s="584"/>
      <c r="I264" s="573"/>
      <c r="J264" s="574"/>
      <c r="K264" s="574"/>
      <c r="L264" s="575"/>
      <c r="M264" s="573"/>
      <c r="N264" s="574"/>
      <c r="O264" s="574"/>
      <c r="P264" s="575"/>
      <c r="Q264" s="573"/>
      <c r="R264" s="574"/>
      <c r="S264" s="574"/>
      <c r="T264" s="575"/>
      <c r="U264" s="573"/>
      <c r="V264" s="574"/>
      <c r="W264" s="574"/>
      <c r="X264" s="575"/>
      <c r="Y264" s="573"/>
      <c r="Z264" s="574"/>
      <c r="AA264" s="574"/>
      <c r="AB264" s="575"/>
      <c r="AC264" s="258"/>
      <c r="AD264" s="259"/>
      <c r="AE264" s="259"/>
      <c r="AF264" s="260"/>
      <c r="AG264" s="258"/>
      <c r="AH264" s="259"/>
      <c r="AI264" s="259"/>
      <c r="AJ264" s="260"/>
      <c r="AK264" s="258"/>
      <c r="AL264" s="259"/>
      <c r="AM264" s="259"/>
      <c r="AN264" s="260"/>
      <c r="AO264" s="258"/>
      <c r="AP264" s="259"/>
      <c r="AQ264" s="259"/>
      <c r="AR264" s="260"/>
      <c r="AS264" s="258"/>
      <c r="AT264" s="259"/>
      <c r="AU264" s="259"/>
      <c r="AV264" s="260"/>
      <c r="AW264" s="258"/>
      <c r="AX264" s="259"/>
      <c r="AY264" s="259"/>
      <c r="AZ264" s="260"/>
      <c r="BG264" s="243"/>
      <c r="BH264" s="243"/>
      <c r="BI264" s="243"/>
      <c r="BJ264" s="282"/>
      <c r="BK264" s="283"/>
      <c r="BL264" s="283"/>
      <c r="BM264" s="283"/>
      <c r="BN264" s="283"/>
      <c r="BO264" s="283"/>
      <c r="BP264" s="282"/>
      <c r="BQ264" s="266"/>
      <c r="BR264" s="266"/>
      <c r="BS264" s="270"/>
    </row>
    <row r="265" spans="1:71">
      <c r="A265" s="251"/>
      <c r="B265" s="251"/>
      <c r="C265" s="251"/>
      <c r="D265" s="251"/>
      <c r="E265" s="576"/>
      <c r="F265" s="577"/>
      <c r="G265" s="577"/>
      <c r="H265" s="578"/>
      <c r="I265" s="579"/>
      <c r="J265" s="580"/>
      <c r="K265" s="580"/>
      <c r="L265" s="581"/>
      <c r="M265" s="579"/>
      <c r="N265" s="580"/>
      <c r="O265" s="580"/>
      <c r="P265" s="581"/>
      <c r="Q265" s="579"/>
      <c r="R265" s="580"/>
      <c r="S265" s="580"/>
      <c r="T265" s="581"/>
      <c r="U265" s="579"/>
      <c r="V265" s="580"/>
      <c r="W265" s="580"/>
      <c r="X265" s="581"/>
      <c r="Y265" s="579"/>
      <c r="Z265" s="580"/>
      <c r="AA265" s="580"/>
      <c r="AB265" s="581"/>
      <c r="AC265" s="258"/>
      <c r="AD265" s="259"/>
      <c r="AE265" s="259"/>
      <c r="AF265" s="260"/>
      <c r="AG265" s="258"/>
      <c r="AH265" s="259"/>
      <c r="AI265" s="259"/>
      <c r="AJ265" s="260"/>
      <c r="AK265" s="258"/>
      <c r="AL265" s="259"/>
      <c r="AM265" s="259"/>
      <c r="AN265" s="260"/>
      <c r="AO265" s="258"/>
      <c r="AP265" s="259"/>
      <c r="AQ265" s="259"/>
      <c r="AR265" s="260"/>
      <c r="AS265" s="258"/>
      <c r="AT265" s="259"/>
      <c r="AU265" s="259"/>
      <c r="AV265" s="260"/>
      <c r="AW265" s="258"/>
      <c r="AX265" s="259"/>
      <c r="AY265" s="259"/>
      <c r="AZ265" s="260"/>
      <c r="BG265" s="243"/>
      <c r="BH265" s="243"/>
      <c r="BI265" s="243"/>
      <c r="BJ265" s="282"/>
      <c r="BK265" s="283"/>
      <c r="BL265" s="283"/>
      <c r="BM265" s="283"/>
      <c r="BN265" s="283"/>
      <c r="BO265" s="283"/>
      <c r="BP265" s="282"/>
      <c r="BQ265" s="266"/>
      <c r="BR265" s="266"/>
      <c r="BS265" s="270"/>
    </row>
    <row r="266" spans="1:71">
      <c r="A266" s="251"/>
      <c r="B266" s="251"/>
      <c r="C266" s="251"/>
      <c r="D266" s="251"/>
      <c r="E266" s="582"/>
      <c r="F266" s="583"/>
      <c r="G266" s="583"/>
      <c r="H266" s="584"/>
      <c r="I266" s="573"/>
      <c r="J266" s="574"/>
      <c r="K266" s="574"/>
      <c r="L266" s="575"/>
      <c r="M266" s="573"/>
      <c r="N266" s="574"/>
      <c r="O266" s="574"/>
      <c r="P266" s="575"/>
      <c r="Q266" s="573"/>
      <c r="R266" s="574"/>
      <c r="S266" s="574"/>
      <c r="T266" s="575"/>
      <c r="U266" s="573"/>
      <c r="V266" s="574"/>
      <c r="W266" s="574"/>
      <c r="X266" s="575"/>
      <c r="Y266" s="573"/>
      <c r="Z266" s="574"/>
      <c r="AA266" s="574"/>
      <c r="AB266" s="575"/>
      <c r="AC266" s="258"/>
      <c r="AD266" s="259"/>
      <c r="AE266" s="259"/>
      <c r="AF266" s="260"/>
      <c r="AG266" s="258"/>
      <c r="AH266" s="259"/>
      <c r="AI266" s="259"/>
      <c r="AJ266" s="260"/>
      <c r="AK266" s="258"/>
      <c r="AL266" s="259"/>
      <c r="AM266" s="259"/>
      <c r="AN266" s="260"/>
      <c r="AO266" s="258"/>
      <c r="AP266" s="259"/>
      <c r="AQ266" s="259"/>
      <c r="AR266" s="260"/>
      <c r="AS266" s="258"/>
      <c r="AT266" s="259"/>
      <c r="AU266" s="259"/>
      <c r="AV266" s="260"/>
      <c r="AW266" s="258"/>
      <c r="AX266" s="259"/>
      <c r="AY266" s="259"/>
      <c r="AZ266" s="260"/>
      <c r="BG266" s="243"/>
      <c r="BH266" s="243"/>
      <c r="BI266" s="243"/>
      <c r="BJ266" s="282"/>
      <c r="BK266" s="283"/>
      <c r="BL266" s="283"/>
      <c r="BM266" s="283"/>
      <c r="BN266" s="283"/>
      <c r="BO266" s="283"/>
      <c r="BP266" s="282"/>
      <c r="BQ266" s="266"/>
      <c r="BR266" s="266"/>
      <c r="BS266" s="270"/>
    </row>
    <row r="267" spans="1:71">
      <c r="A267" s="251"/>
      <c r="B267" s="251"/>
      <c r="C267" s="251"/>
      <c r="D267" s="251"/>
      <c r="E267" s="576"/>
      <c r="F267" s="577"/>
      <c r="G267" s="577"/>
      <c r="H267" s="578"/>
      <c r="I267" s="579"/>
      <c r="J267" s="580"/>
      <c r="K267" s="580"/>
      <c r="L267" s="581"/>
      <c r="M267" s="579"/>
      <c r="N267" s="580"/>
      <c r="O267" s="580"/>
      <c r="P267" s="581"/>
      <c r="Q267" s="579"/>
      <c r="R267" s="580"/>
      <c r="S267" s="580"/>
      <c r="T267" s="581"/>
      <c r="U267" s="579"/>
      <c r="V267" s="580"/>
      <c r="W267" s="580"/>
      <c r="X267" s="581"/>
      <c r="Y267" s="579"/>
      <c r="Z267" s="580"/>
      <c r="AA267" s="580"/>
      <c r="AB267" s="581"/>
      <c r="AC267" s="258"/>
      <c r="AD267" s="259"/>
      <c r="AE267" s="259"/>
      <c r="AF267" s="260"/>
      <c r="AG267" s="258"/>
      <c r="AH267" s="259"/>
      <c r="AI267" s="259"/>
      <c r="AJ267" s="260"/>
      <c r="AK267" s="258"/>
      <c r="AL267" s="259"/>
      <c r="AM267" s="259"/>
      <c r="AN267" s="260"/>
      <c r="AO267" s="258"/>
      <c r="AP267" s="259"/>
      <c r="AQ267" s="259"/>
      <c r="AR267" s="260"/>
      <c r="AS267" s="258"/>
      <c r="AT267" s="259"/>
      <c r="AU267" s="259"/>
      <c r="AV267" s="260"/>
      <c r="AW267" s="258"/>
      <c r="AX267" s="259"/>
      <c r="AY267" s="259"/>
      <c r="AZ267" s="260"/>
      <c r="BG267" s="243"/>
      <c r="BH267" s="243"/>
      <c r="BI267" s="243"/>
      <c r="BJ267" s="282"/>
      <c r="BK267" s="283"/>
      <c r="BL267" s="283"/>
      <c r="BM267" s="283"/>
      <c r="BN267" s="283"/>
      <c r="BO267" s="283"/>
      <c r="BP267" s="282"/>
      <c r="BQ267" s="266"/>
      <c r="BR267" s="266"/>
      <c r="BS267" s="270"/>
    </row>
    <row r="268" spans="1:71">
      <c r="A268" s="251"/>
      <c r="B268" s="251"/>
      <c r="C268" s="251"/>
      <c r="D268" s="251"/>
      <c r="E268" s="582"/>
      <c r="F268" s="583"/>
      <c r="G268" s="583"/>
      <c r="H268" s="584"/>
      <c r="I268" s="573"/>
      <c r="J268" s="574"/>
      <c r="K268" s="574"/>
      <c r="L268" s="575"/>
      <c r="M268" s="573"/>
      <c r="N268" s="574"/>
      <c r="O268" s="574"/>
      <c r="P268" s="575"/>
      <c r="Q268" s="573"/>
      <c r="R268" s="574"/>
      <c r="S268" s="574"/>
      <c r="T268" s="575"/>
      <c r="U268" s="573"/>
      <c r="V268" s="574"/>
      <c r="W268" s="574"/>
      <c r="X268" s="575"/>
      <c r="Y268" s="573"/>
      <c r="Z268" s="574"/>
      <c r="AA268" s="574"/>
      <c r="AB268" s="575"/>
      <c r="AC268" s="258"/>
      <c r="AD268" s="259"/>
      <c r="AE268" s="259"/>
      <c r="AF268" s="260"/>
      <c r="AG268" s="258"/>
      <c r="AH268" s="259"/>
      <c r="AI268" s="259"/>
      <c r="AJ268" s="260"/>
      <c r="AK268" s="258"/>
      <c r="AL268" s="259"/>
      <c r="AM268" s="259"/>
      <c r="AN268" s="260"/>
      <c r="AO268" s="258"/>
      <c r="AP268" s="259"/>
      <c r="AQ268" s="259"/>
      <c r="AR268" s="260"/>
      <c r="AS268" s="258"/>
      <c r="AT268" s="259"/>
      <c r="AU268" s="259"/>
      <c r="AV268" s="260"/>
      <c r="AW268" s="258"/>
      <c r="AX268" s="259"/>
      <c r="AY268" s="259"/>
      <c r="AZ268" s="260"/>
      <c r="BG268" s="243"/>
      <c r="BH268" s="243"/>
      <c r="BI268" s="243"/>
      <c r="BJ268" s="282"/>
      <c r="BK268" s="283"/>
      <c r="BL268" s="283"/>
      <c r="BM268" s="283"/>
      <c r="BN268" s="283"/>
      <c r="BO268" s="283"/>
      <c r="BP268" s="282"/>
      <c r="BQ268" s="266"/>
      <c r="BR268" s="266"/>
      <c r="BS268" s="270"/>
    </row>
    <row r="269" spans="1:71">
      <c r="A269" s="251"/>
      <c r="B269" s="251"/>
      <c r="C269" s="251"/>
      <c r="D269" s="251"/>
      <c r="E269" s="576"/>
      <c r="F269" s="577"/>
      <c r="G269" s="577"/>
      <c r="H269" s="578"/>
      <c r="I269" s="579"/>
      <c r="J269" s="580"/>
      <c r="K269" s="580"/>
      <c r="L269" s="581"/>
      <c r="M269" s="579"/>
      <c r="N269" s="580"/>
      <c r="O269" s="580"/>
      <c r="P269" s="581"/>
      <c r="Q269" s="579"/>
      <c r="R269" s="580"/>
      <c r="S269" s="580"/>
      <c r="T269" s="581"/>
      <c r="U269" s="579"/>
      <c r="V269" s="580"/>
      <c r="W269" s="580"/>
      <c r="X269" s="581"/>
      <c r="Y269" s="579"/>
      <c r="Z269" s="580"/>
      <c r="AA269" s="580"/>
      <c r="AB269" s="581"/>
      <c r="AC269" s="258"/>
      <c r="AD269" s="259"/>
      <c r="AE269" s="259"/>
      <c r="AF269" s="260"/>
      <c r="AG269" s="258"/>
      <c r="AH269" s="259"/>
      <c r="AI269" s="259"/>
      <c r="AJ269" s="260"/>
      <c r="AK269" s="258"/>
      <c r="AL269" s="259"/>
      <c r="AM269" s="259"/>
      <c r="AN269" s="260"/>
      <c r="AO269" s="258"/>
      <c r="AP269" s="259"/>
      <c r="AQ269" s="259"/>
      <c r="AR269" s="260"/>
      <c r="AS269" s="258"/>
      <c r="AT269" s="259"/>
      <c r="AU269" s="259"/>
      <c r="AV269" s="260"/>
      <c r="AW269" s="258"/>
      <c r="AX269" s="259"/>
      <c r="AY269" s="259"/>
      <c r="AZ269" s="260"/>
      <c r="BG269" s="243"/>
      <c r="BH269" s="243"/>
      <c r="BI269" s="243"/>
      <c r="BJ269" s="282"/>
      <c r="BK269" s="283"/>
      <c r="BL269" s="283"/>
      <c r="BM269" s="283"/>
      <c r="BN269" s="283"/>
      <c r="BO269" s="283"/>
      <c r="BP269" s="282"/>
      <c r="BQ269" s="266"/>
      <c r="BR269" s="266"/>
      <c r="BS269" s="270"/>
    </row>
    <row r="270" spans="1:71">
      <c r="A270" s="251"/>
      <c r="B270" s="251"/>
      <c r="C270" s="251"/>
      <c r="D270" s="251"/>
      <c r="E270" s="582"/>
      <c r="F270" s="583"/>
      <c r="G270" s="583"/>
      <c r="H270" s="584"/>
      <c r="I270" s="573"/>
      <c r="J270" s="574"/>
      <c r="K270" s="574"/>
      <c r="L270" s="575"/>
      <c r="M270" s="573"/>
      <c r="N270" s="574"/>
      <c r="O270" s="574"/>
      <c r="P270" s="575"/>
      <c r="Q270" s="573"/>
      <c r="R270" s="574"/>
      <c r="S270" s="574"/>
      <c r="T270" s="575"/>
      <c r="U270" s="573"/>
      <c r="V270" s="574"/>
      <c r="W270" s="574"/>
      <c r="X270" s="575"/>
      <c r="Y270" s="573"/>
      <c r="Z270" s="574"/>
      <c r="AA270" s="574"/>
      <c r="AB270" s="575"/>
      <c r="AC270" s="258"/>
      <c r="AD270" s="259"/>
      <c r="AE270" s="259"/>
      <c r="AF270" s="260"/>
      <c r="AG270" s="258"/>
      <c r="AH270" s="259"/>
      <c r="AI270" s="259"/>
      <c r="AJ270" s="260"/>
      <c r="AK270" s="258"/>
      <c r="AL270" s="259"/>
      <c r="AM270" s="259"/>
      <c r="AN270" s="260"/>
      <c r="AO270" s="258"/>
      <c r="AP270" s="259"/>
      <c r="AQ270" s="259"/>
      <c r="AR270" s="260"/>
      <c r="AS270" s="258"/>
      <c r="AT270" s="259"/>
      <c r="AU270" s="259"/>
      <c r="AV270" s="260"/>
      <c r="AW270" s="258"/>
      <c r="AX270" s="259"/>
      <c r="AY270" s="259"/>
      <c r="AZ270" s="260"/>
      <c r="BG270" s="243"/>
      <c r="BH270" s="243"/>
      <c r="BI270" s="243"/>
      <c r="BJ270" s="282"/>
      <c r="BK270" s="283"/>
      <c r="BL270" s="283"/>
      <c r="BM270" s="283"/>
      <c r="BN270" s="283"/>
      <c r="BO270" s="283"/>
      <c r="BP270" s="282"/>
      <c r="BQ270" s="266"/>
      <c r="BR270" s="266"/>
      <c r="BS270" s="270"/>
    </row>
    <row r="271" spans="1:71">
      <c r="A271" s="251"/>
      <c r="B271" s="251"/>
      <c r="C271" s="251"/>
      <c r="D271" s="251"/>
      <c r="E271" s="576"/>
      <c r="F271" s="577"/>
      <c r="G271" s="577"/>
      <c r="H271" s="578"/>
      <c r="I271" s="579"/>
      <c r="J271" s="580"/>
      <c r="K271" s="580"/>
      <c r="L271" s="581"/>
      <c r="M271" s="579"/>
      <c r="N271" s="580"/>
      <c r="O271" s="580"/>
      <c r="P271" s="581"/>
      <c r="Q271" s="579"/>
      <c r="R271" s="580"/>
      <c r="S271" s="580"/>
      <c r="T271" s="581"/>
      <c r="U271" s="579"/>
      <c r="V271" s="580"/>
      <c r="W271" s="580"/>
      <c r="X271" s="581"/>
      <c r="Y271" s="579"/>
      <c r="Z271" s="580"/>
      <c r="AA271" s="580"/>
      <c r="AB271" s="581"/>
      <c r="AC271" s="258"/>
      <c r="AD271" s="259"/>
      <c r="AE271" s="259"/>
      <c r="AF271" s="260"/>
      <c r="AG271" s="258"/>
      <c r="AH271" s="259"/>
      <c r="AI271" s="259"/>
      <c r="AJ271" s="260"/>
      <c r="AK271" s="258"/>
      <c r="AL271" s="259"/>
      <c r="AM271" s="259"/>
      <c r="AN271" s="260"/>
      <c r="AO271" s="258"/>
      <c r="AP271" s="259"/>
      <c r="AQ271" s="259"/>
      <c r="AR271" s="260"/>
      <c r="AS271" s="258"/>
      <c r="AT271" s="259"/>
      <c r="AU271" s="259"/>
      <c r="AV271" s="260"/>
      <c r="AW271" s="258"/>
      <c r="AX271" s="259"/>
      <c r="AY271" s="259"/>
      <c r="AZ271" s="260"/>
      <c r="BG271" s="243"/>
      <c r="BH271" s="243"/>
      <c r="BI271" s="243"/>
      <c r="BJ271" s="282"/>
      <c r="BK271" s="283"/>
      <c r="BL271" s="283"/>
      <c r="BM271" s="283"/>
      <c r="BN271" s="283"/>
      <c r="BO271" s="283"/>
      <c r="BP271" s="282"/>
      <c r="BQ271" s="266"/>
      <c r="BR271" s="266"/>
      <c r="BS271" s="270"/>
    </row>
    <row r="272" spans="1:71">
      <c r="A272" s="251"/>
      <c r="B272" s="251"/>
      <c r="C272" s="251"/>
      <c r="D272" s="251"/>
      <c r="E272" s="582"/>
      <c r="F272" s="583"/>
      <c r="G272" s="583"/>
      <c r="H272" s="584"/>
      <c r="I272" s="573"/>
      <c r="J272" s="574"/>
      <c r="K272" s="574"/>
      <c r="L272" s="575"/>
      <c r="M272" s="573"/>
      <c r="N272" s="574"/>
      <c r="O272" s="574"/>
      <c r="P272" s="575"/>
      <c r="Q272" s="573"/>
      <c r="R272" s="574"/>
      <c r="S272" s="574"/>
      <c r="T272" s="575"/>
      <c r="U272" s="573"/>
      <c r="V272" s="574"/>
      <c r="W272" s="574"/>
      <c r="X272" s="575"/>
      <c r="Y272" s="573"/>
      <c r="Z272" s="574"/>
      <c r="AA272" s="574"/>
      <c r="AB272" s="575"/>
      <c r="AC272" s="258"/>
      <c r="AD272" s="259"/>
      <c r="AE272" s="259"/>
      <c r="AF272" s="260"/>
      <c r="AG272" s="258"/>
      <c r="AH272" s="259"/>
      <c r="AI272" s="259"/>
      <c r="AJ272" s="260"/>
      <c r="AK272" s="258"/>
      <c r="AL272" s="259"/>
      <c r="AM272" s="259"/>
      <c r="AN272" s="260"/>
      <c r="AO272" s="258"/>
      <c r="AP272" s="259"/>
      <c r="AQ272" s="259"/>
      <c r="AR272" s="260"/>
      <c r="AS272" s="258"/>
      <c r="AT272" s="259"/>
      <c r="AU272" s="259"/>
      <c r="AV272" s="260"/>
      <c r="AW272" s="258"/>
      <c r="AX272" s="259"/>
      <c r="AY272" s="259"/>
      <c r="AZ272" s="260"/>
      <c r="BG272" s="243"/>
      <c r="BH272" s="243"/>
      <c r="BI272" s="243"/>
      <c r="BJ272" s="282"/>
      <c r="BK272" s="283"/>
      <c r="BL272" s="283"/>
      <c r="BM272" s="283"/>
      <c r="BN272" s="283"/>
      <c r="BO272" s="283"/>
      <c r="BP272" s="282"/>
      <c r="BQ272" s="266"/>
      <c r="BR272" s="266"/>
      <c r="BS272" s="270"/>
    </row>
    <row r="273" spans="1:71">
      <c r="A273" s="251"/>
      <c r="B273" s="251"/>
      <c r="C273" s="251"/>
      <c r="D273" s="251"/>
      <c r="E273" s="576"/>
      <c r="F273" s="577"/>
      <c r="G273" s="577"/>
      <c r="H273" s="578"/>
      <c r="I273" s="579"/>
      <c r="J273" s="580"/>
      <c r="K273" s="580"/>
      <c r="L273" s="581"/>
      <c r="M273" s="579"/>
      <c r="N273" s="580"/>
      <c r="O273" s="580"/>
      <c r="P273" s="581"/>
      <c r="Q273" s="579"/>
      <c r="R273" s="580"/>
      <c r="S273" s="580"/>
      <c r="T273" s="581"/>
      <c r="U273" s="579"/>
      <c r="V273" s="580"/>
      <c r="W273" s="580"/>
      <c r="X273" s="581"/>
      <c r="Y273" s="579"/>
      <c r="Z273" s="580"/>
      <c r="AA273" s="580"/>
      <c r="AB273" s="581"/>
      <c r="AC273" s="258"/>
      <c r="AD273" s="259"/>
      <c r="AE273" s="259"/>
      <c r="AF273" s="260"/>
      <c r="AG273" s="258"/>
      <c r="AH273" s="259"/>
      <c r="AI273" s="259"/>
      <c r="AJ273" s="260"/>
      <c r="AK273" s="258"/>
      <c r="AL273" s="259"/>
      <c r="AM273" s="259"/>
      <c r="AN273" s="260"/>
      <c r="AO273" s="258"/>
      <c r="AP273" s="259"/>
      <c r="AQ273" s="259"/>
      <c r="AR273" s="260"/>
      <c r="AS273" s="258"/>
      <c r="AT273" s="259"/>
      <c r="AU273" s="259"/>
      <c r="AV273" s="260"/>
      <c r="AW273" s="258"/>
      <c r="AX273" s="259"/>
      <c r="AY273" s="259"/>
      <c r="AZ273" s="260"/>
      <c r="BG273" s="243"/>
      <c r="BH273" s="243"/>
      <c r="BI273" s="243"/>
      <c r="BJ273" s="282"/>
      <c r="BK273" s="283"/>
      <c r="BL273" s="283"/>
      <c r="BM273" s="283"/>
      <c r="BN273" s="283"/>
      <c r="BO273" s="283"/>
      <c r="BP273" s="282"/>
      <c r="BQ273" s="266"/>
      <c r="BR273" s="266"/>
      <c r="BS273" s="270"/>
    </row>
    <row r="274" spans="1:71">
      <c r="A274" s="251"/>
      <c r="B274" s="251"/>
      <c r="C274" s="251"/>
      <c r="D274" s="251"/>
      <c r="E274" s="582"/>
      <c r="F274" s="583"/>
      <c r="G274" s="583"/>
      <c r="H274" s="584"/>
      <c r="I274" s="573"/>
      <c r="J274" s="574"/>
      <c r="K274" s="574"/>
      <c r="L274" s="575"/>
      <c r="M274" s="573"/>
      <c r="N274" s="574"/>
      <c r="O274" s="574"/>
      <c r="P274" s="575"/>
      <c r="Q274" s="573"/>
      <c r="R274" s="574"/>
      <c r="S274" s="574"/>
      <c r="T274" s="575"/>
      <c r="U274" s="573"/>
      <c r="V274" s="574"/>
      <c r="W274" s="574"/>
      <c r="X274" s="575"/>
      <c r="Y274" s="573"/>
      <c r="Z274" s="574"/>
      <c r="AA274" s="574"/>
      <c r="AB274" s="575"/>
      <c r="AC274" s="258"/>
      <c r="AD274" s="259"/>
      <c r="AE274" s="259"/>
      <c r="AF274" s="260"/>
      <c r="AG274" s="258"/>
      <c r="AH274" s="259"/>
      <c r="AI274" s="259"/>
      <c r="AJ274" s="260"/>
      <c r="AK274" s="258"/>
      <c r="AL274" s="259"/>
      <c r="AM274" s="259"/>
      <c r="AN274" s="260"/>
      <c r="AO274" s="258"/>
      <c r="AP274" s="259"/>
      <c r="AQ274" s="259"/>
      <c r="AR274" s="260"/>
      <c r="AS274" s="258"/>
      <c r="AT274" s="259"/>
      <c r="AU274" s="259"/>
      <c r="AV274" s="260"/>
      <c r="AW274" s="258"/>
      <c r="AX274" s="259"/>
      <c r="AY274" s="259"/>
      <c r="AZ274" s="260"/>
      <c r="BG274" s="243"/>
      <c r="BH274" s="243"/>
      <c r="BI274" s="243"/>
      <c r="BJ274" s="282"/>
      <c r="BK274" s="283"/>
      <c r="BL274" s="283"/>
      <c r="BM274" s="283"/>
      <c r="BN274" s="283"/>
      <c r="BO274" s="283"/>
      <c r="BP274" s="282"/>
      <c r="BQ274" s="266"/>
      <c r="BR274" s="266"/>
      <c r="BS274" s="270"/>
    </row>
    <row r="275" spans="1:71">
      <c r="A275" s="251"/>
      <c r="B275" s="251"/>
      <c r="C275" s="251"/>
      <c r="D275" s="251"/>
      <c r="E275" s="576"/>
      <c r="F275" s="577"/>
      <c r="G275" s="577"/>
      <c r="H275" s="578"/>
      <c r="I275" s="579"/>
      <c r="J275" s="580"/>
      <c r="K275" s="580"/>
      <c r="L275" s="581"/>
      <c r="M275" s="579"/>
      <c r="N275" s="580"/>
      <c r="O275" s="580"/>
      <c r="P275" s="581"/>
      <c r="Q275" s="579"/>
      <c r="R275" s="580"/>
      <c r="S275" s="580"/>
      <c r="T275" s="581"/>
      <c r="U275" s="579"/>
      <c r="V275" s="580"/>
      <c r="W275" s="580"/>
      <c r="X275" s="581"/>
      <c r="Y275" s="579"/>
      <c r="Z275" s="580"/>
      <c r="AA275" s="580"/>
      <c r="AB275" s="581"/>
      <c r="AC275" s="258"/>
      <c r="AD275" s="259"/>
      <c r="AE275" s="259"/>
      <c r="AF275" s="260"/>
      <c r="AG275" s="258"/>
      <c r="AH275" s="259"/>
      <c r="AI275" s="259"/>
      <c r="AJ275" s="260"/>
      <c r="AK275" s="258"/>
      <c r="AL275" s="259"/>
      <c r="AM275" s="259"/>
      <c r="AN275" s="260"/>
      <c r="AO275" s="258"/>
      <c r="AP275" s="259"/>
      <c r="AQ275" s="259"/>
      <c r="AR275" s="260"/>
      <c r="AS275" s="258"/>
      <c r="AT275" s="259"/>
      <c r="AU275" s="259"/>
      <c r="AV275" s="260"/>
      <c r="AW275" s="258"/>
      <c r="AX275" s="259"/>
      <c r="AY275" s="259"/>
      <c r="AZ275" s="260"/>
      <c r="BG275" s="243"/>
      <c r="BH275" s="243"/>
      <c r="BI275" s="243"/>
      <c r="BJ275" s="282"/>
      <c r="BK275" s="283"/>
      <c r="BL275" s="283"/>
      <c r="BM275" s="283"/>
      <c r="BN275" s="283"/>
      <c r="BO275" s="283"/>
      <c r="BP275" s="282"/>
      <c r="BQ275" s="266"/>
      <c r="BR275" s="266"/>
      <c r="BS275" s="270"/>
    </row>
    <row r="276" spans="1:71">
      <c r="A276" s="251"/>
      <c r="B276" s="251"/>
      <c r="C276" s="251"/>
      <c r="D276" s="251"/>
      <c r="E276" s="582"/>
      <c r="F276" s="583"/>
      <c r="G276" s="583"/>
      <c r="H276" s="584"/>
      <c r="I276" s="573"/>
      <c r="J276" s="574"/>
      <c r="K276" s="574"/>
      <c r="L276" s="575"/>
      <c r="M276" s="573"/>
      <c r="N276" s="574"/>
      <c r="O276" s="574"/>
      <c r="P276" s="575"/>
      <c r="Q276" s="573"/>
      <c r="R276" s="574"/>
      <c r="S276" s="574"/>
      <c r="T276" s="575"/>
      <c r="U276" s="573"/>
      <c r="V276" s="574"/>
      <c r="W276" s="574"/>
      <c r="X276" s="575"/>
      <c r="Y276" s="573"/>
      <c r="Z276" s="574"/>
      <c r="AA276" s="574"/>
      <c r="AB276" s="575"/>
      <c r="AC276" s="258"/>
      <c r="AD276" s="259"/>
      <c r="AE276" s="259"/>
      <c r="AF276" s="260"/>
      <c r="AG276" s="258"/>
      <c r="AH276" s="259"/>
      <c r="AI276" s="259"/>
      <c r="AJ276" s="260"/>
      <c r="AK276" s="258"/>
      <c r="AL276" s="259"/>
      <c r="AM276" s="259"/>
      <c r="AN276" s="260"/>
      <c r="AO276" s="258"/>
      <c r="AP276" s="259"/>
      <c r="AQ276" s="259"/>
      <c r="AR276" s="260"/>
      <c r="AS276" s="258"/>
      <c r="AT276" s="259"/>
      <c r="AU276" s="259"/>
      <c r="AV276" s="260"/>
      <c r="AW276" s="258"/>
      <c r="AX276" s="259"/>
      <c r="AY276" s="259"/>
      <c r="AZ276" s="260"/>
      <c r="BG276" s="243"/>
      <c r="BH276" s="243"/>
      <c r="BI276" s="243"/>
      <c r="BJ276" s="282"/>
      <c r="BK276" s="283"/>
      <c r="BL276" s="283"/>
      <c r="BM276" s="283"/>
      <c r="BN276" s="283"/>
      <c r="BO276" s="283"/>
      <c r="BP276" s="282"/>
      <c r="BQ276" s="266"/>
      <c r="BR276" s="266"/>
      <c r="BS276" s="270"/>
    </row>
    <row r="277" spans="1:71">
      <c r="A277" s="251"/>
      <c r="B277" s="251"/>
      <c r="C277" s="251"/>
      <c r="D277" s="251"/>
      <c r="E277" s="576"/>
      <c r="F277" s="577"/>
      <c r="G277" s="577"/>
      <c r="H277" s="578"/>
      <c r="I277" s="579"/>
      <c r="J277" s="580"/>
      <c r="K277" s="580"/>
      <c r="L277" s="581"/>
      <c r="M277" s="579"/>
      <c r="N277" s="580"/>
      <c r="O277" s="580"/>
      <c r="P277" s="581"/>
      <c r="Q277" s="579"/>
      <c r="R277" s="580"/>
      <c r="S277" s="580"/>
      <c r="T277" s="581"/>
      <c r="U277" s="579"/>
      <c r="V277" s="580"/>
      <c r="W277" s="580"/>
      <c r="X277" s="581"/>
      <c r="Y277" s="579"/>
      <c r="Z277" s="580"/>
      <c r="AA277" s="580"/>
      <c r="AB277" s="581"/>
      <c r="AC277" s="258"/>
      <c r="AD277" s="259"/>
      <c r="AE277" s="259"/>
      <c r="AF277" s="260"/>
      <c r="AG277" s="258"/>
      <c r="AH277" s="259"/>
      <c r="AI277" s="259"/>
      <c r="AJ277" s="260"/>
      <c r="AK277" s="258"/>
      <c r="AL277" s="259"/>
      <c r="AM277" s="259"/>
      <c r="AN277" s="260"/>
      <c r="AO277" s="258"/>
      <c r="AP277" s="259"/>
      <c r="AQ277" s="259"/>
      <c r="AR277" s="260"/>
      <c r="AS277" s="258"/>
      <c r="AT277" s="259"/>
      <c r="AU277" s="259"/>
      <c r="AV277" s="260"/>
      <c r="AW277" s="258"/>
      <c r="AX277" s="259"/>
      <c r="AY277" s="259"/>
      <c r="AZ277" s="260"/>
      <c r="BG277" s="243"/>
      <c r="BH277" s="243"/>
      <c r="BI277" s="243"/>
      <c r="BJ277" s="282"/>
      <c r="BK277" s="283"/>
      <c r="BL277" s="283"/>
      <c r="BM277" s="283"/>
      <c r="BN277" s="283"/>
      <c r="BO277" s="283"/>
      <c r="BP277" s="282"/>
      <c r="BQ277" s="266"/>
      <c r="BR277" s="266"/>
      <c r="BS277" s="270"/>
    </row>
    <row r="278" spans="1:71">
      <c r="A278" s="251"/>
      <c r="B278" s="251"/>
      <c r="C278" s="251"/>
      <c r="D278" s="251"/>
      <c r="E278" s="582"/>
      <c r="F278" s="583"/>
      <c r="G278" s="583"/>
      <c r="H278" s="584"/>
      <c r="I278" s="573"/>
      <c r="J278" s="574"/>
      <c r="K278" s="574"/>
      <c r="L278" s="575"/>
      <c r="M278" s="573"/>
      <c r="N278" s="574"/>
      <c r="O278" s="574"/>
      <c r="P278" s="575"/>
      <c r="Q278" s="573"/>
      <c r="R278" s="574"/>
      <c r="S278" s="574"/>
      <c r="T278" s="575"/>
      <c r="U278" s="573"/>
      <c r="V278" s="574"/>
      <c r="W278" s="574"/>
      <c r="X278" s="575"/>
      <c r="Y278" s="573"/>
      <c r="Z278" s="574"/>
      <c r="AA278" s="574"/>
      <c r="AB278" s="575"/>
      <c r="AC278" s="258"/>
      <c r="AD278" s="259"/>
      <c r="AE278" s="259"/>
      <c r="AF278" s="260"/>
      <c r="AG278" s="258"/>
      <c r="AH278" s="259"/>
      <c r="AI278" s="259"/>
      <c r="AJ278" s="260"/>
      <c r="AK278" s="258"/>
      <c r="AL278" s="259"/>
      <c r="AM278" s="259"/>
      <c r="AN278" s="260"/>
      <c r="AO278" s="258"/>
      <c r="AP278" s="259"/>
      <c r="AQ278" s="259"/>
      <c r="AR278" s="260"/>
      <c r="AS278" s="258"/>
      <c r="AT278" s="259"/>
      <c r="AU278" s="259"/>
      <c r="AV278" s="260"/>
      <c r="AW278" s="258"/>
      <c r="AX278" s="259"/>
      <c r="AY278" s="259"/>
      <c r="AZ278" s="260"/>
      <c r="BG278" s="243"/>
      <c r="BH278" s="243"/>
      <c r="BI278" s="243"/>
      <c r="BJ278" s="282"/>
      <c r="BK278" s="283"/>
      <c r="BL278" s="283"/>
      <c r="BM278" s="283"/>
      <c r="BN278" s="283"/>
      <c r="BO278" s="283"/>
      <c r="BP278" s="282"/>
      <c r="BQ278" s="266"/>
      <c r="BR278" s="266"/>
      <c r="BS278" s="270"/>
    </row>
    <row r="279" spans="1:71">
      <c r="A279" s="251"/>
      <c r="B279" s="251"/>
      <c r="C279" s="251"/>
      <c r="D279" s="251"/>
      <c r="E279" s="576"/>
      <c r="F279" s="577"/>
      <c r="G279" s="577"/>
      <c r="H279" s="578"/>
      <c r="I279" s="579"/>
      <c r="J279" s="580"/>
      <c r="K279" s="580"/>
      <c r="L279" s="581"/>
      <c r="M279" s="579"/>
      <c r="N279" s="580"/>
      <c r="O279" s="580"/>
      <c r="P279" s="581"/>
      <c r="Q279" s="579"/>
      <c r="R279" s="580"/>
      <c r="S279" s="580"/>
      <c r="T279" s="581"/>
      <c r="U279" s="579"/>
      <c r="V279" s="580"/>
      <c r="W279" s="580"/>
      <c r="X279" s="581"/>
      <c r="Y279" s="579"/>
      <c r="Z279" s="580"/>
      <c r="AA279" s="580"/>
      <c r="AB279" s="581"/>
      <c r="AC279" s="258"/>
      <c r="AD279" s="259"/>
      <c r="AE279" s="259"/>
      <c r="AF279" s="260"/>
      <c r="AG279" s="258"/>
      <c r="AH279" s="259"/>
      <c r="AI279" s="259"/>
      <c r="AJ279" s="260"/>
      <c r="AK279" s="258"/>
      <c r="AL279" s="259"/>
      <c r="AM279" s="259"/>
      <c r="AN279" s="260"/>
      <c r="AO279" s="258"/>
      <c r="AP279" s="259"/>
      <c r="AQ279" s="259"/>
      <c r="AR279" s="260"/>
      <c r="AS279" s="258"/>
      <c r="AT279" s="259"/>
      <c r="AU279" s="259"/>
      <c r="AV279" s="260"/>
      <c r="AW279" s="258"/>
      <c r="AX279" s="259"/>
      <c r="AY279" s="259"/>
      <c r="AZ279" s="260"/>
      <c r="BG279" s="243"/>
      <c r="BH279" s="243"/>
      <c r="BI279" s="243"/>
      <c r="BJ279" s="282"/>
      <c r="BK279" s="283"/>
      <c r="BL279" s="283"/>
      <c r="BM279" s="283"/>
      <c r="BN279" s="283"/>
      <c r="BO279" s="283"/>
      <c r="BP279" s="282"/>
      <c r="BQ279" s="266"/>
      <c r="BR279" s="266"/>
      <c r="BS279" s="270"/>
    </row>
    <row r="280" spans="1:71">
      <c r="A280" s="251"/>
      <c r="B280" s="251"/>
      <c r="C280" s="251"/>
      <c r="D280" s="251"/>
      <c r="E280" s="582"/>
      <c r="F280" s="583"/>
      <c r="G280" s="583"/>
      <c r="H280" s="584"/>
      <c r="I280" s="573"/>
      <c r="J280" s="574"/>
      <c r="K280" s="574"/>
      <c r="L280" s="575"/>
      <c r="M280" s="573"/>
      <c r="N280" s="574"/>
      <c r="O280" s="574"/>
      <c r="P280" s="575"/>
      <c r="Q280" s="573"/>
      <c r="R280" s="574"/>
      <c r="S280" s="574"/>
      <c r="T280" s="575"/>
      <c r="U280" s="573"/>
      <c r="V280" s="574"/>
      <c r="W280" s="574"/>
      <c r="X280" s="575"/>
      <c r="Y280" s="573"/>
      <c r="Z280" s="574"/>
      <c r="AA280" s="574"/>
      <c r="AB280" s="575"/>
      <c r="AC280" s="258"/>
      <c r="AD280" s="259"/>
      <c r="AE280" s="259"/>
      <c r="AF280" s="260"/>
      <c r="AG280" s="258"/>
      <c r="AH280" s="259"/>
      <c r="AI280" s="259"/>
      <c r="AJ280" s="260"/>
      <c r="AK280" s="258"/>
      <c r="AL280" s="259"/>
      <c r="AM280" s="259"/>
      <c r="AN280" s="260"/>
      <c r="AO280" s="258"/>
      <c r="AP280" s="259"/>
      <c r="AQ280" s="259"/>
      <c r="AR280" s="260"/>
      <c r="AS280" s="258"/>
      <c r="AT280" s="259"/>
      <c r="AU280" s="259"/>
      <c r="AV280" s="260"/>
      <c r="AW280" s="258"/>
      <c r="AX280" s="259"/>
      <c r="AY280" s="259"/>
      <c r="AZ280" s="260"/>
      <c r="BG280" s="243"/>
      <c r="BH280" s="243"/>
      <c r="BI280" s="243"/>
      <c r="BJ280" s="282"/>
      <c r="BK280" s="283"/>
      <c r="BL280" s="283"/>
      <c r="BM280" s="283"/>
      <c r="BN280" s="283"/>
      <c r="BO280" s="283"/>
      <c r="BP280" s="282"/>
      <c r="BQ280" s="266"/>
      <c r="BR280" s="266"/>
      <c r="BS280" s="270"/>
    </row>
    <row r="281" spans="1:71">
      <c r="A281" s="251"/>
      <c r="B281" s="251"/>
      <c r="C281" s="251"/>
      <c r="D281" s="251"/>
      <c r="E281" s="576"/>
      <c r="F281" s="577"/>
      <c r="G281" s="577"/>
      <c r="H281" s="578"/>
      <c r="I281" s="579"/>
      <c r="J281" s="580"/>
      <c r="K281" s="580"/>
      <c r="L281" s="581"/>
      <c r="M281" s="579"/>
      <c r="N281" s="580"/>
      <c r="O281" s="580"/>
      <c r="P281" s="581"/>
      <c r="Q281" s="579"/>
      <c r="R281" s="580"/>
      <c r="S281" s="580"/>
      <c r="T281" s="581"/>
      <c r="U281" s="579"/>
      <c r="V281" s="580"/>
      <c r="W281" s="580"/>
      <c r="X281" s="581"/>
      <c r="Y281" s="579"/>
      <c r="Z281" s="580"/>
      <c r="AA281" s="580"/>
      <c r="AB281" s="581"/>
      <c r="AC281" s="258"/>
      <c r="AD281" s="259"/>
      <c r="AE281" s="259"/>
      <c r="AF281" s="260"/>
      <c r="AG281" s="258"/>
      <c r="AH281" s="259"/>
      <c r="AI281" s="259"/>
      <c r="AJ281" s="260"/>
      <c r="AK281" s="258"/>
      <c r="AL281" s="259"/>
      <c r="AM281" s="259"/>
      <c r="AN281" s="260"/>
      <c r="AO281" s="258"/>
      <c r="AP281" s="259"/>
      <c r="AQ281" s="259"/>
      <c r="AR281" s="260"/>
      <c r="AS281" s="258"/>
      <c r="AT281" s="259"/>
      <c r="AU281" s="259"/>
      <c r="AV281" s="260"/>
      <c r="AW281" s="258"/>
      <c r="AX281" s="259"/>
      <c r="AY281" s="259"/>
      <c r="AZ281" s="260"/>
      <c r="BG281" s="243"/>
      <c r="BH281" s="243"/>
      <c r="BI281" s="243"/>
      <c r="BJ281" s="282"/>
      <c r="BK281" s="283"/>
      <c r="BL281" s="283"/>
      <c r="BM281" s="283"/>
      <c r="BN281" s="283"/>
      <c r="BO281" s="283"/>
      <c r="BP281" s="282"/>
      <c r="BQ281" s="266"/>
      <c r="BR281" s="266"/>
      <c r="BS281" s="270"/>
    </row>
    <row r="282" spans="1:71">
      <c r="A282" s="251"/>
      <c r="B282" s="251"/>
      <c r="C282" s="251"/>
      <c r="D282" s="251"/>
      <c r="E282" s="582"/>
      <c r="F282" s="583"/>
      <c r="G282" s="583"/>
      <c r="H282" s="584"/>
      <c r="I282" s="573"/>
      <c r="J282" s="574"/>
      <c r="K282" s="574"/>
      <c r="L282" s="575"/>
      <c r="M282" s="573"/>
      <c r="N282" s="574"/>
      <c r="O282" s="574"/>
      <c r="P282" s="575"/>
      <c r="Q282" s="573"/>
      <c r="R282" s="574"/>
      <c r="S282" s="574"/>
      <c r="T282" s="575"/>
      <c r="U282" s="573"/>
      <c r="V282" s="574"/>
      <c r="W282" s="574"/>
      <c r="X282" s="575"/>
      <c r="Y282" s="573"/>
      <c r="Z282" s="574"/>
      <c r="AA282" s="574"/>
      <c r="AB282" s="575"/>
      <c r="AC282" s="258"/>
      <c r="AD282" s="259"/>
      <c r="AE282" s="259"/>
      <c r="AF282" s="260"/>
      <c r="AG282" s="258"/>
      <c r="AH282" s="259"/>
      <c r="AI282" s="259"/>
      <c r="AJ282" s="260"/>
      <c r="AK282" s="258"/>
      <c r="AL282" s="259"/>
      <c r="AM282" s="259"/>
      <c r="AN282" s="260"/>
      <c r="AO282" s="258"/>
      <c r="AP282" s="259"/>
      <c r="AQ282" s="259"/>
      <c r="AR282" s="260"/>
      <c r="AS282" s="258"/>
      <c r="AT282" s="259"/>
      <c r="AU282" s="259"/>
      <c r="AV282" s="260"/>
      <c r="AW282" s="258"/>
      <c r="AX282" s="259"/>
      <c r="AY282" s="259"/>
      <c r="AZ282" s="260"/>
      <c r="BG282" s="243"/>
      <c r="BH282" s="243"/>
      <c r="BI282" s="243"/>
      <c r="BJ282" s="282"/>
      <c r="BK282" s="283"/>
      <c r="BL282" s="283"/>
      <c r="BM282" s="283"/>
      <c r="BN282" s="283"/>
      <c r="BO282" s="283"/>
      <c r="BP282" s="282"/>
      <c r="BQ282" s="266"/>
      <c r="BR282" s="266"/>
      <c r="BS282" s="270"/>
    </row>
    <row r="283" spans="1:71">
      <c r="A283" s="251"/>
      <c r="B283" s="251"/>
      <c r="C283" s="251"/>
      <c r="D283" s="251"/>
      <c r="E283" s="576"/>
      <c r="F283" s="577"/>
      <c r="G283" s="577"/>
      <c r="H283" s="578"/>
      <c r="I283" s="579"/>
      <c r="J283" s="580"/>
      <c r="K283" s="580"/>
      <c r="L283" s="581"/>
      <c r="M283" s="579"/>
      <c r="N283" s="580"/>
      <c r="O283" s="580"/>
      <c r="P283" s="581"/>
      <c r="Q283" s="579"/>
      <c r="R283" s="580"/>
      <c r="S283" s="580"/>
      <c r="T283" s="581"/>
      <c r="U283" s="579"/>
      <c r="V283" s="580"/>
      <c r="W283" s="580"/>
      <c r="X283" s="581"/>
      <c r="Y283" s="579"/>
      <c r="Z283" s="580"/>
      <c r="AA283" s="580"/>
      <c r="AB283" s="581"/>
      <c r="AC283" s="258"/>
      <c r="AD283" s="259"/>
      <c r="AE283" s="259"/>
      <c r="AF283" s="260"/>
      <c r="AG283" s="258"/>
      <c r="AH283" s="259"/>
      <c r="AI283" s="259"/>
      <c r="AJ283" s="260"/>
      <c r="AK283" s="258"/>
      <c r="AL283" s="259"/>
      <c r="AM283" s="259"/>
      <c r="AN283" s="260"/>
      <c r="AO283" s="258"/>
      <c r="AP283" s="259"/>
      <c r="AQ283" s="259"/>
      <c r="AR283" s="260"/>
      <c r="AS283" s="258"/>
      <c r="AT283" s="259"/>
      <c r="AU283" s="259"/>
      <c r="AV283" s="260"/>
      <c r="AW283" s="258"/>
      <c r="AX283" s="259"/>
      <c r="AY283" s="259"/>
      <c r="AZ283" s="260"/>
      <c r="BG283" s="243"/>
      <c r="BH283" s="243"/>
      <c r="BI283" s="243"/>
      <c r="BJ283" s="282"/>
      <c r="BK283" s="283"/>
      <c r="BL283" s="283"/>
      <c r="BM283" s="283"/>
      <c r="BN283" s="283"/>
      <c r="BO283" s="283"/>
      <c r="BP283" s="282"/>
      <c r="BQ283" s="266"/>
      <c r="BR283" s="266"/>
      <c r="BS283" s="270"/>
    </row>
    <row r="284" spans="1:71">
      <c r="A284" s="251"/>
      <c r="B284" s="251"/>
      <c r="C284" s="251"/>
      <c r="D284" s="251"/>
      <c r="E284" s="582"/>
      <c r="F284" s="583"/>
      <c r="G284" s="583"/>
      <c r="H284" s="584"/>
      <c r="I284" s="573"/>
      <c r="J284" s="574"/>
      <c r="K284" s="574"/>
      <c r="L284" s="575"/>
      <c r="M284" s="573"/>
      <c r="N284" s="574"/>
      <c r="O284" s="574"/>
      <c r="P284" s="575"/>
      <c r="Q284" s="573"/>
      <c r="R284" s="574"/>
      <c r="S284" s="574"/>
      <c r="T284" s="575"/>
      <c r="U284" s="573"/>
      <c r="V284" s="574"/>
      <c r="W284" s="574"/>
      <c r="X284" s="575"/>
      <c r="Y284" s="573"/>
      <c r="Z284" s="574"/>
      <c r="AA284" s="574"/>
      <c r="AB284" s="575"/>
      <c r="AC284" s="258"/>
      <c r="AD284" s="259"/>
      <c r="AE284" s="259"/>
      <c r="AF284" s="260"/>
      <c r="AG284" s="258"/>
      <c r="AH284" s="259"/>
      <c r="AI284" s="259"/>
      <c r="AJ284" s="260"/>
      <c r="AK284" s="258"/>
      <c r="AL284" s="259"/>
      <c r="AM284" s="259"/>
      <c r="AN284" s="260"/>
      <c r="AO284" s="258"/>
      <c r="AP284" s="259"/>
      <c r="AQ284" s="259"/>
      <c r="AR284" s="260"/>
      <c r="AS284" s="258"/>
      <c r="AT284" s="259"/>
      <c r="AU284" s="259"/>
      <c r="AV284" s="260"/>
      <c r="AW284" s="258"/>
      <c r="AX284" s="259"/>
      <c r="AY284" s="259"/>
      <c r="AZ284" s="260"/>
      <c r="BG284" s="243"/>
      <c r="BH284" s="243"/>
      <c r="BI284" s="243"/>
      <c r="BJ284" s="282"/>
      <c r="BK284" s="283"/>
      <c r="BL284" s="283"/>
      <c r="BM284" s="283"/>
      <c r="BN284" s="283"/>
      <c r="BO284" s="283"/>
      <c r="BP284" s="282"/>
      <c r="BQ284" s="266"/>
      <c r="BR284" s="266"/>
      <c r="BS284" s="270"/>
    </row>
    <row r="285" spans="1:71">
      <c r="A285" s="251"/>
      <c r="B285" s="251"/>
      <c r="C285" s="251"/>
      <c r="D285" s="251"/>
      <c r="E285" s="576"/>
      <c r="F285" s="577"/>
      <c r="G285" s="577"/>
      <c r="H285" s="578"/>
      <c r="I285" s="579"/>
      <c r="J285" s="580"/>
      <c r="K285" s="580"/>
      <c r="L285" s="581"/>
      <c r="M285" s="579"/>
      <c r="N285" s="580"/>
      <c r="O285" s="580"/>
      <c r="P285" s="581"/>
      <c r="Q285" s="579"/>
      <c r="R285" s="580"/>
      <c r="S285" s="580"/>
      <c r="T285" s="581"/>
      <c r="U285" s="579"/>
      <c r="V285" s="580"/>
      <c r="W285" s="580"/>
      <c r="X285" s="581"/>
      <c r="Y285" s="579"/>
      <c r="Z285" s="580"/>
      <c r="AA285" s="580"/>
      <c r="AB285" s="581"/>
      <c r="AC285" s="258"/>
      <c r="AD285" s="259"/>
      <c r="AE285" s="259"/>
      <c r="AF285" s="260"/>
      <c r="AG285" s="258"/>
      <c r="AH285" s="259"/>
      <c r="AI285" s="259"/>
      <c r="AJ285" s="260"/>
      <c r="AK285" s="258"/>
      <c r="AL285" s="259"/>
      <c r="AM285" s="259"/>
      <c r="AN285" s="260"/>
      <c r="AO285" s="258"/>
      <c r="AP285" s="259"/>
      <c r="AQ285" s="259"/>
      <c r="AR285" s="260"/>
      <c r="AS285" s="258"/>
      <c r="AT285" s="259"/>
      <c r="AU285" s="259"/>
      <c r="AV285" s="260"/>
      <c r="AW285" s="258"/>
      <c r="AX285" s="259"/>
      <c r="AY285" s="259"/>
      <c r="AZ285" s="260"/>
      <c r="BG285" s="243"/>
      <c r="BH285" s="243"/>
      <c r="BI285" s="243"/>
      <c r="BJ285" s="282"/>
      <c r="BK285" s="283"/>
      <c r="BL285" s="283"/>
      <c r="BM285" s="283"/>
      <c r="BN285" s="283"/>
      <c r="BO285" s="283"/>
      <c r="BP285" s="282"/>
      <c r="BQ285" s="266"/>
      <c r="BR285" s="266"/>
      <c r="BS285" s="270"/>
    </row>
    <row r="286" spans="1:71">
      <c r="A286" s="251"/>
      <c r="B286" s="251"/>
      <c r="C286" s="251"/>
      <c r="D286" s="251"/>
      <c r="E286" s="582"/>
      <c r="F286" s="583"/>
      <c r="G286" s="583"/>
      <c r="H286" s="584"/>
      <c r="I286" s="573"/>
      <c r="J286" s="574"/>
      <c r="K286" s="574"/>
      <c r="L286" s="575"/>
      <c r="M286" s="573"/>
      <c r="N286" s="574"/>
      <c r="O286" s="574"/>
      <c r="P286" s="575"/>
      <c r="Q286" s="573"/>
      <c r="R286" s="574"/>
      <c r="S286" s="574"/>
      <c r="T286" s="575"/>
      <c r="U286" s="573"/>
      <c r="V286" s="574"/>
      <c r="W286" s="574"/>
      <c r="X286" s="575"/>
      <c r="Y286" s="573"/>
      <c r="Z286" s="574"/>
      <c r="AA286" s="574"/>
      <c r="AB286" s="575"/>
      <c r="AC286" s="258"/>
      <c r="AD286" s="259"/>
      <c r="AE286" s="259"/>
      <c r="AF286" s="260"/>
      <c r="AG286" s="258"/>
      <c r="AH286" s="259"/>
      <c r="AI286" s="259"/>
      <c r="AJ286" s="260"/>
      <c r="AK286" s="258"/>
      <c r="AL286" s="259"/>
      <c r="AM286" s="259"/>
      <c r="AN286" s="260"/>
      <c r="AO286" s="258"/>
      <c r="AP286" s="259"/>
      <c r="AQ286" s="259"/>
      <c r="AR286" s="260"/>
      <c r="AS286" s="258"/>
      <c r="AT286" s="259"/>
      <c r="AU286" s="259"/>
      <c r="AV286" s="260"/>
      <c r="AW286" s="258"/>
      <c r="AX286" s="259"/>
      <c r="AY286" s="259"/>
      <c r="AZ286" s="260"/>
      <c r="BG286" s="243"/>
      <c r="BH286" s="243"/>
      <c r="BI286" s="243"/>
      <c r="BJ286" s="282"/>
      <c r="BK286" s="283"/>
      <c r="BL286" s="283"/>
      <c r="BM286" s="283"/>
      <c r="BN286" s="283"/>
      <c r="BO286" s="283"/>
      <c r="BP286" s="282"/>
      <c r="BQ286" s="266"/>
      <c r="BR286" s="266"/>
      <c r="BS286" s="270"/>
    </row>
    <row r="287" spans="1:71">
      <c r="A287" s="251"/>
      <c r="B287" s="251"/>
      <c r="C287" s="251"/>
      <c r="D287" s="251"/>
      <c r="E287" s="576"/>
      <c r="F287" s="577"/>
      <c r="G287" s="577"/>
      <c r="H287" s="578"/>
      <c r="I287" s="579"/>
      <c r="J287" s="580"/>
      <c r="K287" s="580"/>
      <c r="L287" s="581"/>
      <c r="M287" s="579"/>
      <c r="N287" s="580"/>
      <c r="O287" s="580"/>
      <c r="P287" s="581"/>
      <c r="Q287" s="579"/>
      <c r="R287" s="580"/>
      <c r="S287" s="580"/>
      <c r="T287" s="581"/>
      <c r="U287" s="579"/>
      <c r="V287" s="580"/>
      <c r="W287" s="580"/>
      <c r="X287" s="581"/>
      <c r="Y287" s="579"/>
      <c r="Z287" s="580"/>
      <c r="AA287" s="580"/>
      <c r="AB287" s="581"/>
      <c r="AC287" s="258"/>
      <c r="AD287" s="259"/>
      <c r="AE287" s="259"/>
      <c r="AF287" s="260"/>
      <c r="AG287" s="258"/>
      <c r="AH287" s="259"/>
      <c r="AI287" s="259"/>
      <c r="AJ287" s="260"/>
      <c r="AK287" s="258"/>
      <c r="AL287" s="259"/>
      <c r="AM287" s="259"/>
      <c r="AN287" s="260"/>
      <c r="AO287" s="258"/>
      <c r="AP287" s="259"/>
      <c r="AQ287" s="259"/>
      <c r="AR287" s="260"/>
      <c r="AS287" s="258"/>
      <c r="AT287" s="259"/>
      <c r="AU287" s="259"/>
      <c r="AV287" s="260"/>
      <c r="AW287" s="258"/>
      <c r="AX287" s="259"/>
      <c r="AY287" s="259"/>
      <c r="AZ287" s="260"/>
      <c r="BG287" s="243"/>
      <c r="BH287" s="243"/>
      <c r="BI287" s="243"/>
      <c r="BJ287" s="282"/>
      <c r="BK287" s="283"/>
      <c r="BL287" s="283"/>
      <c r="BM287" s="283"/>
      <c r="BN287" s="283"/>
      <c r="BO287" s="283"/>
      <c r="BP287" s="282"/>
      <c r="BQ287" s="266"/>
      <c r="BR287" s="266"/>
      <c r="BS287" s="270"/>
    </row>
    <row r="288" spans="1:71">
      <c r="A288" s="251"/>
      <c r="B288" s="251"/>
      <c r="C288" s="251"/>
      <c r="D288" s="251"/>
      <c r="E288" s="582"/>
      <c r="F288" s="583"/>
      <c r="G288" s="583"/>
      <c r="H288" s="584"/>
      <c r="I288" s="573"/>
      <c r="J288" s="574"/>
      <c r="K288" s="574"/>
      <c r="L288" s="575"/>
      <c r="M288" s="573"/>
      <c r="N288" s="574"/>
      <c r="O288" s="574"/>
      <c r="P288" s="575"/>
      <c r="Q288" s="573"/>
      <c r="R288" s="574"/>
      <c r="S288" s="574"/>
      <c r="T288" s="575"/>
      <c r="U288" s="573"/>
      <c r="V288" s="574"/>
      <c r="W288" s="574"/>
      <c r="X288" s="575"/>
      <c r="Y288" s="573"/>
      <c r="Z288" s="574"/>
      <c r="AA288" s="574"/>
      <c r="AB288" s="575"/>
      <c r="AC288" s="258"/>
      <c r="AD288" s="259"/>
      <c r="AE288" s="259"/>
      <c r="AF288" s="260"/>
      <c r="AG288" s="258"/>
      <c r="AH288" s="259"/>
      <c r="AI288" s="259"/>
      <c r="AJ288" s="260"/>
      <c r="AK288" s="258"/>
      <c r="AL288" s="259"/>
      <c r="AM288" s="259"/>
      <c r="AN288" s="260"/>
      <c r="AO288" s="258"/>
      <c r="AP288" s="259"/>
      <c r="AQ288" s="259"/>
      <c r="AR288" s="260"/>
      <c r="AS288" s="258"/>
      <c r="AT288" s="259"/>
      <c r="AU288" s="259"/>
      <c r="AV288" s="260"/>
      <c r="AW288" s="258"/>
      <c r="AX288" s="259"/>
      <c r="AY288" s="259"/>
      <c r="AZ288" s="260"/>
      <c r="BG288" s="243"/>
      <c r="BH288" s="243"/>
      <c r="BI288" s="243"/>
      <c r="BJ288" s="282"/>
      <c r="BK288" s="283"/>
      <c r="BL288" s="283"/>
      <c r="BM288" s="283"/>
      <c r="BN288" s="283"/>
      <c r="BO288" s="283"/>
      <c r="BP288" s="282"/>
      <c r="BQ288" s="266"/>
      <c r="BR288" s="266"/>
      <c r="BS288" s="270"/>
    </row>
    <row r="289" spans="1:71">
      <c r="A289" s="251"/>
      <c r="B289" s="251"/>
      <c r="C289" s="251"/>
      <c r="D289" s="251"/>
      <c r="E289" s="576"/>
      <c r="F289" s="577"/>
      <c r="G289" s="577"/>
      <c r="H289" s="578"/>
      <c r="I289" s="579"/>
      <c r="J289" s="580"/>
      <c r="K289" s="580"/>
      <c r="L289" s="581"/>
      <c r="M289" s="579"/>
      <c r="N289" s="580"/>
      <c r="O289" s="580"/>
      <c r="P289" s="581"/>
      <c r="Q289" s="579"/>
      <c r="R289" s="580"/>
      <c r="S289" s="580"/>
      <c r="T289" s="581"/>
      <c r="U289" s="579"/>
      <c r="V289" s="580"/>
      <c r="W289" s="580"/>
      <c r="X289" s="581"/>
      <c r="Y289" s="579"/>
      <c r="Z289" s="580"/>
      <c r="AA289" s="580"/>
      <c r="AB289" s="581"/>
      <c r="AC289" s="258"/>
      <c r="AD289" s="259"/>
      <c r="AE289" s="259"/>
      <c r="AF289" s="260"/>
      <c r="AG289" s="258"/>
      <c r="AH289" s="259"/>
      <c r="AI289" s="259"/>
      <c r="AJ289" s="260"/>
      <c r="AK289" s="258"/>
      <c r="AL289" s="259"/>
      <c r="AM289" s="259"/>
      <c r="AN289" s="260"/>
      <c r="AO289" s="258"/>
      <c r="AP289" s="259"/>
      <c r="AQ289" s="259"/>
      <c r="AR289" s="260"/>
      <c r="AS289" s="258"/>
      <c r="AT289" s="259"/>
      <c r="AU289" s="259"/>
      <c r="AV289" s="260"/>
      <c r="AW289" s="258"/>
      <c r="AX289" s="259"/>
      <c r="AY289" s="259"/>
      <c r="AZ289" s="260"/>
      <c r="BG289" s="243"/>
      <c r="BH289" s="243"/>
      <c r="BI289" s="243"/>
      <c r="BJ289" s="282"/>
      <c r="BK289" s="283"/>
      <c r="BL289" s="283"/>
      <c r="BM289" s="283"/>
      <c r="BN289" s="283"/>
      <c r="BO289" s="283"/>
      <c r="BP289" s="282"/>
      <c r="BQ289" s="266"/>
      <c r="BR289" s="266"/>
      <c r="BS289" s="270"/>
    </row>
    <row r="290" spans="1:71">
      <c r="A290" s="251"/>
      <c r="B290" s="251"/>
      <c r="C290" s="251"/>
      <c r="D290" s="251"/>
      <c r="E290" s="582"/>
      <c r="F290" s="583"/>
      <c r="G290" s="583"/>
      <c r="H290" s="584"/>
      <c r="I290" s="573"/>
      <c r="J290" s="574"/>
      <c r="K290" s="574"/>
      <c r="L290" s="575"/>
      <c r="M290" s="573"/>
      <c r="N290" s="574"/>
      <c r="O290" s="574"/>
      <c r="P290" s="575"/>
      <c r="Q290" s="573"/>
      <c r="R290" s="574"/>
      <c r="S290" s="574"/>
      <c r="T290" s="575"/>
      <c r="U290" s="573"/>
      <c r="V290" s="574"/>
      <c r="W290" s="574"/>
      <c r="X290" s="575"/>
      <c r="Y290" s="573"/>
      <c r="Z290" s="574"/>
      <c r="AA290" s="574"/>
      <c r="AB290" s="575"/>
      <c r="AC290" s="258"/>
      <c r="AD290" s="259"/>
      <c r="AE290" s="259"/>
      <c r="AF290" s="260"/>
      <c r="AG290" s="258"/>
      <c r="AH290" s="259"/>
      <c r="AI290" s="259"/>
      <c r="AJ290" s="260"/>
      <c r="AK290" s="258"/>
      <c r="AL290" s="259"/>
      <c r="AM290" s="259"/>
      <c r="AN290" s="260"/>
      <c r="AO290" s="258"/>
      <c r="AP290" s="259"/>
      <c r="AQ290" s="259"/>
      <c r="AR290" s="260"/>
      <c r="AS290" s="258"/>
      <c r="AT290" s="259"/>
      <c r="AU290" s="259"/>
      <c r="AV290" s="260"/>
      <c r="AW290" s="258"/>
      <c r="AX290" s="259"/>
      <c r="AY290" s="259"/>
      <c r="AZ290" s="260"/>
      <c r="BG290" s="243"/>
      <c r="BH290" s="243"/>
      <c r="BI290" s="243"/>
      <c r="BJ290" s="282"/>
      <c r="BK290" s="283"/>
      <c r="BL290" s="283"/>
      <c r="BM290" s="283"/>
      <c r="BN290" s="283"/>
      <c r="BO290" s="283"/>
      <c r="BP290" s="282"/>
      <c r="BQ290" s="266"/>
      <c r="BR290" s="266"/>
      <c r="BS290" s="270"/>
    </row>
    <row r="291" spans="1:71">
      <c r="A291" s="251"/>
      <c r="B291" s="251"/>
      <c r="C291" s="251"/>
      <c r="D291" s="251"/>
      <c r="E291" s="576"/>
      <c r="F291" s="577"/>
      <c r="G291" s="577"/>
      <c r="H291" s="578"/>
      <c r="I291" s="579"/>
      <c r="J291" s="580"/>
      <c r="K291" s="580"/>
      <c r="L291" s="581"/>
      <c r="M291" s="579"/>
      <c r="N291" s="580"/>
      <c r="O291" s="580"/>
      <c r="P291" s="581"/>
      <c r="Q291" s="579"/>
      <c r="R291" s="580"/>
      <c r="S291" s="580"/>
      <c r="T291" s="581"/>
      <c r="U291" s="579"/>
      <c r="V291" s="580"/>
      <c r="W291" s="580"/>
      <c r="X291" s="581"/>
      <c r="Y291" s="579"/>
      <c r="Z291" s="580"/>
      <c r="AA291" s="580"/>
      <c r="AB291" s="581"/>
      <c r="AC291" s="258"/>
      <c r="AD291" s="259"/>
      <c r="AE291" s="259"/>
      <c r="AF291" s="260"/>
      <c r="AG291" s="258"/>
      <c r="AH291" s="259"/>
      <c r="AI291" s="259"/>
      <c r="AJ291" s="260"/>
      <c r="AK291" s="258"/>
      <c r="AL291" s="259"/>
      <c r="AM291" s="259"/>
      <c r="AN291" s="260"/>
      <c r="AO291" s="258"/>
      <c r="AP291" s="259"/>
      <c r="AQ291" s="259"/>
      <c r="AR291" s="260"/>
      <c r="AS291" s="258"/>
      <c r="AT291" s="259"/>
      <c r="AU291" s="259"/>
      <c r="AV291" s="260"/>
      <c r="AW291" s="258"/>
      <c r="AX291" s="259"/>
      <c r="AY291" s="259"/>
      <c r="AZ291" s="260"/>
      <c r="BG291" s="243"/>
      <c r="BH291" s="243"/>
      <c r="BI291" s="243"/>
      <c r="BJ291" s="282"/>
      <c r="BK291" s="283"/>
      <c r="BL291" s="283"/>
      <c r="BM291" s="283"/>
      <c r="BN291" s="283"/>
      <c r="BO291" s="283"/>
      <c r="BP291" s="282"/>
      <c r="BQ291" s="266"/>
      <c r="BR291" s="266"/>
      <c r="BS291" s="270"/>
    </row>
    <row r="292" spans="1:71">
      <c r="A292" s="251"/>
      <c r="B292" s="251"/>
      <c r="C292" s="251"/>
      <c r="D292" s="251"/>
      <c r="E292" s="582"/>
      <c r="F292" s="583"/>
      <c r="G292" s="583"/>
      <c r="H292" s="584"/>
      <c r="I292" s="573"/>
      <c r="J292" s="574"/>
      <c r="K292" s="574"/>
      <c r="L292" s="575"/>
      <c r="M292" s="573"/>
      <c r="N292" s="574"/>
      <c r="O292" s="574"/>
      <c r="P292" s="575"/>
      <c r="Q292" s="573"/>
      <c r="R292" s="574"/>
      <c r="S292" s="574"/>
      <c r="T292" s="575"/>
      <c r="U292" s="573"/>
      <c r="V292" s="574"/>
      <c r="W292" s="574"/>
      <c r="X292" s="575"/>
      <c r="Y292" s="573"/>
      <c r="Z292" s="574"/>
      <c r="AA292" s="574"/>
      <c r="AB292" s="575"/>
      <c r="AC292" s="258"/>
      <c r="AD292" s="259"/>
      <c r="AE292" s="259"/>
      <c r="AF292" s="260"/>
      <c r="AG292" s="258"/>
      <c r="AH292" s="259"/>
      <c r="AI292" s="259"/>
      <c r="AJ292" s="260"/>
      <c r="AK292" s="258"/>
      <c r="AL292" s="259"/>
      <c r="AM292" s="259"/>
      <c r="AN292" s="260"/>
      <c r="AO292" s="258"/>
      <c r="AP292" s="259"/>
      <c r="AQ292" s="259"/>
      <c r="AR292" s="260"/>
      <c r="AS292" s="258"/>
      <c r="AT292" s="259"/>
      <c r="AU292" s="259"/>
      <c r="AV292" s="260"/>
      <c r="AW292" s="258"/>
      <c r="AX292" s="259"/>
      <c r="AY292" s="259"/>
      <c r="AZ292" s="260"/>
      <c r="BG292" s="243"/>
      <c r="BH292" s="243"/>
      <c r="BI292" s="243"/>
      <c r="BJ292" s="282"/>
      <c r="BK292" s="283"/>
      <c r="BL292" s="283"/>
      <c r="BM292" s="283"/>
      <c r="BN292" s="283"/>
      <c r="BO292" s="283"/>
      <c r="BP292" s="282"/>
      <c r="BQ292" s="266"/>
      <c r="BR292" s="266"/>
      <c r="BS292" s="270"/>
    </row>
    <row r="293" spans="1:71">
      <c r="A293" s="251"/>
      <c r="B293" s="251"/>
      <c r="C293" s="251"/>
      <c r="D293" s="251"/>
      <c r="E293" s="576"/>
      <c r="F293" s="577"/>
      <c r="G293" s="577"/>
      <c r="H293" s="578"/>
      <c r="I293" s="579"/>
      <c r="J293" s="580"/>
      <c r="K293" s="580"/>
      <c r="L293" s="581"/>
      <c r="M293" s="579"/>
      <c r="N293" s="580"/>
      <c r="O293" s="580"/>
      <c r="P293" s="581"/>
      <c r="Q293" s="579"/>
      <c r="R293" s="580"/>
      <c r="S293" s="580"/>
      <c r="T293" s="581"/>
      <c r="U293" s="579"/>
      <c r="V293" s="580"/>
      <c r="W293" s="580"/>
      <c r="X293" s="581"/>
      <c r="Y293" s="579"/>
      <c r="Z293" s="580"/>
      <c r="AA293" s="580"/>
      <c r="AB293" s="581"/>
      <c r="AC293" s="258"/>
      <c r="AD293" s="259"/>
      <c r="AE293" s="259"/>
      <c r="AF293" s="260"/>
      <c r="AG293" s="258"/>
      <c r="AH293" s="259"/>
      <c r="AI293" s="259"/>
      <c r="AJ293" s="260"/>
      <c r="AK293" s="258"/>
      <c r="AL293" s="259"/>
      <c r="AM293" s="259"/>
      <c r="AN293" s="260"/>
      <c r="AO293" s="258"/>
      <c r="AP293" s="259"/>
      <c r="AQ293" s="259"/>
      <c r="AR293" s="260"/>
      <c r="AS293" s="258"/>
      <c r="AT293" s="259"/>
      <c r="AU293" s="259"/>
      <c r="AV293" s="260"/>
      <c r="AW293" s="258"/>
      <c r="AX293" s="259"/>
      <c r="AY293" s="259"/>
      <c r="AZ293" s="260"/>
      <c r="BG293" s="243"/>
      <c r="BH293" s="243"/>
      <c r="BI293" s="243"/>
      <c r="BJ293" s="282"/>
      <c r="BK293" s="283"/>
      <c r="BL293" s="283"/>
      <c r="BM293" s="283"/>
      <c r="BN293" s="283"/>
      <c r="BO293" s="283"/>
      <c r="BP293" s="282"/>
      <c r="BQ293" s="266"/>
      <c r="BR293" s="266"/>
      <c r="BS293" s="270"/>
    </row>
    <row r="294" spans="1:71">
      <c r="A294" s="251"/>
      <c r="B294" s="251"/>
      <c r="C294" s="251"/>
      <c r="D294" s="251"/>
      <c r="E294" s="582"/>
      <c r="F294" s="583"/>
      <c r="G294" s="583"/>
      <c r="H294" s="584"/>
      <c r="I294" s="573"/>
      <c r="J294" s="574"/>
      <c r="K294" s="574"/>
      <c r="L294" s="575"/>
      <c r="M294" s="573"/>
      <c r="N294" s="574"/>
      <c r="O294" s="574"/>
      <c r="P294" s="575"/>
      <c r="Q294" s="573"/>
      <c r="R294" s="574"/>
      <c r="S294" s="574"/>
      <c r="T294" s="575"/>
      <c r="U294" s="573"/>
      <c r="V294" s="574"/>
      <c r="W294" s="574"/>
      <c r="X294" s="575"/>
      <c r="Y294" s="573"/>
      <c r="Z294" s="574"/>
      <c r="AA294" s="574"/>
      <c r="AB294" s="575"/>
      <c r="AC294" s="258"/>
      <c r="AD294" s="259"/>
      <c r="AE294" s="259"/>
      <c r="AF294" s="260"/>
      <c r="AG294" s="258"/>
      <c r="AH294" s="259"/>
      <c r="AI294" s="259"/>
      <c r="AJ294" s="260"/>
      <c r="AK294" s="258"/>
      <c r="AL294" s="259"/>
      <c r="AM294" s="259"/>
      <c r="AN294" s="260"/>
      <c r="AO294" s="258"/>
      <c r="AP294" s="259"/>
      <c r="AQ294" s="259"/>
      <c r="AR294" s="260"/>
      <c r="AS294" s="258"/>
      <c r="AT294" s="259"/>
      <c r="AU294" s="259"/>
      <c r="AV294" s="260"/>
      <c r="AW294" s="258"/>
      <c r="AX294" s="259"/>
      <c r="AY294" s="259"/>
      <c r="AZ294" s="260"/>
      <c r="BG294" s="243"/>
      <c r="BH294" s="243"/>
      <c r="BI294" s="243"/>
      <c r="BJ294" s="282"/>
      <c r="BK294" s="283"/>
      <c r="BL294" s="283"/>
      <c r="BM294" s="283"/>
      <c r="BN294" s="283"/>
      <c r="BO294" s="283"/>
      <c r="BP294" s="282"/>
      <c r="BQ294" s="266"/>
      <c r="BR294" s="266"/>
      <c r="BS294" s="270"/>
    </row>
    <row r="295" spans="1:71">
      <c r="A295" s="251"/>
      <c r="B295" s="251"/>
      <c r="C295" s="251"/>
      <c r="D295" s="251"/>
      <c r="E295" s="576"/>
      <c r="F295" s="577"/>
      <c r="G295" s="577"/>
      <c r="H295" s="578"/>
      <c r="I295" s="579"/>
      <c r="J295" s="580"/>
      <c r="K295" s="580"/>
      <c r="L295" s="581"/>
      <c r="M295" s="579"/>
      <c r="N295" s="580"/>
      <c r="O295" s="580"/>
      <c r="P295" s="581"/>
      <c r="Q295" s="579"/>
      <c r="R295" s="580"/>
      <c r="S295" s="580"/>
      <c r="T295" s="581"/>
      <c r="U295" s="579"/>
      <c r="V295" s="580"/>
      <c r="W295" s="580"/>
      <c r="X295" s="581"/>
      <c r="Y295" s="579"/>
      <c r="Z295" s="580"/>
      <c r="AA295" s="580"/>
      <c r="AB295" s="581"/>
      <c r="AC295" s="258"/>
      <c r="AD295" s="259"/>
      <c r="AE295" s="259"/>
      <c r="AF295" s="260"/>
      <c r="AG295" s="258"/>
      <c r="AH295" s="259"/>
      <c r="AI295" s="259"/>
      <c r="AJ295" s="260"/>
      <c r="AK295" s="258"/>
      <c r="AL295" s="259"/>
      <c r="AM295" s="259"/>
      <c r="AN295" s="260"/>
      <c r="AO295" s="258"/>
      <c r="AP295" s="259"/>
      <c r="AQ295" s="259"/>
      <c r="AR295" s="260"/>
      <c r="AS295" s="258"/>
      <c r="AT295" s="259"/>
      <c r="AU295" s="259"/>
      <c r="AV295" s="260"/>
      <c r="AW295" s="258"/>
      <c r="AX295" s="259"/>
      <c r="AY295" s="259"/>
      <c r="AZ295" s="260"/>
      <c r="BG295" s="243"/>
      <c r="BH295" s="243"/>
      <c r="BI295" s="243"/>
      <c r="BJ295" s="282"/>
      <c r="BK295" s="283"/>
      <c r="BL295" s="283"/>
      <c r="BM295" s="283"/>
      <c r="BN295" s="283"/>
      <c r="BO295" s="283"/>
      <c r="BP295" s="282"/>
      <c r="BQ295" s="266"/>
      <c r="BR295" s="266"/>
      <c r="BS295" s="270"/>
    </row>
    <row r="296" spans="1:71">
      <c r="A296" s="251"/>
      <c r="B296" s="251"/>
      <c r="C296" s="251"/>
      <c r="D296" s="251"/>
      <c r="E296" s="582"/>
      <c r="F296" s="583"/>
      <c r="G296" s="583"/>
      <c r="H296" s="584"/>
      <c r="I296" s="573"/>
      <c r="J296" s="574"/>
      <c r="K296" s="574"/>
      <c r="L296" s="575"/>
      <c r="M296" s="573"/>
      <c r="N296" s="574"/>
      <c r="O296" s="574"/>
      <c r="P296" s="575"/>
      <c r="Q296" s="573"/>
      <c r="R296" s="574"/>
      <c r="S296" s="574"/>
      <c r="T296" s="575"/>
      <c r="U296" s="573"/>
      <c r="V296" s="574"/>
      <c r="W296" s="574"/>
      <c r="X296" s="575"/>
      <c r="Y296" s="573"/>
      <c r="Z296" s="574"/>
      <c r="AA296" s="574"/>
      <c r="AB296" s="575"/>
      <c r="AC296" s="258"/>
      <c r="AD296" s="259"/>
      <c r="AE296" s="259"/>
      <c r="AF296" s="260"/>
      <c r="AG296" s="258"/>
      <c r="AH296" s="259"/>
      <c r="AI296" s="259"/>
      <c r="AJ296" s="260"/>
      <c r="AK296" s="258"/>
      <c r="AL296" s="259"/>
      <c r="AM296" s="259"/>
      <c r="AN296" s="260"/>
      <c r="AO296" s="258"/>
      <c r="AP296" s="259"/>
      <c r="AQ296" s="259"/>
      <c r="AR296" s="260"/>
      <c r="AS296" s="258"/>
      <c r="AT296" s="259"/>
      <c r="AU296" s="259"/>
      <c r="AV296" s="260"/>
      <c r="AW296" s="258"/>
      <c r="AX296" s="259"/>
      <c r="AY296" s="259"/>
      <c r="AZ296" s="260"/>
      <c r="BG296" s="243"/>
      <c r="BH296" s="243"/>
      <c r="BI296" s="243"/>
      <c r="BJ296" s="282"/>
      <c r="BK296" s="283"/>
      <c r="BL296" s="283"/>
      <c r="BM296" s="283"/>
      <c r="BN296" s="283"/>
      <c r="BO296" s="283"/>
      <c r="BP296" s="282"/>
      <c r="BQ296" s="266"/>
      <c r="BR296" s="266"/>
      <c r="BS296" s="270"/>
    </row>
    <row r="297" spans="1:71">
      <c r="A297" s="251"/>
      <c r="B297" s="251"/>
      <c r="C297" s="251"/>
      <c r="D297" s="251"/>
      <c r="E297" s="576"/>
      <c r="F297" s="577"/>
      <c r="G297" s="577"/>
      <c r="H297" s="578"/>
      <c r="I297" s="579"/>
      <c r="J297" s="580"/>
      <c r="K297" s="580"/>
      <c r="L297" s="581"/>
      <c r="M297" s="579"/>
      <c r="N297" s="580"/>
      <c r="O297" s="580"/>
      <c r="P297" s="581"/>
      <c r="Q297" s="579"/>
      <c r="R297" s="580"/>
      <c r="S297" s="580"/>
      <c r="T297" s="581"/>
      <c r="U297" s="579"/>
      <c r="V297" s="580"/>
      <c r="W297" s="580"/>
      <c r="X297" s="581"/>
      <c r="Y297" s="579"/>
      <c r="Z297" s="580"/>
      <c r="AA297" s="580"/>
      <c r="AB297" s="581"/>
      <c r="AC297" s="258"/>
      <c r="AD297" s="259"/>
      <c r="AE297" s="259"/>
      <c r="AF297" s="260"/>
      <c r="AG297" s="258"/>
      <c r="AH297" s="259"/>
      <c r="AI297" s="259"/>
      <c r="AJ297" s="260"/>
      <c r="AK297" s="258"/>
      <c r="AL297" s="259"/>
      <c r="AM297" s="259"/>
      <c r="AN297" s="260"/>
      <c r="AO297" s="258"/>
      <c r="AP297" s="259"/>
      <c r="AQ297" s="259"/>
      <c r="AR297" s="260"/>
      <c r="AS297" s="258"/>
      <c r="AT297" s="259"/>
      <c r="AU297" s="259"/>
      <c r="AV297" s="260"/>
      <c r="AW297" s="258"/>
      <c r="AX297" s="259"/>
      <c r="AY297" s="259"/>
      <c r="AZ297" s="260"/>
      <c r="BG297" s="243"/>
      <c r="BH297" s="243"/>
      <c r="BI297" s="243"/>
      <c r="BJ297" s="282"/>
      <c r="BK297" s="283"/>
      <c r="BL297" s="283"/>
      <c r="BM297" s="283"/>
      <c r="BN297" s="283"/>
      <c r="BO297" s="283"/>
      <c r="BP297" s="282"/>
      <c r="BQ297" s="266"/>
      <c r="BR297" s="266"/>
      <c r="BS297" s="270"/>
    </row>
    <row r="298" spans="1:71">
      <c r="A298" s="251"/>
      <c r="B298" s="251"/>
      <c r="C298" s="251"/>
      <c r="D298" s="251"/>
      <c r="E298" s="582"/>
      <c r="F298" s="583"/>
      <c r="G298" s="583"/>
      <c r="H298" s="584"/>
      <c r="I298" s="573"/>
      <c r="J298" s="574"/>
      <c r="K298" s="574"/>
      <c r="L298" s="575"/>
      <c r="M298" s="573"/>
      <c r="N298" s="574"/>
      <c r="O298" s="574"/>
      <c r="P298" s="575"/>
      <c r="Q298" s="573"/>
      <c r="R298" s="574"/>
      <c r="S298" s="574"/>
      <c r="T298" s="575"/>
      <c r="U298" s="573"/>
      <c r="V298" s="574"/>
      <c r="W298" s="574"/>
      <c r="X298" s="575"/>
      <c r="Y298" s="573"/>
      <c r="Z298" s="574"/>
      <c r="AA298" s="574"/>
      <c r="AB298" s="575"/>
      <c r="AC298" s="258"/>
      <c r="AD298" s="259"/>
      <c r="AE298" s="259"/>
      <c r="AF298" s="260"/>
      <c r="AG298" s="258"/>
      <c r="AH298" s="259"/>
      <c r="AI298" s="259"/>
      <c r="AJ298" s="260"/>
      <c r="AK298" s="258"/>
      <c r="AL298" s="259"/>
      <c r="AM298" s="259"/>
      <c r="AN298" s="260"/>
      <c r="AO298" s="258"/>
      <c r="AP298" s="259"/>
      <c r="AQ298" s="259"/>
      <c r="AR298" s="260"/>
      <c r="AS298" s="258"/>
      <c r="AT298" s="259"/>
      <c r="AU298" s="259"/>
      <c r="AV298" s="260"/>
      <c r="AW298" s="258"/>
      <c r="AX298" s="259"/>
      <c r="AY298" s="259"/>
      <c r="AZ298" s="260"/>
      <c r="BG298" s="243"/>
      <c r="BH298" s="243"/>
      <c r="BI298" s="243"/>
      <c r="BJ298" s="282"/>
      <c r="BK298" s="283"/>
      <c r="BL298" s="283"/>
      <c r="BM298" s="283"/>
      <c r="BN298" s="283"/>
      <c r="BO298" s="283"/>
      <c r="BP298" s="282"/>
      <c r="BQ298" s="266"/>
      <c r="BR298" s="266"/>
      <c r="BS298" s="270"/>
    </row>
    <row r="299" spans="1:71">
      <c r="A299" s="251"/>
      <c r="B299" s="251"/>
      <c r="C299" s="251"/>
      <c r="D299" s="251"/>
      <c r="E299" s="576"/>
      <c r="F299" s="577"/>
      <c r="G299" s="577"/>
      <c r="H299" s="578"/>
      <c r="I299" s="579"/>
      <c r="J299" s="580"/>
      <c r="K299" s="580"/>
      <c r="L299" s="581"/>
      <c r="M299" s="579"/>
      <c r="N299" s="580"/>
      <c r="O299" s="580"/>
      <c r="P299" s="581"/>
      <c r="Q299" s="579"/>
      <c r="R299" s="580"/>
      <c r="S299" s="580"/>
      <c r="T299" s="581"/>
      <c r="U299" s="579"/>
      <c r="V299" s="580"/>
      <c r="W299" s="580"/>
      <c r="X299" s="581"/>
      <c r="Y299" s="579"/>
      <c r="Z299" s="580"/>
      <c r="AA299" s="580"/>
      <c r="AB299" s="581"/>
      <c r="AC299" s="258"/>
      <c r="AD299" s="259"/>
      <c r="AE299" s="259"/>
      <c r="AF299" s="260"/>
      <c r="AG299" s="258"/>
      <c r="AH299" s="259"/>
      <c r="AI299" s="259"/>
      <c r="AJ299" s="260"/>
      <c r="AK299" s="258"/>
      <c r="AL299" s="259"/>
      <c r="AM299" s="259"/>
      <c r="AN299" s="260"/>
      <c r="AO299" s="258"/>
      <c r="AP299" s="259"/>
      <c r="AQ299" s="259"/>
      <c r="AR299" s="260"/>
      <c r="AS299" s="258"/>
      <c r="AT299" s="259"/>
      <c r="AU299" s="259"/>
      <c r="AV299" s="260"/>
      <c r="AW299" s="258"/>
      <c r="AX299" s="259"/>
      <c r="AY299" s="259"/>
      <c r="AZ299" s="260"/>
      <c r="BG299" s="243"/>
      <c r="BH299" s="243"/>
      <c r="BI299" s="243"/>
      <c r="BJ299" s="282"/>
      <c r="BK299" s="283"/>
      <c r="BL299" s="283"/>
      <c r="BM299" s="283"/>
      <c r="BN299" s="283"/>
      <c r="BO299" s="283"/>
      <c r="BP299" s="282"/>
      <c r="BQ299" s="266"/>
      <c r="BR299" s="266"/>
      <c r="BS299" s="270"/>
    </row>
    <row r="300" spans="1:71">
      <c r="A300" s="251"/>
      <c r="B300" s="251"/>
      <c r="C300" s="251"/>
      <c r="D300" s="251"/>
      <c r="E300" s="582"/>
      <c r="F300" s="583"/>
      <c r="G300" s="583"/>
      <c r="H300" s="584"/>
      <c r="I300" s="573"/>
      <c r="J300" s="574"/>
      <c r="K300" s="574"/>
      <c r="L300" s="575"/>
      <c r="M300" s="573"/>
      <c r="N300" s="574"/>
      <c r="O300" s="574"/>
      <c r="P300" s="575"/>
      <c r="Q300" s="573"/>
      <c r="R300" s="574"/>
      <c r="S300" s="574"/>
      <c r="T300" s="575"/>
      <c r="U300" s="573"/>
      <c r="V300" s="574"/>
      <c r="W300" s="574"/>
      <c r="X300" s="575"/>
      <c r="Y300" s="573"/>
      <c r="Z300" s="574"/>
      <c r="AA300" s="574"/>
      <c r="AB300" s="575"/>
      <c r="AC300" s="258"/>
      <c r="AD300" s="259"/>
      <c r="AE300" s="259"/>
      <c r="AF300" s="260"/>
      <c r="AG300" s="258"/>
      <c r="AH300" s="259"/>
      <c r="AI300" s="259"/>
      <c r="AJ300" s="260"/>
      <c r="AK300" s="258"/>
      <c r="AL300" s="259"/>
      <c r="AM300" s="259"/>
      <c r="AN300" s="260"/>
      <c r="AO300" s="258"/>
      <c r="AP300" s="259"/>
      <c r="AQ300" s="259"/>
      <c r="AR300" s="260"/>
      <c r="AS300" s="258"/>
      <c r="AT300" s="259"/>
      <c r="AU300" s="259"/>
      <c r="AV300" s="260"/>
      <c r="AW300" s="258"/>
      <c r="AX300" s="259"/>
      <c r="AY300" s="259"/>
      <c r="AZ300" s="260"/>
      <c r="BG300" s="243"/>
      <c r="BH300" s="243"/>
      <c r="BI300" s="243"/>
      <c r="BJ300" s="282"/>
      <c r="BK300" s="283"/>
      <c r="BL300" s="283"/>
      <c r="BM300" s="283"/>
      <c r="BN300" s="283"/>
      <c r="BO300" s="283"/>
      <c r="BP300" s="282"/>
      <c r="BQ300" s="266"/>
      <c r="BR300" s="266"/>
      <c r="BS300" s="270"/>
    </row>
    <row r="301" spans="1:71">
      <c r="A301" s="251"/>
      <c r="B301" s="251"/>
      <c r="C301" s="251"/>
      <c r="D301" s="251"/>
      <c r="E301" s="576"/>
      <c r="F301" s="577"/>
      <c r="G301" s="577"/>
      <c r="H301" s="578"/>
      <c r="I301" s="579"/>
      <c r="J301" s="580"/>
      <c r="K301" s="580"/>
      <c r="L301" s="581"/>
      <c r="M301" s="579"/>
      <c r="N301" s="580"/>
      <c r="O301" s="580"/>
      <c r="P301" s="581"/>
      <c r="Q301" s="579"/>
      <c r="R301" s="580"/>
      <c r="S301" s="580"/>
      <c r="T301" s="581"/>
      <c r="U301" s="579"/>
      <c r="V301" s="580"/>
      <c r="W301" s="580"/>
      <c r="X301" s="581"/>
      <c r="Y301" s="579"/>
      <c r="Z301" s="580"/>
      <c r="AA301" s="580"/>
      <c r="AB301" s="581"/>
      <c r="AC301" s="258"/>
      <c r="AD301" s="259"/>
      <c r="AE301" s="259"/>
      <c r="AF301" s="260"/>
      <c r="AG301" s="258"/>
      <c r="AH301" s="259"/>
      <c r="AI301" s="259"/>
      <c r="AJ301" s="260"/>
      <c r="AK301" s="258"/>
      <c r="AL301" s="259"/>
      <c r="AM301" s="259"/>
      <c r="AN301" s="260"/>
      <c r="AO301" s="258"/>
      <c r="AP301" s="259"/>
      <c r="AQ301" s="259"/>
      <c r="AR301" s="260"/>
      <c r="AS301" s="258"/>
      <c r="AT301" s="259"/>
      <c r="AU301" s="259"/>
      <c r="AV301" s="260"/>
      <c r="AW301" s="258"/>
      <c r="AX301" s="259"/>
      <c r="AY301" s="259"/>
      <c r="AZ301" s="260"/>
      <c r="BG301" s="243"/>
      <c r="BH301" s="243"/>
      <c r="BI301" s="243"/>
      <c r="BJ301" s="282"/>
      <c r="BK301" s="283"/>
      <c r="BL301" s="283"/>
      <c r="BM301" s="283"/>
      <c r="BN301" s="283"/>
      <c r="BO301" s="283"/>
      <c r="BP301" s="282"/>
      <c r="BQ301" s="266"/>
      <c r="BR301" s="266"/>
      <c r="BS301" s="270"/>
    </row>
    <row r="302" spans="1:71">
      <c r="A302" s="251"/>
      <c r="B302" s="251"/>
      <c r="C302" s="251"/>
      <c r="D302" s="251"/>
      <c r="E302" s="582"/>
      <c r="F302" s="583"/>
      <c r="G302" s="583"/>
      <c r="H302" s="584"/>
      <c r="I302" s="573"/>
      <c r="J302" s="574"/>
      <c r="K302" s="574"/>
      <c r="L302" s="575"/>
      <c r="M302" s="573"/>
      <c r="N302" s="574"/>
      <c r="O302" s="574"/>
      <c r="P302" s="575"/>
      <c r="Q302" s="573"/>
      <c r="R302" s="574"/>
      <c r="S302" s="574"/>
      <c r="T302" s="575"/>
      <c r="U302" s="573"/>
      <c r="V302" s="574"/>
      <c r="W302" s="574"/>
      <c r="X302" s="575"/>
      <c r="Y302" s="573"/>
      <c r="Z302" s="574"/>
      <c r="AA302" s="574"/>
      <c r="AB302" s="575"/>
      <c r="AC302" s="258"/>
      <c r="AD302" s="259"/>
      <c r="AE302" s="259"/>
      <c r="AF302" s="260"/>
      <c r="AG302" s="258"/>
      <c r="AH302" s="259"/>
      <c r="AI302" s="259"/>
      <c r="AJ302" s="260"/>
      <c r="AK302" s="258"/>
      <c r="AL302" s="259"/>
      <c r="AM302" s="259"/>
      <c r="AN302" s="260"/>
      <c r="AO302" s="258"/>
      <c r="AP302" s="259"/>
      <c r="AQ302" s="259"/>
      <c r="AR302" s="260"/>
      <c r="AS302" s="258"/>
      <c r="AT302" s="259"/>
      <c r="AU302" s="259"/>
      <c r="AV302" s="260"/>
      <c r="AW302" s="258"/>
      <c r="AX302" s="259"/>
      <c r="AY302" s="259"/>
      <c r="AZ302" s="260"/>
      <c r="BG302" s="243"/>
      <c r="BH302" s="243"/>
      <c r="BI302" s="243"/>
      <c r="BJ302" s="282"/>
      <c r="BK302" s="283"/>
      <c r="BL302" s="283"/>
      <c r="BM302" s="283"/>
      <c r="BN302" s="283"/>
      <c r="BO302" s="283"/>
      <c r="BP302" s="282"/>
      <c r="BQ302" s="266"/>
      <c r="BR302" s="266"/>
      <c r="BS302" s="270"/>
    </row>
    <row r="303" spans="1:71">
      <c r="A303" s="251"/>
      <c r="B303" s="251"/>
      <c r="C303" s="251"/>
      <c r="D303" s="251"/>
      <c r="E303" s="576"/>
      <c r="F303" s="577"/>
      <c r="G303" s="577"/>
      <c r="H303" s="578"/>
      <c r="I303" s="579"/>
      <c r="J303" s="580"/>
      <c r="K303" s="580"/>
      <c r="L303" s="581"/>
      <c r="M303" s="579"/>
      <c r="N303" s="580"/>
      <c r="O303" s="580"/>
      <c r="P303" s="581"/>
      <c r="Q303" s="579"/>
      <c r="R303" s="580"/>
      <c r="S303" s="580"/>
      <c r="T303" s="581"/>
      <c r="U303" s="579"/>
      <c r="V303" s="580"/>
      <c r="W303" s="580"/>
      <c r="X303" s="581"/>
      <c r="Y303" s="579"/>
      <c r="Z303" s="580"/>
      <c r="AA303" s="580"/>
      <c r="AB303" s="581"/>
      <c r="AC303" s="258"/>
      <c r="AD303" s="259"/>
      <c r="AE303" s="259"/>
      <c r="AF303" s="260"/>
      <c r="AG303" s="258"/>
      <c r="AH303" s="259"/>
      <c r="AI303" s="259"/>
      <c r="AJ303" s="260"/>
      <c r="AK303" s="258"/>
      <c r="AL303" s="259"/>
      <c r="AM303" s="259"/>
      <c r="AN303" s="260"/>
      <c r="AO303" s="258"/>
      <c r="AP303" s="259"/>
      <c r="AQ303" s="259"/>
      <c r="AR303" s="260"/>
      <c r="AS303" s="258"/>
      <c r="AT303" s="259"/>
      <c r="AU303" s="259"/>
      <c r="AV303" s="260"/>
      <c r="AW303" s="258"/>
      <c r="AX303" s="259"/>
      <c r="AY303" s="259"/>
      <c r="AZ303" s="260"/>
      <c r="BG303" s="243"/>
      <c r="BH303" s="243"/>
      <c r="BI303" s="243"/>
      <c r="BJ303" s="282"/>
      <c r="BK303" s="283"/>
      <c r="BL303" s="283"/>
      <c r="BM303" s="283"/>
      <c r="BN303" s="283"/>
      <c r="BO303" s="283"/>
      <c r="BP303" s="282"/>
      <c r="BQ303" s="266"/>
      <c r="BR303" s="266"/>
      <c r="BS303" s="270"/>
    </row>
    <row r="304" spans="1:71">
      <c r="A304" s="251"/>
      <c r="B304" s="251"/>
      <c r="C304" s="251"/>
      <c r="D304" s="251"/>
      <c r="E304" s="582"/>
      <c r="F304" s="583"/>
      <c r="G304" s="583"/>
      <c r="H304" s="584"/>
      <c r="I304" s="573"/>
      <c r="J304" s="574"/>
      <c r="K304" s="574"/>
      <c r="L304" s="575"/>
      <c r="M304" s="573"/>
      <c r="N304" s="574"/>
      <c r="O304" s="574"/>
      <c r="P304" s="575"/>
      <c r="Q304" s="573"/>
      <c r="R304" s="574"/>
      <c r="S304" s="574"/>
      <c r="T304" s="575"/>
      <c r="U304" s="573"/>
      <c r="V304" s="574"/>
      <c r="W304" s="574"/>
      <c r="X304" s="575"/>
      <c r="Y304" s="573"/>
      <c r="Z304" s="574"/>
      <c r="AA304" s="574"/>
      <c r="AB304" s="575"/>
      <c r="AC304" s="258"/>
      <c r="AD304" s="259"/>
      <c r="AE304" s="259"/>
      <c r="AF304" s="260"/>
      <c r="AG304" s="258"/>
      <c r="AH304" s="259"/>
      <c r="AI304" s="259"/>
      <c r="AJ304" s="260"/>
      <c r="AK304" s="258"/>
      <c r="AL304" s="259"/>
      <c r="AM304" s="259"/>
      <c r="AN304" s="260"/>
      <c r="AO304" s="258"/>
      <c r="AP304" s="259"/>
      <c r="AQ304" s="259"/>
      <c r="AR304" s="260"/>
      <c r="AS304" s="258"/>
      <c r="AT304" s="259"/>
      <c r="AU304" s="259"/>
      <c r="AV304" s="260"/>
      <c r="AW304" s="258"/>
      <c r="AX304" s="259"/>
      <c r="AY304" s="259"/>
      <c r="AZ304" s="260"/>
      <c r="BG304" s="243"/>
      <c r="BH304" s="243"/>
      <c r="BI304" s="243"/>
      <c r="BJ304" s="282"/>
      <c r="BK304" s="283"/>
      <c r="BL304" s="283"/>
      <c r="BM304" s="283"/>
      <c r="BN304" s="283"/>
      <c r="BO304" s="283"/>
      <c r="BP304" s="282"/>
      <c r="BQ304" s="266"/>
      <c r="BR304" s="266"/>
      <c r="BS304" s="270"/>
    </row>
    <row r="305" spans="1:71">
      <c r="A305" s="251"/>
      <c r="B305" s="251"/>
      <c r="C305" s="251"/>
      <c r="D305" s="251"/>
      <c r="E305" s="576"/>
      <c r="F305" s="577"/>
      <c r="G305" s="577"/>
      <c r="H305" s="578"/>
      <c r="I305" s="579"/>
      <c r="J305" s="580"/>
      <c r="K305" s="580"/>
      <c r="L305" s="581"/>
      <c r="M305" s="579"/>
      <c r="N305" s="580"/>
      <c r="O305" s="580"/>
      <c r="P305" s="581"/>
      <c r="Q305" s="579"/>
      <c r="R305" s="580"/>
      <c r="S305" s="580"/>
      <c r="T305" s="581"/>
      <c r="U305" s="579"/>
      <c r="V305" s="580"/>
      <c r="W305" s="580"/>
      <c r="X305" s="581"/>
      <c r="Y305" s="579"/>
      <c r="Z305" s="580"/>
      <c r="AA305" s="580"/>
      <c r="AB305" s="581"/>
      <c r="AC305" s="258"/>
      <c r="AD305" s="259"/>
      <c r="AE305" s="259"/>
      <c r="AF305" s="260"/>
      <c r="AG305" s="258"/>
      <c r="AH305" s="259"/>
      <c r="AI305" s="259"/>
      <c r="AJ305" s="260"/>
      <c r="AK305" s="258"/>
      <c r="AL305" s="259"/>
      <c r="AM305" s="259"/>
      <c r="AN305" s="260"/>
      <c r="AO305" s="258"/>
      <c r="AP305" s="259"/>
      <c r="AQ305" s="259"/>
      <c r="AR305" s="260"/>
      <c r="AS305" s="258"/>
      <c r="AT305" s="259"/>
      <c r="AU305" s="259"/>
      <c r="AV305" s="260"/>
      <c r="AW305" s="258"/>
      <c r="AX305" s="259"/>
      <c r="AY305" s="259"/>
      <c r="AZ305" s="260"/>
      <c r="BG305" s="243"/>
      <c r="BH305" s="243"/>
      <c r="BI305" s="243"/>
      <c r="BJ305" s="282"/>
      <c r="BK305" s="283"/>
      <c r="BL305" s="283"/>
      <c r="BM305" s="283"/>
      <c r="BN305" s="283"/>
      <c r="BO305" s="283"/>
      <c r="BP305" s="282"/>
      <c r="BQ305" s="266"/>
      <c r="BR305" s="266"/>
      <c r="BS305" s="270"/>
    </row>
    <row r="306" spans="1:71">
      <c r="A306" s="251"/>
      <c r="B306" s="251"/>
      <c r="C306" s="251"/>
      <c r="D306" s="251"/>
      <c r="E306" s="582"/>
      <c r="F306" s="583"/>
      <c r="G306" s="583"/>
      <c r="H306" s="584"/>
      <c r="I306" s="573"/>
      <c r="J306" s="574"/>
      <c r="K306" s="574"/>
      <c r="L306" s="575"/>
      <c r="M306" s="573"/>
      <c r="N306" s="574"/>
      <c r="O306" s="574"/>
      <c r="P306" s="575"/>
      <c r="Q306" s="573"/>
      <c r="R306" s="574"/>
      <c r="S306" s="574"/>
      <c r="T306" s="575"/>
      <c r="U306" s="573"/>
      <c r="V306" s="574"/>
      <c r="W306" s="574"/>
      <c r="X306" s="575"/>
      <c r="Y306" s="573"/>
      <c r="Z306" s="574"/>
      <c r="AA306" s="574"/>
      <c r="AB306" s="575"/>
      <c r="AC306" s="258"/>
      <c r="AD306" s="259"/>
      <c r="AE306" s="259"/>
      <c r="AF306" s="260"/>
      <c r="AG306" s="258"/>
      <c r="AH306" s="259"/>
      <c r="AI306" s="259"/>
      <c r="AJ306" s="260"/>
      <c r="AK306" s="258"/>
      <c r="AL306" s="259"/>
      <c r="AM306" s="259"/>
      <c r="AN306" s="260"/>
      <c r="AO306" s="258"/>
      <c r="AP306" s="259"/>
      <c r="AQ306" s="259"/>
      <c r="AR306" s="260"/>
      <c r="AS306" s="258"/>
      <c r="AT306" s="259"/>
      <c r="AU306" s="259"/>
      <c r="AV306" s="260"/>
      <c r="AW306" s="258"/>
      <c r="AX306" s="259"/>
      <c r="AY306" s="259"/>
      <c r="AZ306" s="260"/>
      <c r="BG306" s="243"/>
      <c r="BH306" s="243"/>
      <c r="BI306" s="243"/>
      <c r="BJ306" s="282"/>
      <c r="BK306" s="283"/>
      <c r="BL306" s="283"/>
      <c r="BM306" s="283"/>
      <c r="BN306" s="283"/>
      <c r="BO306" s="283"/>
      <c r="BP306" s="282"/>
      <c r="BQ306" s="266"/>
      <c r="BR306" s="266"/>
      <c r="BS306" s="270"/>
    </row>
    <row r="307" spans="1:71">
      <c r="A307" s="251"/>
      <c r="B307" s="251"/>
      <c r="C307" s="251"/>
      <c r="D307" s="251"/>
      <c r="E307" s="576"/>
      <c r="F307" s="577"/>
      <c r="G307" s="577"/>
      <c r="H307" s="578"/>
      <c r="I307" s="579"/>
      <c r="J307" s="580"/>
      <c r="K307" s="580"/>
      <c r="L307" s="581"/>
      <c r="M307" s="579"/>
      <c r="N307" s="580"/>
      <c r="O307" s="580"/>
      <c r="P307" s="581"/>
      <c r="Q307" s="579"/>
      <c r="R307" s="580"/>
      <c r="S307" s="580"/>
      <c r="T307" s="581"/>
      <c r="U307" s="579"/>
      <c r="V307" s="580"/>
      <c r="W307" s="580"/>
      <c r="X307" s="581"/>
      <c r="Y307" s="579"/>
      <c r="Z307" s="580"/>
      <c r="AA307" s="580"/>
      <c r="AB307" s="581"/>
      <c r="AC307" s="258"/>
      <c r="AD307" s="259"/>
      <c r="AE307" s="259"/>
      <c r="AF307" s="260"/>
      <c r="AG307" s="258"/>
      <c r="AH307" s="259"/>
      <c r="AI307" s="259"/>
      <c r="AJ307" s="260"/>
      <c r="AK307" s="258"/>
      <c r="AL307" s="259"/>
      <c r="AM307" s="259"/>
      <c r="AN307" s="260"/>
      <c r="AO307" s="258"/>
      <c r="AP307" s="259"/>
      <c r="AQ307" s="259"/>
      <c r="AR307" s="260"/>
      <c r="AS307" s="258"/>
      <c r="AT307" s="259"/>
      <c r="AU307" s="259"/>
      <c r="AV307" s="260"/>
      <c r="AW307" s="258"/>
      <c r="AX307" s="259"/>
      <c r="AY307" s="259"/>
      <c r="AZ307" s="260"/>
      <c r="BG307" s="243"/>
      <c r="BH307" s="243"/>
      <c r="BI307" s="243"/>
      <c r="BJ307" s="282"/>
      <c r="BK307" s="283"/>
      <c r="BL307" s="283"/>
      <c r="BM307" s="283"/>
      <c r="BN307" s="283"/>
      <c r="BO307" s="283"/>
      <c r="BP307" s="282"/>
      <c r="BQ307" s="266"/>
      <c r="BR307" s="266"/>
      <c r="BS307" s="270"/>
    </row>
    <row r="308" spans="1:71">
      <c r="A308" s="251"/>
      <c r="B308" s="251"/>
      <c r="C308" s="251"/>
      <c r="D308" s="251"/>
      <c r="E308" s="251"/>
      <c r="F308" s="251"/>
      <c r="G308" s="251"/>
      <c r="H308" s="251"/>
      <c r="I308" s="251"/>
      <c r="J308" s="251"/>
      <c r="K308" s="251"/>
      <c r="L308" s="251"/>
      <c r="M308" s="251"/>
      <c r="N308" s="251"/>
      <c r="O308" s="251"/>
      <c r="P308" s="251"/>
      <c r="Q308" s="251"/>
      <c r="R308" s="251"/>
      <c r="S308" s="251"/>
      <c r="T308" s="251"/>
      <c r="U308" s="251"/>
      <c r="V308" s="251"/>
      <c r="W308" s="251"/>
      <c r="X308" s="251"/>
      <c r="Y308" s="251"/>
      <c r="Z308" s="251"/>
      <c r="AA308" s="251"/>
      <c r="AB308" s="251"/>
      <c r="AC308" s="251"/>
      <c r="AD308" s="251"/>
      <c r="AE308" s="251"/>
      <c r="AF308" s="251"/>
      <c r="AG308" s="251"/>
      <c r="AH308" s="251"/>
      <c r="AI308" s="251"/>
      <c r="AJ308" s="251"/>
      <c r="AK308" s="251"/>
      <c r="AL308" s="251"/>
      <c r="AM308" s="251"/>
      <c r="AN308" s="251"/>
      <c r="AO308" s="251"/>
      <c r="AP308" s="251"/>
      <c r="AQ308" s="251"/>
      <c r="AR308" s="251"/>
      <c r="AS308" s="251"/>
      <c r="AT308" s="251"/>
      <c r="AU308" s="251"/>
      <c r="AV308" s="251"/>
      <c r="AW308" s="251"/>
      <c r="AX308" s="261"/>
      <c r="AY308" s="261"/>
      <c r="AZ308" s="261"/>
      <c r="BG308" s="243"/>
      <c r="BH308" s="243"/>
      <c r="BI308" s="243"/>
      <c r="BJ308" s="282"/>
      <c r="BK308" s="283"/>
      <c r="BL308" s="283"/>
      <c r="BM308" s="283"/>
      <c r="BN308" s="283"/>
      <c r="BO308" s="283"/>
      <c r="BP308" s="282"/>
      <c r="BQ308" s="266"/>
      <c r="BR308" s="266"/>
      <c r="BS308" s="270"/>
    </row>
    <row r="309" spans="1:71">
      <c r="A309" s="103"/>
      <c r="B309" s="251"/>
      <c r="C309" s="251"/>
      <c r="D309" s="251"/>
      <c r="E309" s="251"/>
      <c r="F309" s="251"/>
      <c r="G309" s="251"/>
      <c r="H309" s="251"/>
      <c r="I309" s="251"/>
      <c r="J309" s="251"/>
      <c r="K309" s="251"/>
      <c r="L309" s="251"/>
      <c r="M309" s="251"/>
      <c r="N309" s="251"/>
      <c r="O309" s="251"/>
      <c r="P309" s="251"/>
      <c r="Q309" s="251"/>
      <c r="R309" s="251"/>
      <c r="S309" s="251"/>
      <c r="T309" s="251"/>
      <c r="U309" s="251"/>
      <c r="V309" s="251"/>
      <c r="W309" s="251"/>
      <c r="X309" s="251"/>
      <c r="Y309" s="251"/>
      <c r="Z309" s="251"/>
      <c r="AA309" s="251"/>
      <c r="AB309" s="251"/>
      <c r="AC309" s="251"/>
      <c r="AD309" s="251"/>
      <c r="AE309" s="251"/>
      <c r="AF309" s="251"/>
      <c r="AG309" s="251"/>
      <c r="AH309" s="251"/>
      <c r="AI309" s="251"/>
      <c r="AJ309" s="251"/>
      <c r="AK309" s="251"/>
      <c r="AL309" s="251"/>
      <c r="AM309" s="251"/>
      <c r="AN309" s="251"/>
      <c r="AO309" s="251"/>
      <c r="AP309" s="251"/>
      <c r="AQ309" s="251"/>
      <c r="AR309" s="251"/>
      <c r="AS309" s="251"/>
      <c r="AT309" s="251"/>
      <c r="AU309" s="251"/>
      <c r="AV309" s="251"/>
      <c r="AW309" s="261"/>
      <c r="AX309" s="261"/>
      <c r="AY309" s="261"/>
      <c r="AZ309" s="261"/>
      <c r="BG309" s="243"/>
      <c r="BH309" s="243"/>
      <c r="BI309" s="243"/>
      <c r="BJ309" s="282"/>
      <c r="BK309" s="283"/>
      <c r="BL309" s="283"/>
      <c r="BM309" s="283"/>
      <c r="BN309" s="283"/>
      <c r="BO309" s="283"/>
      <c r="BP309" s="282"/>
      <c r="BQ309" s="266"/>
      <c r="BR309" s="266"/>
      <c r="BS309" s="270"/>
    </row>
    <row r="310" spans="1:71">
      <c r="A310" s="588"/>
      <c r="B310" s="589"/>
      <c r="C310" s="589"/>
      <c r="D310" s="590"/>
      <c r="E310" s="588"/>
      <c r="F310" s="589"/>
      <c r="G310" s="589"/>
      <c r="H310" s="590"/>
      <c r="I310" s="585"/>
      <c r="J310" s="586"/>
      <c r="K310" s="586"/>
      <c r="L310" s="587"/>
      <c r="M310" s="585"/>
      <c r="N310" s="586"/>
      <c r="O310" s="586"/>
      <c r="P310" s="587"/>
      <c r="Q310" s="585"/>
      <c r="R310" s="586"/>
      <c r="S310" s="586"/>
      <c r="T310" s="587"/>
      <c r="U310" s="585"/>
      <c r="V310" s="586"/>
      <c r="W310" s="586"/>
      <c r="X310" s="587"/>
      <c r="Y310" s="585"/>
      <c r="Z310" s="586"/>
      <c r="AA310" s="586"/>
      <c r="AB310" s="587"/>
      <c r="AC310" s="255"/>
      <c r="AD310" s="256"/>
      <c r="AE310" s="256"/>
      <c r="AF310" s="257"/>
      <c r="AG310" s="255"/>
      <c r="AH310" s="256"/>
      <c r="AI310" s="256"/>
      <c r="AJ310" s="257"/>
      <c r="AK310" s="255"/>
      <c r="AL310" s="256"/>
      <c r="AM310" s="256"/>
      <c r="AN310" s="257"/>
      <c r="AO310" s="255"/>
      <c r="AP310" s="256"/>
      <c r="AQ310" s="256"/>
      <c r="AR310" s="257"/>
      <c r="AS310" s="255"/>
      <c r="AT310" s="256"/>
      <c r="AU310" s="256"/>
      <c r="AV310" s="257"/>
      <c r="AW310" s="255"/>
      <c r="AX310" s="256"/>
      <c r="AY310" s="256"/>
      <c r="AZ310" s="257"/>
      <c r="BG310" s="243"/>
      <c r="BH310" s="243"/>
      <c r="BI310" s="243"/>
      <c r="BJ310" s="282"/>
      <c r="BK310" s="283"/>
      <c r="BL310" s="283"/>
      <c r="BM310" s="283"/>
      <c r="BN310" s="283"/>
      <c r="BO310" s="283"/>
      <c r="BP310" s="282"/>
      <c r="BQ310" s="266"/>
      <c r="BR310" s="266"/>
      <c r="BS310" s="270"/>
    </row>
    <row r="311" spans="1:71">
      <c r="A311" s="576"/>
      <c r="B311" s="577"/>
      <c r="C311" s="577"/>
      <c r="D311" s="578"/>
      <c r="E311" s="576"/>
      <c r="F311" s="577"/>
      <c r="G311" s="577"/>
      <c r="H311" s="578"/>
      <c r="I311" s="579"/>
      <c r="J311" s="580"/>
      <c r="K311" s="580"/>
      <c r="L311" s="581"/>
      <c r="M311" s="579"/>
      <c r="N311" s="580"/>
      <c r="O311" s="580"/>
      <c r="P311" s="581"/>
      <c r="Q311" s="579"/>
      <c r="R311" s="580"/>
      <c r="S311" s="580"/>
      <c r="T311" s="581"/>
      <c r="U311" s="579"/>
      <c r="V311" s="580"/>
      <c r="W311" s="580"/>
      <c r="X311" s="581"/>
      <c r="Y311" s="579"/>
      <c r="Z311" s="580"/>
      <c r="AA311" s="580"/>
      <c r="AB311" s="581"/>
      <c r="AC311" s="258"/>
      <c r="AD311" s="259"/>
      <c r="AE311" s="259"/>
      <c r="AF311" s="260"/>
      <c r="AG311" s="258"/>
      <c r="AH311" s="259"/>
      <c r="AI311" s="259"/>
      <c r="AJ311" s="260"/>
      <c r="AK311" s="258"/>
      <c r="AL311" s="259"/>
      <c r="AM311" s="259"/>
      <c r="AN311" s="260"/>
      <c r="AO311" s="258"/>
      <c r="AP311" s="259"/>
      <c r="AQ311" s="259"/>
      <c r="AR311" s="260"/>
      <c r="AS311" s="258"/>
      <c r="AT311" s="259"/>
      <c r="AU311" s="259"/>
      <c r="AV311" s="260"/>
      <c r="AW311" s="258"/>
      <c r="AX311" s="259"/>
      <c r="AY311" s="259"/>
      <c r="AZ311" s="260"/>
      <c r="BG311" s="243"/>
      <c r="BH311" s="243"/>
      <c r="BI311" s="243"/>
      <c r="BJ311" s="282"/>
      <c r="BK311" s="283"/>
      <c r="BL311" s="283"/>
      <c r="BM311" s="283"/>
      <c r="BN311" s="283"/>
      <c r="BO311" s="283"/>
      <c r="BP311" s="282"/>
      <c r="BQ311" s="266"/>
      <c r="BR311" s="266"/>
      <c r="BS311" s="270"/>
    </row>
    <row r="312" spans="1:71">
      <c r="A312" s="582"/>
      <c r="B312" s="583"/>
      <c r="C312" s="583"/>
      <c r="D312" s="584"/>
      <c r="E312" s="582"/>
      <c r="F312" s="583"/>
      <c r="G312" s="583"/>
      <c r="H312" s="584"/>
      <c r="I312" s="573"/>
      <c r="J312" s="574"/>
      <c r="K312" s="574"/>
      <c r="L312" s="575"/>
      <c r="M312" s="573"/>
      <c r="N312" s="574"/>
      <c r="O312" s="574"/>
      <c r="P312" s="575"/>
      <c r="Q312" s="573"/>
      <c r="R312" s="574"/>
      <c r="S312" s="574"/>
      <c r="T312" s="575"/>
      <c r="U312" s="573"/>
      <c r="V312" s="574"/>
      <c r="W312" s="574"/>
      <c r="X312" s="575"/>
      <c r="Y312" s="573"/>
      <c r="Z312" s="574"/>
      <c r="AA312" s="574"/>
      <c r="AB312" s="575"/>
      <c r="AC312" s="258"/>
      <c r="AD312" s="259"/>
      <c r="AE312" s="259"/>
      <c r="AF312" s="260"/>
      <c r="AG312" s="258"/>
      <c r="AH312" s="259"/>
      <c r="AI312" s="259"/>
      <c r="AJ312" s="260"/>
      <c r="AK312" s="258"/>
      <c r="AL312" s="259"/>
      <c r="AM312" s="259"/>
      <c r="AN312" s="260"/>
      <c r="AO312" s="258"/>
      <c r="AP312" s="259"/>
      <c r="AQ312" s="259"/>
      <c r="AR312" s="260"/>
      <c r="AS312" s="258"/>
      <c r="AT312" s="259"/>
      <c r="AU312" s="259"/>
      <c r="AV312" s="260"/>
      <c r="AW312" s="258"/>
      <c r="AX312" s="259"/>
      <c r="AY312" s="259"/>
      <c r="AZ312" s="260"/>
      <c r="BG312" s="243"/>
      <c r="BH312" s="243"/>
      <c r="BI312" s="243"/>
      <c r="BJ312" s="282"/>
      <c r="BK312" s="283"/>
      <c r="BL312" s="283"/>
      <c r="BM312" s="283"/>
      <c r="BN312" s="283"/>
      <c r="BO312" s="283"/>
      <c r="BP312" s="282"/>
      <c r="BQ312" s="266"/>
      <c r="BR312" s="266"/>
      <c r="BS312" s="270"/>
    </row>
    <row r="313" spans="1:71">
      <c r="A313" s="576"/>
      <c r="B313" s="577"/>
      <c r="C313" s="577"/>
      <c r="D313" s="578"/>
      <c r="E313" s="576"/>
      <c r="F313" s="577"/>
      <c r="G313" s="577"/>
      <c r="H313" s="578"/>
      <c r="I313" s="579"/>
      <c r="J313" s="580"/>
      <c r="K313" s="580"/>
      <c r="L313" s="581"/>
      <c r="M313" s="579"/>
      <c r="N313" s="580"/>
      <c r="O313" s="580"/>
      <c r="P313" s="581"/>
      <c r="Q313" s="579"/>
      <c r="R313" s="580"/>
      <c r="S313" s="580"/>
      <c r="T313" s="581"/>
      <c r="U313" s="579"/>
      <c r="V313" s="580"/>
      <c r="W313" s="580"/>
      <c r="X313" s="581"/>
      <c r="Y313" s="579"/>
      <c r="Z313" s="580"/>
      <c r="AA313" s="580"/>
      <c r="AB313" s="581"/>
      <c r="AC313" s="258"/>
      <c r="AD313" s="259"/>
      <c r="AE313" s="259"/>
      <c r="AF313" s="260"/>
      <c r="AG313" s="258"/>
      <c r="AH313" s="259"/>
      <c r="AI313" s="259"/>
      <c r="AJ313" s="260"/>
      <c r="AK313" s="258"/>
      <c r="AL313" s="259"/>
      <c r="AM313" s="259"/>
      <c r="AN313" s="260"/>
      <c r="AO313" s="258"/>
      <c r="AP313" s="259"/>
      <c r="AQ313" s="259"/>
      <c r="AR313" s="260"/>
      <c r="AS313" s="258"/>
      <c r="AT313" s="259"/>
      <c r="AU313" s="259"/>
      <c r="AV313" s="260"/>
      <c r="AW313" s="258"/>
      <c r="AX313" s="259"/>
      <c r="AY313" s="259"/>
      <c r="AZ313" s="260"/>
      <c r="BG313" s="243"/>
      <c r="BH313" s="243"/>
      <c r="BI313" s="243"/>
      <c r="BJ313" s="282"/>
      <c r="BK313" s="283"/>
      <c r="BL313" s="283"/>
      <c r="BM313" s="283"/>
      <c r="BN313" s="283"/>
      <c r="BO313" s="283"/>
      <c r="BP313" s="282"/>
      <c r="BQ313" s="266"/>
      <c r="BR313" s="266"/>
      <c r="BS313" s="270"/>
    </row>
    <row r="314" spans="1:71">
      <c r="A314" s="582"/>
      <c r="B314" s="583"/>
      <c r="C314" s="583"/>
      <c r="D314" s="584"/>
      <c r="E314" s="582"/>
      <c r="F314" s="583"/>
      <c r="G314" s="583"/>
      <c r="H314" s="584"/>
      <c r="I314" s="573"/>
      <c r="J314" s="574"/>
      <c r="K314" s="574"/>
      <c r="L314" s="575"/>
      <c r="M314" s="573"/>
      <c r="N314" s="574"/>
      <c r="O314" s="574"/>
      <c r="P314" s="575"/>
      <c r="Q314" s="573"/>
      <c r="R314" s="574"/>
      <c r="S314" s="574"/>
      <c r="T314" s="575"/>
      <c r="U314" s="573"/>
      <c r="V314" s="574"/>
      <c r="W314" s="574"/>
      <c r="X314" s="575"/>
      <c r="Y314" s="573"/>
      <c r="Z314" s="574"/>
      <c r="AA314" s="574"/>
      <c r="AB314" s="575"/>
      <c r="AC314" s="258"/>
      <c r="AD314" s="259"/>
      <c r="AE314" s="259"/>
      <c r="AF314" s="260"/>
      <c r="AG314" s="258"/>
      <c r="AH314" s="259"/>
      <c r="AI314" s="259"/>
      <c r="AJ314" s="260"/>
      <c r="AK314" s="258"/>
      <c r="AL314" s="259"/>
      <c r="AM314" s="259"/>
      <c r="AN314" s="260"/>
      <c r="AO314" s="258"/>
      <c r="AP314" s="259"/>
      <c r="AQ314" s="259"/>
      <c r="AR314" s="260"/>
      <c r="AS314" s="258"/>
      <c r="AT314" s="259"/>
      <c r="AU314" s="259"/>
      <c r="AV314" s="260"/>
      <c r="AW314" s="258"/>
      <c r="AX314" s="259"/>
      <c r="AY314" s="259"/>
      <c r="AZ314" s="260"/>
      <c r="BG314" s="243"/>
      <c r="BH314" s="243"/>
      <c r="BI314" s="243"/>
      <c r="BJ314" s="282"/>
      <c r="BK314" s="283"/>
      <c r="BL314" s="283"/>
      <c r="BM314" s="283"/>
      <c r="BN314" s="283"/>
      <c r="BO314" s="283"/>
      <c r="BP314" s="282"/>
      <c r="BQ314" s="266"/>
      <c r="BR314" s="266"/>
      <c r="BS314" s="270"/>
    </row>
    <row r="315" spans="1:71">
      <c r="A315" s="576"/>
      <c r="B315" s="577"/>
      <c r="C315" s="577"/>
      <c r="D315" s="578"/>
      <c r="E315" s="576"/>
      <c r="F315" s="577"/>
      <c r="G315" s="577"/>
      <c r="H315" s="578"/>
      <c r="I315" s="579"/>
      <c r="J315" s="580"/>
      <c r="K315" s="580"/>
      <c r="L315" s="581"/>
      <c r="M315" s="579"/>
      <c r="N315" s="580"/>
      <c r="O315" s="580"/>
      <c r="P315" s="581"/>
      <c r="Q315" s="579"/>
      <c r="R315" s="580"/>
      <c r="S315" s="580"/>
      <c r="T315" s="581"/>
      <c r="U315" s="579"/>
      <c r="V315" s="580"/>
      <c r="W315" s="580"/>
      <c r="X315" s="581"/>
      <c r="Y315" s="579"/>
      <c r="Z315" s="580"/>
      <c r="AA315" s="580"/>
      <c r="AB315" s="581"/>
      <c r="AC315" s="258"/>
      <c r="AD315" s="259"/>
      <c r="AE315" s="259"/>
      <c r="AF315" s="260"/>
      <c r="AG315" s="258"/>
      <c r="AH315" s="259"/>
      <c r="AI315" s="259"/>
      <c r="AJ315" s="260"/>
      <c r="AK315" s="258"/>
      <c r="AL315" s="259"/>
      <c r="AM315" s="259"/>
      <c r="AN315" s="260"/>
      <c r="AO315" s="258"/>
      <c r="AP315" s="259"/>
      <c r="AQ315" s="259"/>
      <c r="AR315" s="260"/>
      <c r="AS315" s="258"/>
      <c r="AT315" s="259"/>
      <c r="AU315" s="259"/>
      <c r="AV315" s="260"/>
      <c r="AW315" s="258"/>
      <c r="AX315" s="259"/>
      <c r="AY315" s="259"/>
      <c r="AZ315" s="260"/>
      <c r="BG315" s="243"/>
      <c r="BH315" s="243"/>
      <c r="BI315" s="243"/>
      <c r="BJ315" s="282"/>
      <c r="BK315" s="283"/>
      <c r="BL315" s="283"/>
      <c r="BM315" s="283"/>
      <c r="BN315" s="283"/>
      <c r="BO315" s="283"/>
      <c r="BP315" s="282"/>
      <c r="BQ315" s="266"/>
      <c r="BR315" s="266"/>
      <c r="BS315" s="270"/>
    </row>
    <row r="316" spans="1:71">
      <c r="BG316" s="243"/>
      <c r="BH316" s="243"/>
      <c r="BI316" s="243"/>
      <c r="BJ316" s="282"/>
      <c r="BK316" s="283"/>
      <c r="BL316" s="283"/>
      <c r="BM316" s="283"/>
      <c r="BN316" s="283"/>
      <c r="BO316" s="283"/>
      <c r="BP316" s="282"/>
      <c r="BQ316" s="266"/>
      <c r="BR316" s="266"/>
      <c r="BS316" s="270"/>
    </row>
    <row r="317" spans="1:71">
      <c r="A317" s="222"/>
      <c r="AL317" s="284"/>
      <c r="AM317" s="284"/>
      <c r="AN317" s="284"/>
      <c r="AO317" s="284"/>
      <c r="AP317" s="284"/>
      <c r="AQ317" s="284"/>
      <c r="AR317" s="284"/>
      <c r="AS317" s="284"/>
      <c r="AT317" s="284"/>
      <c r="AU317" s="224"/>
      <c r="AV317" s="543"/>
      <c r="AW317" s="543"/>
      <c r="AX317" s="543"/>
      <c r="AY317" s="543"/>
      <c r="AZ317" s="543"/>
      <c r="BG317" s="243"/>
      <c r="BH317" s="243"/>
      <c r="BI317" s="243"/>
      <c r="BJ317" s="282"/>
      <c r="BK317" s="283"/>
      <c r="BL317" s="283"/>
      <c r="BM317" s="283"/>
      <c r="BN317" s="283"/>
      <c r="BO317" s="283"/>
      <c r="BP317" s="282"/>
      <c r="BQ317" s="266"/>
      <c r="BR317" s="266"/>
      <c r="BS317" s="270"/>
    </row>
    <row r="318" spans="1:71">
      <c r="A318" s="225"/>
      <c r="B318" s="284"/>
      <c r="C318" s="284"/>
      <c r="D318" s="284"/>
      <c r="E318" s="284"/>
      <c r="F318" s="284"/>
      <c r="G318" s="284"/>
      <c r="H318" s="284"/>
      <c r="I318" s="284"/>
      <c r="J318" s="284"/>
      <c r="K318" s="284"/>
      <c r="L318" s="284"/>
      <c r="M318" s="284"/>
      <c r="N318" s="284"/>
      <c r="O318" s="284"/>
      <c r="P318" s="284"/>
      <c r="Q318" s="284"/>
      <c r="R318" s="284"/>
      <c r="S318" s="284"/>
      <c r="T318" s="284"/>
      <c r="U318" s="284"/>
      <c r="V318" s="284"/>
      <c r="W318" s="284"/>
      <c r="X318" s="284"/>
      <c r="Y318" s="284"/>
      <c r="Z318" s="284"/>
      <c r="AA318" s="284"/>
      <c r="AB318" s="284"/>
      <c r="AC318" s="284"/>
      <c r="AD318" s="284"/>
      <c r="AE318" s="284"/>
      <c r="AF318" s="284"/>
      <c r="AG318" s="284"/>
      <c r="AH318" s="284"/>
      <c r="AI318" s="284"/>
      <c r="AJ318" s="284"/>
      <c r="AK318" s="284"/>
      <c r="AL318" s="284"/>
      <c r="AM318" s="284"/>
      <c r="AN318" s="284"/>
      <c r="AO318" s="284"/>
      <c r="AP318" s="284"/>
      <c r="AQ318" s="284"/>
      <c r="AR318" s="284"/>
      <c r="AS318" s="284"/>
      <c r="AT318" s="284"/>
      <c r="AU318" s="284"/>
      <c r="AV318" s="284"/>
      <c r="AW318" s="284"/>
      <c r="AX318" s="284"/>
      <c r="AY318" s="284"/>
      <c r="AZ318" s="284"/>
      <c r="BG318" s="243"/>
      <c r="BH318" s="243"/>
      <c r="BI318" s="243"/>
      <c r="BJ318" s="282"/>
      <c r="BK318" s="283"/>
      <c r="BL318" s="283"/>
      <c r="BM318" s="283"/>
      <c r="BN318" s="283"/>
      <c r="BO318" s="283"/>
      <c r="BP318" s="282"/>
      <c r="BQ318" s="266"/>
      <c r="BR318" s="266"/>
      <c r="BS318" s="270"/>
    </row>
    <row r="319" spans="1:71">
      <c r="A319" s="225"/>
      <c r="B319" s="284"/>
      <c r="C319" s="284"/>
      <c r="D319" s="284"/>
      <c r="E319" s="284"/>
      <c r="F319" s="284"/>
      <c r="G319" s="284"/>
      <c r="H319" s="284"/>
      <c r="I319" s="284"/>
      <c r="J319" s="284"/>
      <c r="K319" s="284"/>
      <c r="L319" s="284"/>
      <c r="M319" s="284"/>
      <c r="N319" s="284"/>
      <c r="O319" s="284"/>
      <c r="P319" s="284"/>
      <c r="Q319" s="284"/>
      <c r="R319" s="284"/>
      <c r="S319" s="284"/>
      <c r="T319" s="284"/>
      <c r="U319" s="284"/>
      <c r="V319" s="284"/>
      <c r="W319" s="284"/>
      <c r="X319" s="284"/>
      <c r="Y319" s="284"/>
      <c r="Z319" s="284"/>
      <c r="AA319" s="284"/>
      <c r="AB319" s="284"/>
      <c r="AC319" s="284"/>
      <c r="AD319" s="284"/>
      <c r="AE319" s="284"/>
      <c r="AF319" s="284"/>
      <c r="AG319" s="284"/>
      <c r="AH319" s="284"/>
      <c r="AI319" s="284"/>
      <c r="AJ319" s="284"/>
      <c r="AK319" s="284"/>
      <c r="AL319" s="284"/>
      <c r="AM319" s="284"/>
      <c r="AN319" s="284"/>
      <c r="AO319" s="284"/>
      <c r="AP319" s="284"/>
      <c r="AQ319" s="284"/>
      <c r="AR319" s="284"/>
      <c r="AS319" s="284"/>
      <c r="AT319" s="284"/>
      <c r="AU319" s="284"/>
      <c r="AV319" s="284"/>
      <c r="AW319" s="284"/>
      <c r="AX319" s="284"/>
      <c r="AY319" s="284"/>
      <c r="AZ319" s="284"/>
      <c r="BG319" s="243"/>
      <c r="BH319" s="243"/>
      <c r="BI319" s="243"/>
      <c r="BJ319" s="282"/>
      <c r="BK319" s="283"/>
      <c r="BL319" s="283"/>
      <c r="BM319" s="283"/>
      <c r="BN319" s="283"/>
      <c r="BO319" s="283"/>
      <c r="BP319" s="282"/>
      <c r="BQ319" s="266"/>
      <c r="BR319" s="266"/>
      <c r="BS319" s="270"/>
    </row>
    <row r="320" spans="1:71">
      <c r="A320" s="225"/>
      <c r="B320" s="229"/>
      <c r="C320" s="229"/>
      <c r="D320" s="229"/>
      <c r="E320" s="229"/>
      <c r="F320" s="229"/>
      <c r="G320" s="229"/>
      <c r="H320" s="229"/>
      <c r="I320" s="229"/>
      <c r="J320" s="229"/>
      <c r="K320" s="229"/>
      <c r="L320" s="229"/>
      <c r="M320" s="229"/>
      <c r="N320" s="229"/>
      <c r="O320" s="229"/>
      <c r="P320" s="229"/>
      <c r="Q320" s="229"/>
      <c r="R320" s="229"/>
      <c r="S320" s="229"/>
      <c r="T320" s="229"/>
      <c r="U320" s="229"/>
      <c r="V320" s="229"/>
      <c r="W320" s="229"/>
      <c r="X320" s="229"/>
      <c r="Y320" s="229"/>
      <c r="Z320" s="229"/>
      <c r="AA320" s="229"/>
      <c r="AB320" s="229"/>
      <c r="AC320" s="229"/>
      <c r="AD320" s="229"/>
      <c r="AE320" s="229"/>
      <c r="AF320" s="229"/>
      <c r="AG320" s="229"/>
      <c r="AH320" s="229"/>
      <c r="AI320" s="229"/>
      <c r="AJ320" s="229"/>
      <c r="AK320" s="229"/>
      <c r="AL320" s="229"/>
      <c r="AM320" s="229"/>
      <c r="AN320" s="229"/>
      <c r="AO320" s="229"/>
      <c r="AP320" s="229"/>
      <c r="AQ320" s="229"/>
      <c r="AR320" s="229"/>
      <c r="AS320" s="229"/>
      <c r="AT320" s="229"/>
      <c r="AU320" s="229"/>
      <c r="AV320" s="229"/>
      <c r="AW320" s="229"/>
      <c r="AX320" s="229"/>
      <c r="AY320" s="229"/>
      <c r="AZ320" s="230"/>
      <c r="BG320" s="243"/>
      <c r="BH320" s="243"/>
      <c r="BI320" s="243"/>
      <c r="BJ320" s="282"/>
      <c r="BK320" s="283"/>
      <c r="BL320" s="283"/>
      <c r="BM320" s="283"/>
      <c r="BN320" s="283"/>
      <c r="BO320" s="283"/>
      <c r="BP320" s="282"/>
      <c r="BQ320" s="266"/>
      <c r="BR320" s="266"/>
      <c r="BS320" s="270"/>
    </row>
    <row r="321" spans="1:71">
      <c r="A321" s="539"/>
      <c r="B321" s="539"/>
      <c r="C321" s="539"/>
      <c r="D321" s="539"/>
      <c r="E321" s="539"/>
      <c r="F321" s="539"/>
      <c r="G321" s="539"/>
      <c r="H321" s="539"/>
      <c r="I321" s="539"/>
      <c r="J321" s="539"/>
      <c r="K321" s="539"/>
      <c r="L321" s="539"/>
      <c r="M321" s="539"/>
      <c r="N321" s="539"/>
      <c r="O321" s="539"/>
      <c r="P321" s="539"/>
      <c r="Q321" s="539"/>
      <c r="R321" s="539"/>
      <c r="S321" s="539"/>
      <c r="T321" s="539"/>
      <c r="U321" s="539"/>
      <c r="V321" s="539"/>
      <c r="W321" s="539"/>
      <c r="X321" s="539"/>
      <c r="Y321" s="539"/>
      <c r="Z321" s="539"/>
      <c r="AA321" s="539"/>
      <c r="AB321" s="539"/>
      <c r="AC321" s="539"/>
      <c r="AD321" s="539"/>
      <c r="AE321" s="539"/>
      <c r="AF321" s="539"/>
      <c r="AG321" s="539"/>
      <c r="AH321" s="539"/>
      <c r="AI321" s="539"/>
      <c r="AJ321" s="539"/>
      <c r="AK321" s="539"/>
      <c r="AL321" s="539"/>
      <c r="AM321" s="539"/>
      <c r="AN321" s="539"/>
      <c r="AO321" s="539"/>
      <c r="AP321" s="539"/>
      <c r="AQ321" s="539"/>
      <c r="AR321" s="539"/>
      <c r="AS321" s="539"/>
      <c r="AT321" s="539"/>
      <c r="AU321" s="539"/>
      <c r="AV321" s="539"/>
      <c r="AW321" s="539"/>
      <c r="AX321" s="539"/>
      <c r="AY321" s="539"/>
      <c r="AZ321" s="544"/>
      <c r="BG321" s="243"/>
      <c r="BH321" s="243"/>
      <c r="BI321" s="243"/>
      <c r="BJ321" s="282"/>
      <c r="BK321" s="283"/>
      <c r="BL321" s="283"/>
      <c r="BM321" s="283"/>
      <c r="BN321" s="283"/>
      <c r="BO321" s="283"/>
      <c r="BP321" s="282"/>
      <c r="BQ321" s="266"/>
      <c r="BR321" s="266"/>
      <c r="BS321" s="270"/>
    </row>
    <row r="322" spans="1:71">
      <c r="A322" s="539"/>
      <c r="B322" s="539"/>
      <c r="C322" s="539"/>
      <c r="D322" s="539"/>
      <c r="E322" s="539"/>
      <c r="F322" s="539"/>
      <c r="G322" s="539"/>
      <c r="H322" s="539"/>
      <c r="I322" s="539"/>
      <c r="J322" s="539"/>
      <c r="K322" s="539"/>
      <c r="L322" s="539"/>
      <c r="M322" s="539"/>
      <c r="N322" s="539"/>
      <c r="O322" s="539"/>
      <c r="P322" s="539"/>
      <c r="Q322" s="539"/>
      <c r="R322" s="539"/>
      <c r="S322" s="539"/>
      <c r="T322" s="539"/>
      <c r="U322" s="539"/>
      <c r="V322" s="539"/>
      <c r="W322" s="539"/>
      <c r="X322" s="539"/>
      <c r="Y322" s="539"/>
      <c r="Z322" s="539"/>
      <c r="AA322" s="539"/>
      <c r="AB322" s="539"/>
      <c r="AC322" s="539"/>
      <c r="AD322" s="539"/>
      <c r="AE322" s="539"/>
      <c r="AF322" s="539"/>
      <c r="AG322" s="539"/>
      <c r="AH322" s="539"/>
      <c r="AI322" s="539"/>
      <c r="AJ322" s="539"/>
      <c r="AK322" s="539"/>
      <c r="AL322" s="539"/>
      <c r="AM322" s="539"/>
      <c r="AN322" s="539"/>
      <c r="AO322" s="539"/>
      <c r="AP322" s="539"/>
      <c r="AQ322" s="539"/>
      <c r="AR322" s="539"/>
      <c r="AS322" s="539"/>
      <c r="AT322" s="539"/>
      <c r="AU322" s="539"/>
      <c r="AV322" s="539"/>
      <c r="AW322" s="539"/>
      <c r="AX322" s="539"/>
      <c r="AY322" s="539"/>
      <c r="AZ322" s="544"/>
      <c r="BG322" s="243"/>
      <c r="BH322" s="243"/>
      <c r="BI322" s="243"/>
      <c r="BJ322" s="282"/>
      <c r="BK322" s="283"/>
      <c r="BL322" s="283"/>
      <c r="BM322" s="283"/>
      <c r="BN322" s="283"/>
      <c r="BO322" s="283"/>
      <c r="BP322" s="282"/>
      <c r="BQ322" s="266"/>
      <c r="BR322" s="266"/>
      <c r="BS322" s="270"/>
    </row>
    <row r="323" spans="1:71">
      <c r="A323" s="539"/>
      <c r="B323" s="539"/>
      <c r="C323" s="539"/>
      <c r="D323" s="539"/>
      <c r="E323" s="539"/>
      <c r="F323" s="539"/>
      <c r="G323" s="539"/>
      <c r="H323" s="539"/>
      <c r="I323" s="539"/>
      <c r="J323" s="539"/>
      <c r="K323" s="539"/>
      <c r="L323" s="539"/>
      <c r="M323" s="539"/>
      <c r="N323" s="539"/>
      <c r="O323" s="539"/>
      <c r="P323" s="539"/>
      <c r="Q323" s="539"/>
      <c r="R323" s="539"/>
      <c r="S323" s="539"/>
      <c r="T323" s="539"/>
      <c r="U323" s="539"/>
      <c r="V323" s="539"/>
      <c r="W323" s="539"/>
      <c r="X323" s="539"/>
      <c r="Y323" s="539"/>
      <c r="Z323" s="539"/>
      <c r="AA323" s="539"/>
      <c r="AB323" s="539"/>
      <c r="AC323" s="539"/>
      <c r="AD323" s="539"/>
      <c r="AE323" s="539"/>
      <c r="AF323" s="539"/>
      <c r="AG323" s="539"/>
      <c r="AH323" s="539"/>
      <c r="AI323" s="539"/>
      <c r="AJ323" s="539"/>
      <c r="AK323" s="539"/>
      <c r="AL323" s="539"/>
      <c r="AM323" s="539"/>
      <c r="AN323" s="539"/>
      <c r="AO323" s="539"/>
      <c r="AP323" s="539"/>
      <c r="AQ323" s="539"/>
      <c r="AR323" s="539"/>
      <c r="AS323" s="539"/>
      <c r="AT323" s="539"/>
      <c r="AU323" s="539"/>
      <c r="AV323" s="539"/>
      <c r="AW323" s="539"/>
      <c r="AX323" s="539"/>
      <c r="AY323" s="539"/>
      <c r="AZ323" s="539"/>
      <c r="BG323" s="243"/>
      <c r="BH323" s="243"/>
      <c r="BI323" s="243"/>
      <c r="BJ323" s="282"/>
      <c r="BK323" s="283"/>
      <c r="BL323" s="283"/>
      <c r="BM323" s="283"/>
      <c r="BN323" s="283"/>
      <c r="BO323" s="283"/>
      <c r="BP323" s="282"/>
      <c r="BQ323" s="266"/>
      <c r="BR323" s="266"/>
      <c r="BS323" s="270"/>
    </row>
    <row r="324" spans="1:71">
      <c r="A324" s="539"/>
      <c r="B324" s="539"/>
      <c r="C324" s="539"/>
      <c r="D324" s="539"/>
      <c r="E324" s="539"/>
      <c r="F324" s="539"/>
      <c r="G324" s="539"/>
      <c r="H324" s="539"/>
      <c r="I324" s="539"/>
      <c r="J324" s="539"/>
      <c r="K324" s="539"/>
      <c r="L324" s="539"/>
      <c r="M324" s="539"/>
      <c r="N324" s="539"/>
      <c r="O324" s="539"/>
      <c r="P324" s="539"/>
      <c r="Q324" s="539"/>
      <c r="R324" s="539"/>
      <c r="S324" s="539"/>
      <c r="T324" s="539"/>
      <c r="U324" s="539"/>
      <c r="V324" s="539"/>
      <c r="W324" s="539"/>
      <c r="X324" s="539"/>
      <c r="Y324" s="539"/>
      <c r="Z324" s="539"/>
      <c r="AA324" s="539"/>
      <c r="AB324" s="539"/>
      <c r="AC324" s="539"/>
      <c r="AD324" s="539"/>
      <c r="AE324" s="539"/>
      <c r="AF324" s="539"/>
      <c r="AG324" s="539"/>
      <c r="AH324" s="539"/>
      <c r="AI324" s="539"/>
      <c r="AJ324" s="539"/>
      <c r="AK324" s="539"/>
      <c r="AL324" s="539"/>
      <c r="AM324" s="539"/>
      <c r="AN324" s="539"/>
      <c r="AO324" s="539"/>
      <c r="AP324" s="539"/>
      <c r="AQ324" s="539"/>
      <c r="AR324" s="539"/>
      <c r="AS324" s="539"/>
      <c r="AT324" s="539"/>
      <c r="AU324" s="539"/>
      <c r="AV324" s="539"/>
      <c r="AW324" s="539"/>
      <c r="AX324" s="539"/>
      <c r="AY324" s="539"/>
      <c r="AZ324" s="539"/>
      <c r="BG324" s="243"/>
      <c r="BH324" s="243"/>
      <c r="BI324" s="243"/>
      <c r="BJ324" s="282"/>
      <c r="BK324" s="283"/>
      <c r="BL324" s="283"/>
      <c r="BM324" s="283"/>
      <c r="BN324" s="283"/>
      <c r="BO324" s="283"/>
      <c r="BP324" s="282"/>
      <c r="BQ324" s="266"/>
      <c r="BR324" s="266"/>
      <c r="BS324" s="270"/>
    </row>
    <row r="325" spans="1:71">
      <c r="A325" s="225"/>
      <c r="B325" s="284"/>
      <c r="C325" s="284"/>
      <c r="D325" s="284"/>
      <c r="E325" s="284"/>
      <c r="F325" s="284"/>
      <c r="G325" s="284"/>
      <c r="H325" s="284"/>
      <c r="I325" s="284"/>
      <c r="J325" s="284"/>
      <c r="K325" s="284"/>
      <c r="L325" s="284"/>
      <c r="M325" s="284"/>
      <c r="N325" s="284"/>
      <c r="O325" s="284"/>
      <c r="P325" s="284"/>
      <c r="Q325" s="284"/>
      <c r="R325" s="284"/>
      <c r="S325" s="284"/>
      <c r="T325" s="284"/>
      <c r="U325" s="284"/>
      <c r="V325" s="284"/>
      <c r="W325" s="284"/>
      <c r="X325" s="284"/>
      <c r="Y325" s="284"/>
      <c r="Z325" s="284"/>
      <c r="AA325" s="284"/>
      <c r="AB325" s="284"/>
      <c r="AC325" s="284"/>
      <c r="AD325" s="284"/>
      <c r="AE325" s="284"/>
      <c r="AF325" s="284"/>
      <c r="AG325" s="284"/>
      <c r="AH325" s="284"/>
      <c r="AI325" s="284"/>
      <c r="AJ325" s="284"/>
      <c r="AK325" s="284"/>
      <c r="AL325" s="284"/>
      <c r="AM325" s="284"/>
      <c r="AN325" s="284"/>
      <c r="AO325" s="284"/>
      <c r="AP325" s="284"/>
      <c r="AQ325" s="284"/>
      <c r="AR325" s="284"/>
      <c r="AS325" s="284"/>
      <c r="AT325" s="284"/>
      <c r="AU325" s="284"/>
      <c r="AV325" s="284"/>
      <c r="AW325" s="284"/>
      <c r="AX325" s="284"/>
      <c r="AY325" s="284"/>
      <c r="AZ325" s="284"/>
      <c r="BG325" s="243"/>
      <c r="BH325" s="243"/>
      <c r="BI325" s="243"/>
      <c r="BJ325" s="282"/>
      <c r="BK325" s="283"/>
      <c r="BL325" s="283"/>
      <c r="BM325" s="283"/>
      <c r="BN325" s="283"/>
      <c r="BO325" s="283"/>
      <c r="BP325" s="282"/>
      <c r="BQ325" s="266"/>
      <c r="BR325" s="266"/>
      <c r="BS325" s="270"/>
    </row>
    <row r="326" spans="1:71">
      <c r="A326" s="225"/>
      <c r="B326" s="284"/>
      <c r="C326" s="284"/>
      <c r="D326" s="284"/>
      <c r="E326" s="284"/>
      <c r="F326" s="284"/>
      <c r="G326" s="284"/>
      <c r="H326" s="284"/>
      <c r="I326" s="284"/>
      <c r="J326" s="284"/>
      <c r="K326" s="284"/>
      <c r="L326" s="284"/>
      <c r="M326" s="284"/>
      <c r="N326" s="284"/>
      <c r="O326" s="284"/>
      <c r="P326" s="284"/>
      <c r="Q326" s="284"/>
      <c r="R326" s="284"/>
      <c r="S326" s="284"/>
      <c r="T326" s="284"/>
      <c r="U326" s="284"/>
      <c r="V326" s="284"/>
      <c r="W326" s="284"/>
      <c r="X326" s="284"/>
      <c r="Y326" s="284"/>
      <c r="Z326" s="284"/>
      <c r="AA326" s="284"/>
      <c r="AB326" s="284"/>
      <c r="AC326" s="284"/>
      <c r="AD326" s="284"/>
      <c r="AE326" s="284"/>
      <c r="AF326" s="284"/>
      <c r="AG326" s="284"/>
      <c r="AH326" s="284"/>
      <c r="AI326" s="284"/>
      <c r="AJ326" s="284"/>
      <c r="AK326" s="284"/>
      <c r="AL326" s="284"/>
      <c r="AM326" s="284"/>
      <c r="AN326" s="284"/>
      <c r="AO326" s="284"/>
      <c r="AP326" s="284"/>
      <c r="AQ326" s="284"/>
      <c r="AR326" s="284"/>
      <c r="AS326" s="284"/>
      <c r="AT326" s="284"/>
      <c r="AU326" s="284"/>
      <c r="AV326" s="284"/>
      <c r="AW326" s="284"/>
      <c r="AX326" s="284"/>
      <c r="AY326" s="285"/>
      <c r="AZ326" s="285"/>
      <c r="BG326" s="243"/>
      <c r="BH326" s="243"/>
      <c r="BI326" s="243"/>
      <c r="BJ326" s="282"/>
      <c r="BK326" s="283"/>
      <c r="BL326" s="283"/>
      <c r="BM326" s="283"/>
      <c r="BN326" s="283"/>
      <c r="BO326" s="283"/>
      <c r="BP326" s="282"/>
      <c r="BQ326" s="266"/>
      <c r="BR326" s="266"/>
      <c r="BS326" s="270"/>
    </row>
    <row r="327" spans="1:71">
      <c r="A327" s="225"/>
      <c r="B327" s="284"/>
      <c r="C327" s="284"/>
      <c r="D327" s="284"/>
      <c r="E327" s="284"/>
      <c r="F327" s="284"/>
      <c r="G327" s="284"/>
      <c r="H327" s="284"/>
      <c r="I327" s="284"/>
      <c r="J327" s="284"/>
      <c r="K327" s="284"/>
      <c r="L327" s="284"/>
      <c r="M327" s="284"/>
      <c r="N327" s="284"/>
      <c r="O327" s="284"/>
      <c r="P327" s="284"/>
      <c r="Q327" s="284"/>
      <c r="R327" s="284"/>
      <c r="S327" s="284"/>
      <c r="T327" s="284"/>
      <c r="U327" s="284"/>
      <c r="V327" s="284"/>
      <c r="W327" s="284"/>
      <c r="X327" s="284"/>
      <c r="Y327" s="284"/>
      <c r="Z327" s="284"/>
      <c r="AA327" s="284"/>
      <c r="AB327" s="284"/>
      <c r="AC327" s="284"/>
      <c r="AD327" s="284"/>
      <c r="AE327" s="284"/>
      <c r="AF327" s="284"/>
      <c r="AG327" s="284"/>
      <c r="AH327" s="284"/>
      <c r="AI327" s="284"/>
      <c r="AJ327" s="284"/>
      <c r="AK327" s="284"/>
      <c r="AL327" s="284"/>
      <c r="AM327" s="284"/>
      <c r="AN327" s="284"/>
      <c r="AO327" s="284"/>
      <c r="AP327" s="284"/>
      <c r="AQ327" s="284"/>
      <c r="AR327" s="284"/>
      <c r="AS327" s="284"/>
      <c r="AT327" s="284"/>
      <c r="AU327" s="284"/>
      <c r="AV327" s="284"/>
      <c r="AW327" s="284"/>
      <c r="AX327" s="284"/>
      <c r="AY327" s="285"/>
      <c r="AZ327" s="285"/>
      <c r="BG327" s="243"/>
      <c r="BH327" s="243"/>
      <c r="BI327" s="243"/>
      <c r="BJ327" s="264"/>
      <c r="BK327" s="264"/>
      <c r="BL327" s="264"/>
      <c r="BM327" s="264"/>
      <c r="BN327" s="264"/>
      <c r="BO327" s="264"/>
    </row>
    <row r="328" spans="1:71">
      <c r="AY328" s="286"/>
      <c r="AZ328" s="286"/>
      <c r="BG328" s="243"/>
      <c r="BH328" s="243"/>
      <c r="BJ328" s="231" t="s">
        <v>433</v>
      </c>
      <c r="BK328" s="233">
        <v>564.65</v>
      </c>
      <c r="BL328" s="233">
        <v>631.12</v>
      </c>
      <c r="BM328" s="233">
        <v>814.76</v>
      </c>
      <c r="BN328" s="233">
        <v>839.93</v>
      </c>
      <c r="BO328" s="233">
        <v>900.96</v>
      </c>
      <c r="BP328" s="243"/>
      <c r="BQ328" s="243"/>
      <c r="BR328" s="243"/>
    </row>
    <row r="329" spans="1:71">
      <c r="BG329" s="243"/>
      <c r="BH329" s="243"/>
      <c r="BJ329" s="231" t="s">
        <v>434</v>
      </c>
      <c r="BK329" s="233">
        <v>9.48</v>
      </c>
      <c r="BL329" s="233">
        <v>10.7</v>
      </c>
      <c r="BM329" s="233">
        <v>13.85</v>
      </c>
      <c r="BN329" s="233">
        <v>14.16</v>
      </c>
      <c r="BO329" s="233">
        <v>14.86</v>
      </c>
      <c r="BP329" s="287" t="s">
        <v>444</v>
      </c>
      <c r="BQ329" s="243"/>
      <c r="BR329" s="243"/>
    </row>
    <row r="330" spans="1:71">
      <c r="BG330" s="243"/>
      <c r="BH330" s="243"/>
      <c r="BJ330" s="231" t="s">
        <v>435</v>
      </c>
      <c r="BK330" s="234">
        <v>0.71</v>
      </c>
      <c r="BL330" s="234">
        <v>0.71</v>
      </c>
      <c r="BM330" s="234">
        <v>0.71</v>
      </c>
      <c r="BN330" s="234">
        <v>0.71</v>
      </c>
      <c r="BO330" s="234">
        <v>0.71</v>
      </c>
      <c r="BQ330" s="243"/>
      <c r="BR330" s="243"/>
    </row>
    <row r="331" spans="1:71">
      <c r="BG331" s="243"/>
      <c r="BH331" s="243"/>
      <c r="BJ331" s="231" t="s">
        <v>436</v>
      </c>
      <c r="BK331" s="233">
        <f>ROUND(IF($BK$17&gt;300,(BK329*(ROUNDUP((($BK$17-300)/5),0))),0),2)</f>
        <v>0</v>
      </c>
      <c r="BL331" s="233">
        <f>ROUND(IF($BK$17&gt;300,(BL329*(ROUNDUP((($BK$17-300)/5),0))),0),2)</f>
        <v>0</v>
      </c>
      <c r="BM331" s="233">
        <f>ROUND(IF($BK$17&gt;300,(BM329*(ROUNDUP((($BK$17-300)/5),0))),0),2)</f>
        <v>0</v>
      </c>
      <c r="BN331" s="233">
        <f>ROUND(IF($BK$17&gt;300,(BN329*(ROUNDUP((($BK$17-300)/5),0))),0),2)</f>
        <v>0</v>
      </c>
      <c r="BO331" s="233">
        <f>ROUND(IF($BK$17&gt;300,(BO329*(ROUNDUP((($BK$17-300)/5),0))),0),2)</f>
        <v>0</v>
      </c>
      <c r="BQ331" s="243"/>
      <c r="BR331" s="243"/>
    </row>
    <row r="332" spans="1:71">
      <c r="BG332" s="243"/>
      <c r="BH332" s="243"/>
      <c r="BJ332" s="231" t="s">
        <v>437</v>
      </c>
      <c r="BK332" s="233">
        <f>ROUND((BK328+BK331),2)</f>
        <v>564.65</v>
      </c>
      <c r="BL332" s="233">
        <f>ROUND((BL328+BL331),2)</f>
        <v>631.12</v>
      </c>
      <c r="BM332" s="233">
        <f>ROUND((BM328+BM331),2)</f>
        <v>814.76</v>
      </c>
      <c r="BN332" s="233">
        <f>ROUND((BN328+BN331),2)</f>
        <v>839.93</v>
      </c>
      <c r="BO332" s="233">
        <f>ROUND((BO328+BO331),2)</f>
        <v>900.96</v>
      </c>
    </row>
    <row r="333" spans="1:71">
      <c r="BG333" s="243"/>
      <c r="BH333" s="243"/>
      <c r="BJ333" s="235" t="s">
        <v>438</v>
      </c>
      <c r="BK333" s="236">
        <f>ROUND((BK332*(1-BK330)),2)</f>
        <v>163.75</v>
      </c>
      <c r="BL333" s="236">
        <f>ROUND((BL332*(1-BL330)),2)</f>
        <v>183.02</v>
      </c>
      <c r="BM333" s="236">
        <f>ROUND((BM332*(1-BM330)),2)</f>
        <v>236.28</v>
      </c>
      <c r="BN333" s="236">
        <f>ROUND((BN332*(1-BN330)),2)</f>
        <v>243.58</v>
      </c>
      <c r="BO333" s="236">
        <f>ROUND((BO332*(1-BO330)),2)</f>
        <v>261.27999999999997</v>
      </c>
    </row>
    <row r="334" spans="1:71">
      <c r="BG334" s="243"/>
      <c r="BH334" s="243"/>
      <c r="BI334" s="243"/>
      <c r="BJ334" s="264"/>
      <c r="BK334" s="264"/>
      <c r="BL334" s="264"/>
      <c r="BM334" s="264"/>
      <c r="BN334" s="264"/>
      <c r="BO334" s="264"/>
    </row>
    <row r="335" spans="1:71">
      <c r="BG335" s="243"/>
      <c r="BH335" s="243"/>
      <c r="BI335" s="243"/>
      <c r="BJ335" s="264"/>
      <c r="BK335" s="264"/>
      <c r="BL335" s="264"/>
      <c r="BM335" s="264"/>
      <c r="BN335" s="264"/>
      <c r="BO335" s="264"/>
    </row>
    <row r="336" spans="1:71">
      <c r="BG336" s="243"/>
      <c r="BH336" s="243"/>
      <c r="BI336" s="243"/>
      <c r="BJ336" s="264"/>
      <c r="BK336" s="264"/>
      <c r="BL336" s="264"/>
      <c r="BM336" s="264"/>
      <c r="BN336" s="264"/>
      <c r="BO336" s="264"/>
    </row>
    <row r="337" spans="59:67">
      <c r="BG337" s="243"/>
      <c r="BH337" s="243"/>
      <c r="BI337" s="243"/>
      <c r="BJ337" s="264"/>
      <c r="BK337" s="264"/>
      <c r="BL337" s="264"/>
      <c r="BM337" s="264"/>
      <c r="BN337" s="264"/>
      <c r="BO337" s="264"/>
    </row>
    <row r="338" spans="59:67">
      <c r="BG338" s="243"/>
      <c r="BH338" s="243"/>
      <c r="BI338" s="243"/>
      <c r="BJ338" s="264"/>
      <c r="BK338" s="264"/>
      <c r="BL338" s="264"/>
      <c r="BM338" s="264"/>
      <c r="BN338" s="264"/>
      <c r="BO338" s="264"/>
    </row>
    <row r="339" spans="59:67">
      <c r="BG339" s="243"/>
      <c r="BH339" s="243"/>
      <c r="BI339" s="243"/>
      <c r="BJ339" s="264"/>
      <c r="BK339" s="264"/>
      <c r="BL339" s="264"/>
      <c r="BM339" s="264"/>
      <c r="BN339" s="264"/>
      <c r="BO339" s="264"/>
    </row>
    <row r="340" spans="59:67">
      <c r="BG340" s="243"/>
      <c r="BH340" s="243"/>
      <c r="BI340" s="243"/>
      <c r="BJ340" s="264"/>
      <c r="BK340" s="264"/>
      <c r="BL340" s="264"/>
      <c r="BM340" s="264"/>
      <c r="BN340" s="264"/>
      <c r="BO340" s="264"/>
    </row>
    <row r="341" spans="59:67">
      <c r="BG341" s="243"/>
      <c r="BH341" s="243"/>
      <c r="BI341" s="243"/>
      <c r="BJ341" s="264"/>
      <c r="BK341" s="264"/>
      <c r="BL341" s="264"/>
      <c r="BM341" s="264"/>
      <c r="BN341" s="264"/>
      <c r="BO341" s="264"/>
    </row>
    <row r="342" spans="59:67">
      <c r="BG342" s="243"/>
      <c r="BH342" s="243"/>
      <c r="BI342" s="243"/>
      <c r="BJ342" s="264"/>
      <c r="BK342" s="264"/>
      <c r="BL342" s="264"/>
      <c r="BM342" s="264"/>
      <c r="BN342" s="264"/>
      <c r="BO342" s="264"/>
    </row>
    <row r="343" spans="59:67">
      <c r="BG343" s="243"/>
      <c r="BH343" s="243"/>
      <c r="BI343" s="243"/>
      <c r="BJ343" s="264"/>
      <c r="BK343" s="264"/>
      <c r="BL343" s="264"/>
      <c r="BM343" s="264"/>
      <c r="BN343" s="264"/>
      <c r="BO343" s="264"/>
    </row>
    <row r="344" spans="59:67">
      <c r="BG344" s="243"/>
      <c r="BH344" s="243"/>
      <c r="BI344" s="243"/>
      <c r="BJ344" s="264"/>
      <c r="BK344" s="264"/>
      <c r="BL344" s="264"/>
      <c r="BM344" s="264"/>
      <c r="BN344" s="264"/>
      <c r="BO344" s="264"/>
    </row>
    <row r="345" spans="59:67">
      <c r="BG345" s="243"/>
      <c r="BH345" s="243"/>
      <c r="BI345" s="243"/>
      <c r="BJ345" s="264"/>
      <c r="BK345" s="264"/>
      <c r="BL345" s="264"/>
      <c r="BM345" s="264"/>
      <c r="BN345" s="264"/>
      <c r="BO345" s="264"/>
    </row>
    <row r="346" spans="59:67">
      <c r="BG346" s="243"/>
      <c r="BH346" s="243"/>
      <c r="BI346" s="243"/>
      <c r="BJ346" s="264"/>
      <c r="BK346" s="264"/>
      <c r="BL346" s="264"/>
      <c r="BM346" s="264"/>
      <c r="BN346" s="264"/>
      <c r="BO346" s="264"/>
    </row>
    <row r="347" spans="59:67">
      <c r="BG347" s="243"/>
      <c r="BH347" s="243"/>
      <c r="BI347" s="243"/>
      <c r="BJ347" s="264"/>
      <c r="BK347" s="264"/>
      <c r="BL347" s="264"/>
      <c r="BM347" s="264"/>
      <c r="BN347" s="264"/>
      <c r="BO347" s="264"/>
    </row>
    <row r="348" spans="59:67">
      <c r="BG348" s="243"/>
      <c r="BH348" s="243"/>
      <c r="BI348" s="243"/>
      <c r="BJ348" s="264"/>
      <c r="BK348" s="264"/>
      <c r="BL348" s="264"/>
      <c r="BM348" s="264"/>
      <c r="BN348" s="264"/>
      <c r="BO348" s="264"/>
    </row>
    <row r="349" spans="59:67">
      <c r="BG349" s="243"/>
      <c r="BH349" s="243"/>
      <c r="BI349" s="243"/>
      <c r="BJ349" s="264"/>
      <c r="BK349" s="264"/>
      <c r="BL349" s="264"/>
      <c r="BM349" s="264"/>
      <c r="BN349" s="264"/>
      <c r="BO349" s="264"/>
    </row>
    <row r="350" spans="59:67">
      <c r="BG350" s="243"/>
      <c r="BH350" s="243"/>
      <c r="BI350" s="243"/>
      <c r="BJ350" s="264"/>
      <c r="BK350" s="264"/>
      <c r="BL350" s="264"/>
      <c r="BM350" s="264"/>
      <c r="BN350" s="264"/>
      <c r="BO350" s="264"/>
    </row>
    <row r="351" spans="59:67">
      <c r="BG351" s="243"/>
      <c r="BH351" s="243"/>
      <c r="BI351" s="243"/>
      <c r="BJ351" s="264"/>
      <c r="BK351" s="264"/>
      <c r="BL351" s="264"/>
      <c r="BM351" s="264"/>
      <c r="BN351" s="264"/>
      <c r="BO351" s="264"/>
    </row>
    <row r="352" spans="59:67">
      <c r="BG352" s="243"/>
      <c r="BH352" s="243"/>
      <c r="BI352" s="243"/>
      <c r="BJ352" s="264"/>
      <c r="BK352" s="264"/>
      <c r="BL352" s="264"/>
      <c r="BM352" s="264"/>
      <c r="BN352" s="264"/>
      <c r="BO352" s="264"/>
    </row>
    <row r="353" spans="59:67">
      <c r="BG353" s="243"/>
      <c r="BH353" s="243"/>
      <c r="BI353" s="243"/>
      <c r="BJ353" s="264"/>
      <c r="BK353" s="264"/>
      <c r="BL353" s="264"/>
      <c r="BM353" s="264"/>
      <c r="BN353" s="264"/>
      <c r="BO353" s="264"/>
    </row>
    <row r="354" spans="59:67">
      <c r="BG354" s="243"/>
      <c r="BH354" s="243"/>
      <c r="BI354" s="243"/>
      <c r="BJ354" s="264"/>
      <c r="BK354" s="264"/>
      <c r="BL354" s="264"/>
      <c r="BM354" s="264"/>
      <c r="BN354" s="264"/>
      <c r="BO354" s="264"/>
    </row>
    <row r="355" spans="59:67">
      <c r="BG355" s="243"/>
      <c r="BH355" s="243"/>
      <c r="BI355" s="243"/>
      <c r="BJ355" s="264"/>
      <c r="BK355" s="264"/>
      <c r="BL355" s="264"/>
      <c r="BM355" s="264"/>
      <c r="BN355" s="264"/>
      <c r="BO355" s="264"/>
    </row>
    <row r="356" spans="59:67">
      <c r="BG356" s="243"/>
      <c r="BH356" s="243"/>
      <c r="BI356" s="243"/>
      <c r="BJ356" s="264"/>
      <c r="BK356" s="264"/>
      <c r="BL356" s="264"/>
      <c r="BM356" s="264"/>
      <c r="BN356" s="264"/>
      <c r="BO356" s="264"/>
    </row>
    <row r="357" spans="59:67">
      <c r="BG357" s="243"/>
      <c r="BH357" s="243"/>
      <c r="BI357" s="243"/>
      <c r="BJ357" s="264"/>
      <c r="BK357" s="264"/>
      <c r="BL357" s="264"/>
      <c r="BM357" s="264"/>
      <c r="BN357" s="264"/>
      <c r="BO357" s="264"/>
    </row>
    <row r="358" spans="59:67">
      <c r="BG358" s="243"/>
      <c r="BH358" s="243"/>
      <c r="BI358" s="243"/>
      <c r="BJ358" s="264"/>
      <c r="BK358" s="264"/>
      <c r="BL358" s="264"/>
      <c r="BM358" s="264"/>
      <c r="BN358" s="264"/>
      <c r="BO358" s="264"/>
    </row>
    <row r="359" spans="59:67">
      <c r="BG359" s="243"/>
      <c r="BH359" s="243"/>
      <c r="BI359" s="243"/>
      <c r="BJ359" s="264"/>
      <c r="BK359" s="264"/>
      <c r="BL359" s="264"/>
      <c r="BM359" s="264"/>
      <c r="BN359" s="264"/>
      <c r="BO359" s="264"/>
    </row>
    <row r="360" spans="59:67">
      <c r="BG360" s="243"/>
      <c r="BH360" s="243"/>
      <c r="BI360" s="243"/>
      <c r="BJ360" s="264"/>
      <c r="BK360" s="264"/>
      <c r="BL360" s="264"/>
      <c r="BM360" s="264"/>
      <c r="BN360" s="264"/>
      <c r="BO360" s="264"/>
    </row>
    <row r="361" spans="59:67">
      <c r="BG361" s="243"/>
      <c r="BH361" s="243"/>
      <c r="BI361" s="243"/>
      <c r="BJ361" s="264"/>
      <c r="BK361" s="264"/>
      <c r="BL361" s="264"/>
      <c r="BM361" s="264"/>
      <c r="BN361" s="264"/>
      <c r="BO361" s="264"/>
    </row>
    <row r="362" spans="59:67">
      <c r="BG362" s="243"/>
      <c r="BH362" s="243"/>
      <c r="BI362" s="243"/>
      <c r="BJ362" s="264"/>
      <c r="BK362" s="264"/>
      <c r="BL362" s="264"/>
      <c r="BM362" s="264"/>
      <c r="BN362" s="264"/>
      <c r="BO362" s="264"/>
    </row>
    <row r="363" spans="59:67">
      <c r="BG363" s="243"/>
      <c r="BH363" s="243"/>
      <c r="BI363" s="243"/>
      <c r="BJ363" s="264"/>
      <c r="BK363" s="264"/>
      <c r="BL363" s="264"/>
      <c r="BM363" s="264"/>
      <c r="BN363" s="264"/>
      <c r="BO363" s="264"/>
    </row>
    <row r="364" spans="59:67">
      <c r="BG364" s="243"/>
      <c r="BH364" s="243"/>
      <c r="BI364" s="243"/>
      <c r="BJ364" s="264"/>
      <c r="BK364" s="264"/>
      <c r="BL364" s="264"/>
      <c r="BM364" s="264"/>
      <c r="BN364" s="264"/>
      <c r="BO364" s="264"/>
    </row>
    <row r="365" spans="59:67">
      <c r="BG365" s="243"/>
      <c r="BH365" s="243"/>
      <c r="BI365" s="243"/>
      <c r="BJ365" s="264"/>
      <c r="BK365" s="264"/>
      <c r="BL365" s="264"/>
      <c r="BM365" s="264"/>
      <c r="BN365" s="264"/>
      <c r="BO365" s="264"/>
    </row>
    <row r="366" spans="59:67">
      <c r="BG366" s="243"/>
      <c r="BH366" s="243"/>
      <c r="BI366" s="243"/>
      <c r="BJ366" s="264"/>
      <c r="BK366" s="264"/>
      <c r="BL366" s="264"/>
      <c r="BM366" s="264"/>
      <c r="BN366" s="264"/>
      <c r="BO366" s="264"/>
    </row>
    <row r="367" spans="59:67">
      <c r="BG367" s="243"/>
      <c r="BH367" s="243"/>
      <c r="BI367" s="243"/>
      <c r="BJ367" s="264"/>
      <c r="BK367" s="264"/>
      <c r="BL367" s="264"/>
      <c r="BM367" s="264"/>
      <c r="BN367" s="264"/>
      <c r="BO367" s="264"/>
    </row>
    <row r="368" spans="59:67">
      <c r="BG368" s="243"/>
      <c r="BH368" s="243"/>
      <c r="BI368" s="243"/>
      <c r="BJ368" s="264"/>
      <c r="BK368" s="264"/>
      <c r="BL368" s="264"/>
      <c r="BM368" s="264"/>
      <c r="BN368" s="264"/>
      <c r="BO368" s="264"/>
    </row>
    <row r="369" spans="59:61">
      <c r="BG369" s="243"/>
      <c r="BH369" s="243"/>
      <c r="BI369" s="243"/>
    </row>
    <row r="370" spans="59:61">
      <c r="BG370" s="243"/>
      <c r="BH370" s="243"/>
      <c r="BI370" s="243"/>
    </row>
    <row r="371" spans="59:61">
      <c r="BG371" s="243"/>
      <c r="BH371" s="243"/>
      <c r="BI371" s="243"/>
    </row>
    <row r="372" spans="59:61">
      <c r="BG372" s="243"/>
      <c r="BH372" s="243"/>
      <c r="BI372" s="243"/>
    </row>
    <row r="373" spans="59:61">
      <c r="BG373" s="243"/>
      <c r="BH373" s="243"/>
      <c r="BI373" s="243"/>
    </row>
    <row r="374" spans="59:61">
      <c r="BG374" s="243"/>
      <c r="BH374" s="243"/>
      <c r="BI374" s="243"/>
    </row>
    <row r="375" spans="59:61">
      <c r="BG375" s="243"/>
      <c r="BH375" s="243"/>
      <c r="BI375" s="243"/>
    </row>
    <row r="376" spans="59:61">
      <c r="BG376" s="243"/>
      <c r="BH376" s="243"/>
      <c r="BI376" s="243"/>
    </row>
    <row r="377" spans="59:61">
      <c r="BG377" s="243"/>
      <c r="BH377" s="243"/>
      <c r="BI377" s="243"/>
    </row>
    <row r="378" spans="59:61">
      <c r="BG378" s="243"/>
      <c r="BH378" s="243"/>
      <c r="BI378" s="243"/>
    </row>
    <row r="379" spans="59:61">
      <c r="BG379" s="243"/>
      <c r="BH379" s="243"/>
      <c r="BI379" s="243"/>
    </row>
    <row r="380" spans="59:61">
      <c r="BG380" s="243"/>
      <c r="BH380" s="243"/>
      <c r="BI380" s="243"/>
    </row>
    <row r="381" spans="59:61">
      <c r="BG381" s="243"/>
      <c r="BH381" s="243"/>
      <c r="BI381" s="243"/>
    </row>
    <row r="382" spans="59:61">
      <c r="BG382" s="243"/>
      <c r="BH382" s="243"/>
      <c r="BI382" s="243"/>
    </row>
    <row r="383" spans="59:61">
      <c r="BG383" s="243"/>
      <c r="BH383" s="243"/>
      <c r="BI383" s="243"/>
    </row>
    <row r="384" spans="59:61">
      <c r="BG384" s="243"/>
      <c r="BH384" s="243"/>
      <c r="BI384" s="243"/>
    </row>
    <row r="385" spans="59:61">
      <c r="BG385" s="243"/>
      <c r="BH385" s="243"/>
      <c r="BI385" s="243"/>
    </row>
    <row r="386" spans="59:61">
      <c r="BG386" s="243"/>
      <c r="BH386" s="243"/>
      <c r="BI386" s="243"/>
    </row>
    <row r="387" spans="59:61">
      <c r="BG387" s="243"/>
      <c r="BH387" s="243"/>
      <c r="BI387" s="243"/>
    </row>
    <row r="388" spans="59:61">
      <c r="BG388" s="243"/>
      <c r="BH388" s="243"/>
      <c r="BI388" s="243"/>
    </row>
    <row r="389" spans="59:61">
      <c r="BG389" s="243"/>
      <c r="BH389" s="243"/>
      <c r="BI389" s="243"/>
    </row>
    <row r="390" spans="59:61">
      <c r="BG390" s="243"/>
      <c r="BH390" s="243"/>
      <c r="BI390" s="243"/>
    </row>
    <row r="391" spans="59:61">
      <c r="BG391" s="243"/>
      <c r="BH391" s="243"/>
      <c r="BI391" s="243"/>
    </row>
    <row r="392" spans="59:61">
      <c r="BG392" s="243"/>
      <c r="BH392" s="243"/>
      <c r="BI392" s="243"/>
    </row>
    <row r="393" spans="59:61">
      <c r="BG393" s="243"/>
      <c r="BH393" s="243"/>
      <c r="BI393" s="243"/>
    </row>
    <row r="394" spans="59:61">
      <c r="BG394" s="243"/>
      <c r="BH394" s="243"/>
      <c r="BI394" s="243"/>
    </row>
    <row r="395" spans="59:61">
      <c r="BG395" s="243"/>
      <c r="BH395" s="243"/>
      <c r="BI395" s="243"/>
    </row>
    <row r="396" spans="59:61">
      <c r="BG396" s="243"/>
      <c r="BH396" s="243"/>
      <c r="BI396" s="243"/>
    </row>
    <row r="397" spans="59:61">
      <c r="BG397" s="243"/>
      <c r="BH397" s="243"/>
      <c r="BI397" s="243"/>
    </row>
    <row r="398" spans="59:61">
      <c r="BG398" s="243"/>
      <c r="BH398" s="243"/>
      <c r="BI398" s="243"/>
    </row>
    <row r="399" spans="59:61">
      <c r="BG399" s="243"/>
      <c r="BH399" s="243"/>
      <c r="BI399" s="243"/>
    </row>
    <row r="400" spans="59:61">
      <c r="BG400" s="243"/>
      <c r="BH400" s="243"/>
      <c r="BI400" s="243"/>
    </row>
    <row r="401" spans="59:61">
      <c r="BG401" s="243"/>
      <c r="BH401" s="243"/>
      <c r="BI401" s="243"/>
    </row>
    <row r="402" spans="59:61">
      <c r="BG402" s="243"/>
      <c r="BH402" s="243"/>
      <c r="BI402" s="243"/>
    </row>
    <row r="403" spans="59:61">
      <c r="BG403" s="243"/>
      <c r="BH403" s="243"/>
      <c r="BI403" s="243"/>
    </row>
    <row r="404" spans="59:61">
      <c r="BG404" s="243"/>
      <c r="BH404" s="243"/>
      <c r="BI404" s="243"/>
    </row>
    <row r="405" spans="59:61">
      <c r="BG405" s="243"/>
      <c r="BH405" s="243"/>
      <c r="BI405" s="243"/>
    </row>
    <row r="406" spans="59:61">
      <c r="BG406" s="243"/>
      <c r="BH406" s="243"/>
      <c r="BI406" s="243"/>
    </row>
    <row r="407" spans="59:61">
      <c r="BG407" s="243"/>
      <c r="BH407" s="243"/>
      <c r="BI407" s="243"/>
    </row>
    <row r="408" spans="59:61">
      <c r="BG408" s="243"/>
      <c r="BH408" s="243"/>
      <c r="BI408" s="243"/>
    </row>
    <row r="409" spans="59:61">
      <c r="BG409" s="243"/>
      <c r="BH409" s="243"/>
      <c r="BI409" s="243"/>
    </row>
    <row r="410" spans="59:61">
      <c r="BG410" s="243"/>
      <c r="BH410" s="243"/>
      <c r="BI410" s="243"/>
    </row>
    <row r="411" spans="59:61">
      <c r="BG411" s="243"/>
      <c r="BH411" s="243"/>
      <c r="BI411" s="243"/>
    </row>
    <row r="412" spans="59:61">
      <c r="BG412" s="243"/>
      <c r="BH412" s="243"/>
      <c r="BI412" s="243"/>
    </row>
    <row r="413" spans="59:61">
      <c r="BG413" s="243"/>
      <c r="BH413" s="243"/>
      <c r="BI413" s="243"/>
    </row>
    <row r="414" spans="59:61">
      <c r="BG414" s="243"/>
      <c r="BH414" s="243"/>
      <c r="BI414" s="243"/>
    </row>
    <row r="415" spans="59:61">
      <c r="BG415" s="243"/>
      <c r="BH415" s="243"/>
      <c r="BI415" s="243"/>
    </row>
    <row r="416" spans="59:61">
      <c r="BG416" s="243"/>
      <c r="BH416" s="243"/>
      <c r="BI416" s="243"/>
    </row>
    <row r="417" spans="59:61">
      <c r="BG417" s="243"/>
      <c r="BH417" s="243"/>
      <c r="BI417" s="243"/>
    </row>
    <row r="418" spans="59:61">
      <c r="BG418" s="243"/>
      <c r="BH418" s="243"/>
      <c r="BI418" s="243"/>
    </row>
    <row r="419" spans="59:61">
      <c r="BG419" s="243"/>
      <c r="BH419" s="243"/>
      <c r="BI419" s="243"/>
    </row>
    <row r="420" spans="59:61">
      <c r="BG420" s="243"/>
      <c r="BH420" s="243"/>
      <c r="BI420" s="243"/>
    </row>
    <row r="421" spans="59:61">
      <c r="BG421" s="243"/>
      <c r="BH421" s="243"/>
      <c r="BI421" s="243"/>
    </row>
    <row r="422" spans="59:61">
      <c r="BG422" s="243"/>
      <c r="BH422" s="243"/>
      <c r="BI422" s="243"/>
    </row>
    <row r="423" spans="59:61">
      <c r="BG423" s="243"/>
      <c r="BH423" s="243"/>
      <c r="BI423" s="243"/>
    </row>
    <row r="424" spans="59:61">
      <c r="BG424" s="243"/>
      <c r="BH424" s="243"/>
      <c r="BI424" s="243"/>
    </row>
    <row r="425" spans="59:61">
      <c r="BG425" s="243"/>
      <c r="BH425" s="243"/>
      <c r="BI425" s="243"/>
    </row>
    <row r="426" spans="59:61">
      <c r="BG426" s="243"/>
      <c r="BH426" s="243"/>
      <c r="BI426" s="243"/>
    </row>
    <row r="427" spans="59:61">
      <c r="BG427" s="243"/>
      <c r="BH427" s="243"/>
      <c r="BI427" s="243"/>
    </row>
    <row r="428" spans="59:61">
      <c r="BG428" s="243"/>
      <c r="BH428" s="243"/>
      <c r="BI428" s="243"/>
    </row>
    <row r="429" spans="59:61">
      <c r="BG429" s="243"/>
      <c r="BH429" s="243"/>
      <c r="BI429" s="243"/>
    </row>
    <row r="430" spans="59:61">
      <c r="BG430" s="243"/>
      <c r="BH430" s="243"/>
      <c r="BI430" s="243"/>
    </row>
    <row r="431" spans="59:61">
      <c r="BG431" s="243"/>
      <c r="BH431" s="243"/>
      <c r="BI431" s="243"/>
    </row>
    <row r="432" spans="59:61">
      <c r="BG432" s="243"/>
      <c r="BH432" s="243"/>
      <c r="BI432" s="243"/>
    </row>
    <row r="433" spans="59:61">
      <c r="BG433" s="243"/>
      <c r="BH433" s="243"/>
      <c r="BI433" s="243"/>
    </row>
    <row r="434" spans="59:61">
      <c r="BG434" s="243"/>
      <c r="BH434" s="243"/>
      <c r="BI434" s="243"/>
    </row>
    <row r="435" spans="59:61">
      <c r="BG435" s="243"/>
      <c r="BH435" s="243"/>
      <c r="BI435" s="243"/>
    </row>
    <row r="436" spans="59:61">
      <c r="BG436" s="243"/>
      <c r="BH436" s="243"/>
      <c r="BI436" s="243"/>
    </row>
    <row r="437" spans="59:61">
      <c r="BG437" s="243"/>
      <c r="BH437" s="243"/>
      <c r="BI437" s="243"/>
    </row>
    <row r="438" spans="59:61">
      <c r="BG438" s="243"/>
      <c r="BH438" s="243"/>
      <c r="BI438" s="243"/>
    </row>
    <row r="439" spans="59:61">
      <c r="BG439" s="243"/>
      <c r="BH439" s="243"/>
      <c r="BI439" s="243"/>
    </row>
    <row r="440" spans="59:61">
      <c r="BG440" s="243"/>
      <c r="BH440" s="243"/>
      <c r="BI440" s="243"/>
    </row>
    <row r="441" spans="59:61">
      <c r="BG441" s="243"/>
      <c r="BH441" s="243"/>
      <c r="BI441" s="243"/>
    </row>
    <row r="442" spans="59:61">
      <c r="BG442" s="243"/>
      <c r="BH442" s="243"/>
      <c r="BI442" s="243"/>
    </row>
    <row r="443" spans="59:61">
      <c r="BG443" s="243"/>
      <c r="BH443" s="243"/>
      <c r="BI443" s="243"/>
    </row>
    <row r="444" spans="59:61">
      <c r="BG444" s="243"/>
      <c r="BH444" s="243"/>
      <c r="BI444" s="243"/>
    </row>
    <row r="445" spans="59:61">
      <c r="BG445" s="243"/>
      <c r="BH445" s="243"/>
      <c r="BI445" s="243"/>
    </row>
    <row r="446" spans="59:61">
      <c r="BG446" s="243"/>
      <c r="BH446" s="243"/>
      <c r="BI446" s="243"/>
    </row>
    <row r="447" spans="59:61">
      <c r="BG447" s="243"/>
      <c r="BH447" s="243"/>
      <c r="BI447" s="243"/>
    </row>
    <row r="448" spans="59:61">
      <c r="BG448" s="243"/>
      <c r="BH448" s="243"/>
      <c r="BI448" s="243"/>
    </row>
    <row r="449" spans="59:61">
      <c r="BG449" s="243"/>
      <c r="BH449" s="243"/>
      <c r="BI449" s="243"/>
    </row>
    <row r="450" spans="59:61">
      <c r="BG450" s="243"/>
      <c r="BH450" s="243"/>
      <c r="BI450" s="243"/>
    </row>
    <row r="451" spans="59:61">
      <c r="BG451" s="243"/>
      <c r="BH451" s="243"/>
      <c r="BI451" s="243"/>
    </row>
    <row r="452" spans="59:61">
      <c r="BG452" s="243"/>
      <c r="BH452" s="243"/>
      <c r="BI452" s="243"/>
    </row>
    <row r="453" spans="59:61">
      <c r="BG453" s="243"/>
      <c r="BH453" s="243"/>
      <c r="BI453" s="243"/>
    </row>
    <row r="454" spans="59:61">
      <c r="BG454" s="243"/>
      <c r="BH454" s="243"/>
      <c r="BI454" s="243"/>
    </row>
    <row r="455" spans="59:61">
      <c r="BG455" s="243"/>
      <c r="BH455" s="243"/>
      <c r="BI455" s="243"/>
    </row>
    <row r="456" spans="59:61">
      <c r="BG456" s="243"/>
      <c r="BH456" s="243"/>
      <c r="BI456" s="243"/>
    </row>
    <row r="457" spans="59:61">
      <c r="BG457" s="243"/>
      <c r="BH457" s="243"/>
      <c r="BI457" s="243"/>
    </row>
    <row r="458" spans="59:61">
      <c r="BG458" s="243"/>
      <c r="BH458" s="243"/>
      <c r="BI458" s="243"/>
    </row>
    <row r="459" spans="59:61">
      <c r="BG459" s="243"/>
      <c r="BH459" s="243"/>
      <c r="BI459" s="243"/>
    </row>
    <row r="460" spans="59:61">
      <c r="BG460" s="243"/>
      <c r="BH460" s="243"/>
      <c r="BI460" s="243"/>
    </row>
    <row r="461" spans="59:61">
      <c r="BG461" s="243"/>
      <c r="BH461" s="243"/>
      <c r="BI461" s="243"/>
    </row>
    <row r="462" spans="59:61">
      <c r="BG462" s="243"/>
      <c r="BH462" s="243"/>
      <c r="BI462" s="243"/>
    </row>
    <row r="463" spans="59:61">
      <c r="BG463" s="243"/>
      <c r="BH463" s="243"/>
      <c r="BI463" s="243"/>
    </row>
    <row r="464" spans="59:61">
      <c r="BG464" s="243"/>
      <c r="BH464" s="243"/>
      <c r="BI464" s="243"/>
    </row>
    <row r="465" spans="59:61">
      <c r="BG465" s="243"/>
      <c r="BH465" s="243"/>
      <c r="BI465" s="243"/>
    </row>
    <row r="466" spans="59:61">
      <c r="BG466" s="243"/>
      <c r="BH466" s="243"/>
      <c r="BI466" s="243"/>
    </row>
    <row r="467" spans="59:61">
      <c r="BG467" s="243"/>
      <c r="BH467" s="243"/>
      <c r="BI467" s="243"/>
    </row>
    <row r="468" spans="59:61">
      <c r="BG468" s="243"/>
      <c r="BH468" s="243"/>
      <c r="BI468" s="243"/>
    </row>
    <row r="469" spans="59:61">
      <c r="BG469" s="243"/>
      <c r="BH469" s="243"/>
      <c r="BI469" s="243"/>
    </row>
    <row r="470" spans="59:61">
      <c r="BG470" s="243"/>
      <c r="BH470" s="243"/>
      <c r="BI470" s="243"/>
    </row>
    <row r="471" spans="59:61">
      <c r="BG471" s="243"/>
      <c r="BH471" s="243"/>
      <c r="BI471" s="243"/>
    </row>
    <row r="472" spans="59:61">
      <c r="BG472" s="243"/>
      <c r="BH472" s="243"/>
      <c r="BI472" s="243"/>
    </row>
    <row r="473" spans="59:61">
      <c r="BG473" s="243"/>
      <c r="BH473" s="243"/>
      <c r="BI473" s="243"/>
    </row>
    <row r="474" spans="59:61">
      <c r="BG474" s="243"/>
      <c r="BH474" s="243"/>
      <c r="BI474" s="243"/>
    </row>
    <row r="475" spans="59:61">
      <c r="BG475" s="243"/>
      <c r="BH475" s="243"/>
      <c r="BI475" s="243"/>
    </row>
    <row r="476" spans="59:61">
      <c r="BG476" s="243"/>
      <c r="BH476" s="243"/>
      <c r="BI476" s="243"/>
    </row>
    <row r="477" spans="59:61">
      <c r="BG477" s="243"/>
      <c r="BH477" s="243"/>
      <c r="BI477" s="243"/>
    </row>
    <row r="478" spans="59:61">
      <c r="BG478" s="243"/>
      <c r="BH478" s="243"/>
      <c r="BI478" s="243"/>
    </row>
    <row r="479" spans="59:61">
      <c r="BG479" s="243"/>
      <c r="BH479" s="243"/>
      <c r="BI479" s="243"/>
    </row>
    <row r="480" spans="59:61">
      <c r="BG480" s="243"/>
      <c r="BH480" s="243"/>
      <c r="BI480" s="243"/>
    </row>
    <row r="481" spans="59:61">
      <c r="BG481" s="243"/>
      <c r="BH481" s="243"/>
      <c r="BI481" s="243"/>
    </row>
    <row r="482" spans="59:61">
      <c r="BG482" s="243"/>
      <c r="BH482" s="243"/>
      <c r="BI482" s="243"/>
    </row>
    <row r="483" spans="59:61">
      <c r="BG483" s="243"/>
      <c r="BH483" s="243"/>
      <c r="BI483" s="243"/>
    </row>
    <row r="484" spans="59:61">
      <c r="BG484" s="243"/>
      <c r="BH484" s="243"/>
      <c r="BI484" s="243"/>
    </row>
    <row r="485" spans="59:61">
      <c r="BG485" s="243"/>
      <c r="BH485" s="243"/>
      <c r="BI485" s="243"/>
    </row>
    <row r="486" spans="59:61">
      <c r="BG486" s="243"/>
      <c r="BH486" s="243"/>
      <c r="BI486" s="243"/>
    </row>
    <row r="487" spans="59:61">
      <c r="BG487" s="243"/>
      <c r="BH487" s="243"/>
      <c r="BI487" s="243"/>
    </row>
    <row r="488" spans="59:61">
      <c r="BG488" s="243"/>
      <c r="BH488" s="243"/>
      <c r="BI488" s="243"/>
    </row>
    <row r="489" spans="59:61">
      <c r="BG489" s="243"/>
      <c r="BH489" s="243"/>
      <c r="BI489" s="243"/>
    </row>
    <row r="490" spans="59:61">
      <c r="BG490" s="243"/>
      <c r="BH490" s="243"/>
      <c r="BI490" s="243"/>
    </row>
    <row r="491" spans="59:61">
      <c r="BG491" s="243"/>
      <c r="BH491" s="243"/>
      <c r="BI491" s="243"/>
    </row>
    <row r="492" spans="59:61">
      <c r="BG492" s="243"/>
      <c r="BH492" s="243"/>
      <c r="BI492" s="243"/>
    </row>
    <row r="493" spans="59:61">
      <c r="BG493" s="243"/>
      <c r="BH493" s="243"/>
      <c r="BI493" s="243"/>
    </row>
    <row r="494" spans="59:61">
      <c r="BG494" s="243"/>
      <c r="BH494" s="243"/>
      <c r="BI494" s="243"/>
    </row>
    <row r="495" spans="59:61">
      <c r="BG495" s="243"/>
      <c r="BH495" s="243"/>
      <c r="BI495" s="243"/>
    </row>
    <row r="496" spans="59:61">
      <c r="BG496" s="243"/>
      <c r="BH496" s="243"/>
      <c r="BI496" s="243"/>
    </row>
    <row r="497" spans="59:61">
      <c r="BG497" s="243"/>
      <c r="BH497" s="243"/>
      <c r="BI497" s="243"/>
    </row>
    <row r="498" spans="59:61">
      <c r="BG498" s="243"/>
      <c r="BH498" s="243"/>
      <c r="BI498" s="243"/>
    </row>
    <row r="499" spans="59:61">
      <c r="BG499" s="243"/>
      <c r="BH499" s="243"/>
      <c r="BI499" s="243"/>
    </row>
    <row r="500" spans="59:61">
      <c r="BG500" s="243"/>
      <c r="BH500" s="243"/>
      <c r="BI500" s="243"/>
    </row>
    <row r="501" spans="59:61">
      <c r="BG501" s="243"/>
      <c r="BH501" s="243"/>
      <c r="BI501" s="243"/>
    </row>
    <row r="502" spans="59:61">
      <c r="BG502" s="243"/>
      <c r="BH502" s="243"/>
      <c r="BI502" s="243"/>
    </row>
    <row r="503" spans="59:61">
      <c r="BG503" s="243"/>
      <c r="BH503" s="243"/>
      <c r="BI503" s="243"/>
    </row>
    <row r="504" spans="59:61">
      <c r="BG504" s="243"/>
      <c r="BH504" s="243"/>
      <c r="BI504" s="243"/>
    </row>
    <row r="505" spans="59:61">
      <c r="BG505" s="243"/>
      <c r="BH505" s="243"/>
      <c r="BI505" s="243"/>
    </row>
    <row r="506" spans="59:61">
      <c r="BG506" s="243"/>
      <c r="BH506" s="243"/>
      <c r="BI506" s="243"/>
    </row>
    <row r="507" spans="59:61">
      <c r="BG507" s="243"/>
      <c r="BH507" s="243"/>
      <c r="BI507" s="243"/>
    </row>
    <row r="508" spans="59:61">
      <c r="BG508" s="243"/>
      <c r="BH508" s="243"/>
      <c r="BI508" s="243"/>
    </row>
    <row r="509" spans="59:61">
      <c r="BG509" s="243"/>
      <c r="BH509" s="243"/>
      <c r="BI509" s="243"/>
    </row>
    <row r="510" spans="59:61">
      <c r="BG510" s="243"/>
      <c r="BH510" s="243"/>
      <c r="BI510" s="243"/>
    </row>
    <row r="511" spans="59:61">
      <c r="BG511" s="243"/>
      <c r="BH511" s="243"/>
      <c r="BI511" s="243"/>
    </row>
    <row r="512" spans="59:61">
      <c r="BG512" s="243"/>
      <c r="BH512" s="243"/>
      <c r="BI512" s="243"/>
    </row>
    <row r="513" spans="59:61">
      <c r="BG513" s="243"/>
      <c r="BH513" s="243"/>
      <c r="BI513" s="243"/>
    </row>
    <row r="514" spans="59:61">
      <c r="BG514" s="243"/>
      <c r="BH514" s="243"/>
      <c r="BI514" s="243"/>
    </row>
    <row r="515" spans="59:61">
      <c r="BG515" s="243"/>
      <c r="BH515" s="243"/>
      <c r="BI515" s="243"/>
    </row>
    <row r="516" spans="59:61">
      <c r="BG516" s="243"/>
      <c r="BH516" s="243"/>
      <c r="BI516" s="243"/>
    </row>
    <row r="517" spans="59:61">
      <c r="BG517" s="243"/>
      <c r="BH517" s="243"/>
      <c r="BI517" s="243"/>
    </row>
    <row r="518" spans="59:61">
      <c r="BG518" s="243"/>
      <c r="BH518" s="243"/>
      <c r="BI518" s="243"/>
    </row>
    <row r="519" spans="59:61">
      <c r="BG519" s="243"/>
      <c r="BH519" s="243"/>
      <c r="BI519" s="243"/>
    </row>
    <row r="520" spans="59:61">
      <c r="BG520" s="243"/>
      <c r="BH520" s="243"/>
      <c r="BI520" s="243"/>
    </row>
    <row r="521" spans="59:61">
      <c r="BG521" s="243"/>
      <c r="BH521" s="243"/>
      <c r="BI521" s="243"/>
    </row>
    <row r="522" spans="59:61">
      <c r="BG522" s="243"/>
      <c r="BH522" s="243"/>
      <c r="BI522" s="243"/>
    </row>
    <row r="523" spans="59:61">
      <c r="BG523" s="243"/>
      <c r="BH523" s="243"/>
      <c r="BI523" s="243"/>
    </row>
    <row r="524" spans="59:61">
      <c r="BG524" s="243"/>
      <c r="BH524" s="243"/>
      <c r="BI524" s="243"/>
    </row>
    <row r="525" spans="59:61">
      <c r="BG525" s="243"/>
      <c r="BH525" s="243"/>
      <c r="BI525" s="243"/>
    </row>
    <row r="526" spans="59:61">
      <c r="BG526" s="243"/>
      <c r="BH526" s="243"/>
      <c r="BI526" s="243"/>
    </row>
    <row r="527" spans="59:61">
      <c r="BG527" s="289"/>
      <c r="BH527" s="289"/>
      <c r="BI527" s="289"/>
    </row>
    <row r="528" spans="59:61">
      <c r="BG528" s="243"/>
      <c r="BH528" s="243"/>
      <c r="BI528" s="243"/>
    </row>
    <row r="608" spans="1:83" s="261" customFormat="1">
      <c r="A608" s="241"/>
      <c r="B608" s="241"/>
      <c r="C608" s="241"/>
      <c r="D608" s="241"/>
      <c r="E608" s="241"/>
      <c r="F608" s="241"/>
      <c r="G608" s="241"/>
      <c r="H608" s="241"/>
      <c r="I608" s="241"/>
      <c r="J608" s="241"/>
      <c r="K608" s="241"/>
      <c r="L608" s="241"/>
      <c r="M608" s="241"/>
      <c r="N608" s="241"/>
      <c r="O608" s="241"/>
      <c r="P608" s="241"/>
      <c r="Q608" s="241"/>
      <c r="R608" s="241"/>
      <c r="S608" s="241"/>
      <c r="T608" s="241"/>
      <c r="U608" s="241"/>
      <c r="V608" s="241"/>
      <c r="W608" s="241"/>
      <c r="X608" s="241"/>
      <c r="Y608" s="241"/>
      <c r="Z608" s="241"/>
      <c r="AA608" s="241"/>
      <c r="AB608" s="241"/>
      <c r="AC608" s="241"/>
      <c r="AD608" s="241"/>
      <c r="AE608" s="241"/>
      <c r="AF608" s="241"/>
      <c r="AG608" s="241"/>
      <c r="AH608" s="241"/>
      <c r="AI608" s="241"/>
      <c r="AJ608" s="241"/>
      <c r="AK608" s="241"/>
      <c r="AL608" s="241"/>
      <c r="AM608" s="241"/>
      <c r="AN608" s="241"/>
      <c r="AO608" s="241"/>
      <c r="AP608" s="241"/>
      <c r="AQ608" s="241"/>
      <c r="AR608" s="241"/>
      <c r="AS608" s="241"/>
      <c r="AT608" s="241"/>
      <c r="AU608" s="241"/>
      <c r="AV608" s="241"/>
      <c r="AW608" s="241"/>
      <c r="AX608" s="241"/>
      <c r="AY608" s="241"/>
      <c r="AZ608" s="241"/>
      <c r="BG608" s="264"/>
      <c r="BH608" s="264"/>
      <c r="BI608" s="264"/>
      <c r="BJ608" s="288"/>
      <c r="BK608" s="288"/>
      <c r="BL608" s="288"/>
      <c r="BM608" s="288"/>
      <c r="BN608" s="288"/>
      <c r="BO608" s="288"/>
      <c r="BP608" s="264"/>
      <c r="BQ608" s="264"/>
      <c r="BR608" s="264"/>
      <c r="BS608" s="264"/>
      <c r="BT608" s="244"/>
      <c r="BU608" s="244"/>
      <c r="BV608" s="244"/>
      <c r="BW608" s="244"/>
      <c r="BX608" s="244"/>
      <c r="BY608" s="244"/>
      <c r="BZ608" s="244"/>
      <c r="CA608" s="244"/>
      <c r="CB608" s="244"/>
      <c r="CC608" s="244"/>
      <c r="CD608" s="244"/>
      <c r="CE608" s="244"/>
    </row>
    <row r="610" spans="1:83" s="261" customFormat="1">
      <c r="A610" s="241"/>
      <c r="B610" s="241"/>
      <c r="C610" s="241"/>
      <c r="D610" s="241"/>
      <c r="E610" s="241"/>
      <c r="F610" s="241"/>
      <c r="G610" s="241"/>
      <c r="H610" s="241"/>
      <c r="I610" s="241"/>
      <c r="J610" s="241"/>
      <c r="K610" s="241"/>
      <c r="L610" s="241"/>
      <c r="M610" s="241"/>
      <c r="N610" s="241"/>
      <c r="O610" s="241"/>
      <c r="P610" s="241"/>
      <c r="Q610" s="241"/>
      <c r="R610" s="241"/>
      <c r="S610" s="241"/>
      <c r="T610" s="241"/>
      <c r="U610" s="241"/>
      <c r="V610" s="241"/>
      <c r="W610" s="241"/>
      <c r="X610" s="241"/>
      <c r="Y610" s="241"/>
      <c r="Z610" s="241"/>
      <c r="AA610" s="241"/>
      <c r="AB610" s="241"/>
      <c r="AC610" s="241"/>
      <c r="AD610" s="241"/>
      <c r="AE610" s="241"/>
      <c r="AF610" s="241"/>
      <c r="AG610" s="241"/>
      <c r="AH610" s="241"/>
      <c r="AI610" s="241"/>
      <c r="AJ610" s="241"/>
      <c r="AK610" s="241"/>
      <c r="AL610" s="241"/>
      <c r="AM610" s="241"/>
      <c r="AN610" s="241"/>
      <c r="AO610" s="241"/>
      <c r="AP610" s="241"/>
      <c r="AQ610" s="241"/>
      <c r="AR610" s="241"/>
      <c r="AS610" s="241"/>
      <c r="AT610" s="241"/>
      <c r="AU610" s="241"/>
      <c r="AV610" s="241"/>
      <c r="AW610" s="241"/>
      <c r="AX610" s="241"/>
      <c r="AY610" s="241"/>
      <c r="AZ610" s="241"/>
      <c r="BG610" s="264"/>
      <c r="BH610" s="264"/>
      <c r="BI610" s="264"/>
      <c r="BJ610" s="288"/>
      <c r="BK610" s="288"/>
      <c r="BL610" s="288"/>
      <c r="BM610" s="288"/>
      <c r="BN610" s="288"/>
      <c r="BO610" s="288"/>
      <c r="BP610" s="264"/>
      <c r="BQ610" s="264"/>
      <c r="BR610" s="264"/>
      <c r="BS610" s="264"/>
      <c r="BT610" s="244"/>
      <c r="BU610" s="244"/>
      <c r="BV610" s="244"/>
      <c r="BW610" s="244"/>
      <c r="BX610" s="244"/>
      <c r="BY610" s="244"/>
      <c r="BZ610" s="244"/>
      <c r="CA610" s="244"/>
      <c r="CB610" s="244"/>
      <c r="CC610" s="244"/>
      <c r="CD610" s="244"/>
      <c r="CE610" s="244"/>
    </row>
    <row r="612" spans="1:83" s="261" customFormat="1">
      <c r="A612" s="241"/>
      <c r="B612" s="241"/>
      <c r="C612" s="241"/>
      <c r="D612" s="241"/>
      <c r="E612" s="241"/>
      <c r="F612" s="241"/>
      <c r="G612" s="241"/>
      <c r="H612" s="241"/>
      <c r="I612" s="241"/>
      <c r="J612" s="241"/>
      <c r="K612" s="241"/>
      <c r="L612" s="241"/>
      <c r="M612" s="241"/>
      <c r="N612" s="241"/>
      <c r="O612" s="241"/>
      <c r="P612" s="241"/>
      <c r="Q612" s="241"/>
      <c r="R612" s="241"/>
      <c r="S612" s="241"/>
      <c r="T612" s="241"/>
      <c r="U612" s="241"/>
      <c r="V612" s="241"/>
      <c r="W612" s="241"/>
      <c r="X612" s="241"/>
      <c r="Y612" s="241"/>
      <c r="Z612" s="241"/>
      <c r="AA612" s="241"/>
      <c r="AB612" s="241"/>
      <c r="AC612" s="241"/>
      <c r="AD612" s="241"/>
      <c r="AE612" s="241"/>
      <c r="AF612" s="241"/>
      <c r="AG612" s="241"/>
      <c r="AH612" s="241"/>
      <c r="AI612" s="241"/>
      <c r="AJ612" s="241"/>
      <c r="AK612" s="241"/>
      <c r="AL612" s="241"/>
      <c r="AM612" s="241"/>
      <c r="AN612" s="241"/>
      <c r="AO612" s="241"/>
      <c r="AP612" s="241"/>
      <c r="AQ612" s="241"/>
      <c r="AR612" s="241"/>
      <c r="AS612" s="241"/>
      <c r="AT612" s="241"/>
      <c r="AU612" s="241"/>
      <c r="AV612" s="241"/>
      <c r="AW612" s="241"/>
      <c r="AX612" s="241"/>
      <c r="AY612" s="241"/>
      <c r="AZ612" s="241"/>
      <c r="BG612" s="264"/>
      <c r="BH612" s="264"/>
      <c r="BI612" s="264"/>
      <c r="BJ612" s="288"/>
      <c r="BK612" s="288"/>
      <c r="BL612" s="288"/>
      <c r="BM612" s="288"/>
      <c r="BN612" s="288"/>
      <c r="BO612" s="288"/>
      <c r="BP612" s="264"/>
      <c r="BQ612" s="264"/>
      <c r="BR612" s="264"/>
      <c r="BS612" s="264"/>
      <c r="BT612" s="244"/>
      <c r="BU612" s="244"/>
      <c r="BV612" s="244"/>
      <c r="BW612" s="244"/>
      <c r="BX612" s="244"/>
      <c r="BY612" s="244"/>
      <c r="BZ612" s="244"/>
      <c r="CA612" s="244"/>
      <c r="CB612" s="244"/>
      <c r="CC612" s="244"/>
      <c r="CD612" s="244"/>
      <c r="CE612" s="244"/>
    </row>
    <row r="614" spans="1:83" s="261" customFormat="1">
      <c r="A614" s="241"/>
      <c r="B614" s="241"/>
      <c r="C614" s="241"/>
      <c r="D614" s="241"/>
      <c r="E614" s="241"/>
      <c r="F614" s="241"/>
      <c r="G614" s="241"/>
      <c r="H614" s="241"/>
      <c r="I614" s="241"/>
      <c r="J614" s="241"/>
      <c r="K614" s="241"/>
      <c r="L614" s="241"/>
      <c r="M614" s="241"/>
      <c r="N614" s="241"/>
      <c r="O614" s="241"/>
      <c r="P614" s="241"/>
      <c r="Q614" s="241"/>
      <c r="R614" s="241"/>
      <c r="S614" s="241"/>
      <c r="T614" s="241"/>
      <c r="U614" s="241"/>
      <c r="V614" s="241"/>
      <c r="W614" s="241"/>
      <c r="X614" s="241"/>
      <c r="Y614" s="241"/>
      <c r="Z614" s="241"/>
      <c r="AA614" s="241"/>
      <c r="AB614" s="241"/>
      <c r="AC614" s="241"/>
      <c r="AD614" s="241"/>
      <c r="AE614" s="241"/>
      <c r="AF614" s="241"/>
      <c r="AG614" s="241"/>
      <c r="AH614" s="241"/>
      <c r="AI614" s="241"/>
      <c r="AJ614" s="241"/>
      <c r="AK614" s="241"/>
      <c r="AL614" s="241"/>
      <c r="AM614" s="241"/>
      <c r="AN614" s="241"/>
      <c r="AO614" s="241"/>
      <c r="AP614" s="241"/>
      <c r="AQ614" s="241"/>
      <c r="AR614" s="241"/>
      <c r="AS614" s="241"/>
      <c r="AT614" s="241"/>
      <c r="AU614" s="241"/>
      <c r="AV614" s="241"/>
      <c r="AW614" s="241"/>
      <c r="AX614" s="241"/>
      <c r="AY614" s="241"/>
      <c r="AZ614" s="241"/>
      <c r="BG614" s="264"/>
      <c r="BH614" s="264"/>
      <c r="BI614" s="264"/>
      <c r="BJ614" s="288"/>
      <c r="BK614" s="288"/>
      <c r="BL614" s="288"/>
      <c r="BM614" s="288"/>
      <c r="BN614" s="288"/>
      <c r="BO614" s="288"/>
      <c r="BP614" s="264"/>
      <c r="BQ614" s="264"/>
      <c r="BR614" s="264"/>
      <c r="BS614" s="264"/>
      <c r="BT614" s="244"/>
      <c r="BU614" s="244"/>
      <c r="BV614" s="244"/>
      <c r="BW614" s="244"/>
      <c r="BX614" s="244"/>
      <c r="BY614" s="244"/>
      <c r="BZ614" s="244"/>
      <c r="CA614" s="244"/>
      <c r="CB614" s="244"/>
      <c r="CC614" s="244"/>
      <c r="CD614" s="244"/>
      <c r="CE614" s="244"/>
    </row>
    <row r="616" spans="1:83" s="261" customFormat="1">
      <c r="A616" s="241"/>
      <c r="B616" s="241"/>
      <c r="C616" s="241"/>
      <c r="D616" s="241"/>
      <c r="E616" s="241"/>
      <c r="F616" s="241"/>
      <c r="G616" s="241"/>
      <c r="H616" s="241"/>
      <c r="I616" s="241"/>
      <c r="J616" s="241"/>
      <c r="K616" s="241"/>
      <c r="L616" s="241"/>
      <c r="M616" s="241"/>
      <c r="N616" s="241"/>
      <c r="O616" s="241"/>
      <c r="P616" s="241"/>
      <c r="Q616" s="241"/>
      <c r="R616" s="241"/>
      <c r="S616" s="241"/>
      <c r="T616" s="241"/>
      <c r="U616" s="241"/>
      <c r="V616" s="241"/>
      <c r="W616" s="241"/>
      <c r="X616" s="241"/>
      <c r="Y616" s="241"/>
      <c r="Z616" s="241"/>
      <c r="AA616" s="241"/>
      <c r="AB616" s="241"/>
      <c r="AC616" s="241"/>
      <c r="AD616" s="241"/>
      <c r="AE616" s="241"/>
      <c r="AF616" s="241"/>
      <c r="AG616" s="241"/>
      <c r="AH616" s="241"/>
      <c r="AI616" s="241"/>
      <c r="AJ616" s="241"/>
      <c r="AK616" s="241"/>
      <c r="AL616" s="241"/>
      <c r="AM616" s="241"/>
      <c r="AN616" s="241"/>
      <c r="AO616" s="241"/>
      <c r="AP616" s="241"/>
      <c r="AQ616" s="241"/>
      <c r="AR616" s="241"/>
      <c r="AS616" s="241"/>
      <c r="AT616" s="241"/>
      <c r="AU616" s="241"/>
      <c r="AV616" s="241"/>
      <c r="AW616" s="241"/>
      <c r="AX616" s="241"/>
      <c r="AY616" s="241"/>
      <c r="AZ616" s="241"/>
      <c r="BG616" s="264"/>
      <c r="BH616" s="264"/>
      <c r="BI616" s="264"/>
      <c r="BJ616" s="288"/>
      <c r="BK616" s="288"/>
      <c r="BL616" s="288"/>
      <c r="BM616" s="288"/>
      <c r="BN616" s="288"/>
      <c r="BO616" s="288"/>
      <c r="BP616" s="264"/>
      <c r="BQ616" s="264"/>
      <c r="BR616" s="264"/>
      <c r="BS616" s="264"/>
      <c r="BT616" s="244"/>
      <c r="BU616" s="244"/>
      <c r="BV616" s="244"/>
      <c r="BW616" s="244"/>
      <c r="BX616" s="244"/>
      <c r="BY616" s="244"/>
      <c r="BZ616" s="244"/>
      <c r="CA616" s="244"/>
      <c r="CB616" s="244"/>
      <c r="CC616" s="244"/>
      <c r="CD616" s="244"/>
      <c r="CE616" s="244"/>
    </row>
    <row r="618" spans="1:83" s="261" customFormat="1">
      <c r="A618" s="241"/>
      <c r="B618" s="241"/>
      <c r="C618" s="241"/>
      <c r="D618" s="241"/>
      <c r="E618" s="241"/>
      <c r="F618" s="241"/>
      <c r="G618" s="241"/>
      <c r="H618" s="241"/>
      <c r="I618" s="241"/>
      <c r="J618" s="241"/>
      <c r="K618" s="241"/>
      <c r="L618" s="241"/>
      <c r="M618" s="241"/>
      <c r="N618" s="241"/>
      <c r="O618" s="241"/>
      <c r="P618" s="241"/>
      <c r="Q618" s="241"/>
      <c r="R618" s="241"/>
      <c r="S618" s="241"/>
      <c r="T618" s="241"/>
      <c r="U618" s="241"/>
      <c r="V618" s="241"/>
      <c r="W618" s="241"/>
      <c r="X618" s="241"/>
      <c r="Y618" s="241"/>
      <c r="Z618" s="241"/>
      <c r="AA618" s="241"/>
      <c r="AB618" s="241"/>
      <c r="AC618" s="241"/>
      <c r="AD618" s="241"/>
      <c r="AE618" s="241"/>
      <c r="AF618" s="241"/>
      <c r="AG618" s="241"/>
      <c r="AH618" s="241"/>
      <c r="AI618" s="241"/>
      <c r="AJ618" s="241"/>
      <c r="AK618" s="241"/>
      <c r="AL618" s="241"/>
      <c r="AM618" s="241"/>
      <c r="AN618" s="241"/>
      <c r="AO618" s="241"/>
      <c r="AP618" s="241"/>
      <c r="AQ618" s="241"/>
      <c r="AR618" s="241"/>
      <c r="AS618" s="241"/>
      <c r="AT618" s="241"/>
      <c r="AU618" s="241"/>
      <c r="AV618" s="241"/>
      <c r="AW618" s="241"/>
      <c r="AX618" s="241"/>
      <c r="AY618" s="241"/>
      <c r="AZ618" s="241"/>
      <c r="BG618" s="264"/>
      <c r="BH618" s="264"/>
      <c r="BI618" s="264"/>
      <c r="BJ618" s="288"/>
      <c r="BK618" s="288"/>
      <c r="BL618" s="288"/>
      <c r="BM618" s="288"/>
      <c r="BN618" s="288"/>
      <c r="BO618" s="288"/>
      <c r="BP618" s="264"/>
      <c r="BQ618" s="264"/>
      <c r="BR618" s="264"/>
      <c r="BS618" s="264"/>
      <c r="BT618" s="244"/>
      <c r="BU618" s="244"/>
      <c r="BV618" s="244"/>
      <c r="BW618" s="244"/>
      <c r="BX618" s="244"/>
      <c r="BY618" s="244"/>
      <c r="BZ618" s="244"/>
      <c r="CA618" s="244"/>
      <c r="CB618" s="244"/>
      <c r="CC618" s="244"/>
      <c r="CD618" s="244"/>
      <c r="CE618" s="244"/>
    </row>
    <row r="623" spans="1:83">
      <c r="BA623" s="286"/>
    </row>
    <row r="624" spans="1:83">
      <c r="BA624" s="286"/>
    </row>
    <row r="625" spans="53:54">
      <c r="BA625" s="286"/>
    </row>
    <row r="626" spans="53:54">
      <c r="BA626" s="286"/>
    </row>
    <row r="627" spans="53:54" ht="15" customHeight="1">
      <c r="BA627" s="286"/>
    </row>
    <row r="628" spans="53:54" ht="12.75" customHeight="1">
      <c r="BA628" s="286"/>
    </row>
    <row r="629" spans="53:54" ht="12.75" customHeight="1">
      <c r="BA629" s="286"/>
    </row>
    <row r="630" spans="53:54" ht="12.75" customHeight="1">
      <c r="BA630" s="286"/>
    </row>
    <row r="631" spans="53:54" ht="12.75" customHeight="1">
      <c r="BA631" s="286"/>
    </row>
    <row r="632" spans="53:54">
      <c r="BA632" s="286"/>
    </row>
    <row r="633" spans="53:54">
      <c r="BA633" s="286"/>
      <c r="BB633" s="286"/>
    </row>
    <row r="634" spans="53:54">
      <c r="BA634" s="286"/>
      <c r="BB634" s="286"/>
    </row>
    <row r="635" spans="53:54">
      <c r="BA635" s="286"/>
      <c r="BB635" s="286"/>
    </row>
    <row r="636" spans="53:54">
      <c r="BA636" s="286"/>
    </row>
    <row r="637" spans="53:54">
      <c r="BA637" s="286"/>
    </row>
    <row r="638" spans="53:54">
      <c r="BA638" s="286"/>
    </row>
    <row r="639" spans="53:54">
      <c r="BA639" s="286"/>
    </row>
  </sheetData>
  <mergeCells count="1858">
    <mergeCell ref="A1:Q1"/>
    <mergeCell ref="R1:W1"/>
    <mergeCell ref="X1:AC1"/>
    <mergeCell ref="AD1:AI1"/>
    <mergeCell ref="AJ1:AZ1"/>
    <mergeCell ref="AT3:AZ3"/>
    <mergeCell ref="E9:H9"/>
    <mergeCell ref="I9:L9"/>
    <mergeCell ref="M9:P9"/>
    <mergeCell ref="Q9:T9"/>
    <mergeCell ref="U9:X9"/>
    <mergeCell ref="Y9:AB9"/>
    <mergeCell ref="E8:H8"/>
    <mergeCell ref="I8:L8"/>
    <mergeCell ref="M8:P8"/>
    <mergeCell ref="Q8:T8"/>
    <mergeCell ref="U8:X8"/>
    <mergeCell ref="Y8:AB8"/>
    <mergeCell ref="E7:H7"/>
    <mergeCell ref="I7:L7"/>
    <mergeCell ref="M7:P7"/>
    <mergeCell ref="Q7:T7"/>
    <mergeCell ref="U7:X7"/>
    <mergeCell ref="Y7:AB7"/>
    <mergeCell ref="E12:H12"/>
    <mergeCell ref="I12:L12"/>
    <mergeCell ref="M12:P12"/>
    <mergeCell ref="Q12:T12"/>
    <mergeCell ref="U12:X12"/>
    <mergeCell ref="Y12:AB12"/>
    <mergeCell ref="E11:H11"/>
    <mergeCell ref="I11:L11"/>
    <mergeCell ref="M11:P11"/>
    <mergeCell ref="Q11:T11"/>
    <mergeCell ref="U11:X11"/>
    <mergeCell ref="Y11:AB11"/>
    <mergeCell ref="E10:H10"/>
    <mergeCell ref="I10:L10"/>
    <mergeCell ref="M10:P10"/>
    <mergeCell ref="Q10:T10"/>
    <mergeCell ref="U10:X10"/>
    <mergeCell ref="Y10:AB10"/>
    <mergeCell ref="E15:H15"/>
    <mergeCell ref="I15:L15"/>
    <mergeCell ref="M15:P15"/>
    <mergeCell ref="Q15:T15"/>
    <mergeCell ref="U15:X15"/>
    <mergeCell ref="Y15:AB15"/>
    <mergeCell ref="E14:H14"/>
    <mergeCell ref="I14:L14"/>
    <mergeCell ref="M14:P14"/>
    <mergeCell ref="Q14:T14"/>
    <mergeCell ref="U14:X14"/>
    <mergeCell ref="Y14:AB14"/>
    <mergeCell ref="E13:H13"/>
    <mergeCell ref="I13:L13"/>
    <mergeCell ref="M13:P13"/>
    <mergeCell ref="Q13:T13"/>
    <mergeCell ref="U13:X13"/>
    <mergeCell ref="Y13:AB13"/>
    <mergeCell ref="E18:H18"/>
    <mergeCell ref="I18:L18"/>
    <mergeCell ref="M18:P18"/>
    <mergeCell ref="Q18:T18"/>
    <mergeCell ref="U18:X18"/>
    <mergeCell ref="Y18:AB18"/>
    <mergeCell ref="E17:H17"/>
    <mergeCell ref="I17:L17"/>
    <mergeCell ref="M17:P17"/>
    <mergeCell ref="Q17:T17"/>
    <mergeCell ref="U17:X17"/>
    <mergeCell ref="Y17:AB17"/>
    <mergeCell ref="E16:H16"/>
    <mergeCell ref="I16:L16"/>
    <mergeCell ref="M16:P16"/>
    <mergeCell ref="Q16:T16"/>
    <mergeCell ref="U16:X16"/>
    <mergeCell ref="Y16:AB16"/>
    <mergeCell ref="E21:H21"/>
    <mergeCell ref="I21:L21"/>
    <mergeCell ref="M21:P21"/>
    <mergeCell ref="Q21:T21"/>
    <mergeCell ref="U21:X21"/>
    <mergeCell ref="Y21:AB21"/>
    <mergeCell ref="E20:H20"/>
    <mergeCell ref="I20:L20"/>
    <mergeCell ref="M20:P20"/>
    <mergeCell ref="Q20:T20"/>
    <mergeCell ref="U20:X20"/>
    <mergeCell ref="Y20:AB20"/>
    <mergeCell ref="E19:H19"/>
    <mergeCell ref="I19:L19"/>
    <mergeCell ref="M19:P19"/>
    <mergeCell ref="Q19:T19"/>
    <mergeCell ref="U19:X19"/>
    <mergeCell ref="Y19:AB19"/>
    <mergeCell ref="E24:H24"/>
    <mergeCell ref="I24:L24"/>
    <mergeCell ref="M24:P24"/>
    <mergeCell ref="Q24:T24"/>
    <mergeCell ref="U24:X24"/>
    <mergeCell ref="Y24:AB24"/>
    <mergeCell ref="E23:H23"/>
    <mergeCell ref="I23:L23"/>
    <mergeCell ref="M23:P23"/>
    <mergeCell ref="Q23:T23"/>
    <mergeCell ref="U23:X23"/>
    <mergeCell ref="Y23:AB23"/>
    <mergeCell ref="E22:H22"/>
    <mergeCell ref="I22:L22"/>
    <mergeCell ref="M22:P22"/>
    <mergeCell ref="Q22:T22"/>
    <mergeCell ref="U22:X22"/>
    <mergeCell ref="Y22:AB22"/>
    <mergeCell ref="E28:H28"/>
    <mergeCell ref="I28:L28"/>
    <mergeCell ref="M28:P28"/>
    <mergeCell ref="Q28:T28"/>
    <mergeCell ref="U28:X28"/>
    <mergeCell ref="Y28:AB28"/>
    <mergeCell ref="E27:H27"/>
    <mergeCell ref="I27:L27"/>
    <mergeCell ref="M27:P27"/>
    <mergeCell ref="Q27:T27"/>
    <mergeCell ref="U27:X27"/>
    <mergeCell ref="Y27:AB27"/>
    <mergeCell ref="BK25:BO25"/>
    <mergeCell ref="E26:H26"/>
    <mergeCell ref="I26:L26"/>
    <mergeCell ref="M26:P26"/>
    <mergeCell ref="Q26:T26"/>
    <mergeCell ref="U26:X26"/>
    <mergeCell ref="Y26:AB26"/>
    <mergeCell ref="E25:H25"/>
    <mergeCell ref="I25:L25"/>
    <mergeCell ref="M25:P25"/>
    <mergeCell ref="Q25:T25"/>
    <mergeCell ref="U25:X25"/>
    <mergeCell ref="Y25:AB25"/>
    <mergeCell ref="E31:H31"/>
    <mergeCell ref="I31:L31"/>
    <mergeCell ref="M31:P31"/>
    <mergeCell ref="Q31:T31"/>
    <mergeCell ref="U31:X31"/>
    <mergeCell ref="Y31:AB31"/>
    <mergeCell ref="E30:H30"/>
    <mergeCell ref="I30:L30"/>
    <mergeCell ref="M30:P30"/>
    <mergeCell ref="Q30:T30"/>
    <mergeCell ref="U30:X30"/>
    <mergeCell ref="Y30:AB30"/>
    <mergeCell ref="E29:H29"/>
    <mergeCell ref="I29:L29"/>
    <mergeCell ref="M29:P29"/>
    <mergeCell ref="Q29:T29"/>
    <mergeCell ref="U29:X29"/>
    <mergeCell ref="Y29:AB29"/>
    <mergeCell ref="E34:H34"/>
    <mergeCell ref="I34:L34"/>
    <mergeCell ref="M34:P34"/>
    <mergeCell ref="Q34:T34"/>
    <mergeCell ref="U34:X34"/>
    <mergeCell ref="Y34:AB34"/>
    <mergeCell ref="E33:H33"/>
    <mergeCell ref="I33:L33"/>
    <mergeCell ref="M33:P33"/>
    <mergeCell ref="Q33:T33"/>
    <mergeCell ref="U33:X33"/>
    <mergeCell ref="Y33:AB33"/>
    <mergeCell ref="E32:H32"/>
    <mergeCell ref="I32:L32"/>
    <mergeCell ref="M32:P32"/>
    <mergeCell ref="Q32:T32"/>
    <mergeCell ref="U32:X32"/>
    <mergeCell ref="Y32:AB32"/>
    <mergeCell ref="E37:H37"/>
    <mergeCell ref="I37:L37"/>
    <mergeCell ref="M37:P37"/>
    <mergeCell ref="Q37:T37"/>
    <mergeCell ref="U37:X37"/>
    <mergeCell ref="Y37:AB37"/>
    <mergeCell ref="E36:H36"/>
    <mergeCell ref="I36:L36"/>
    <mergeCell ref="M36:P36"/>
    <mergeCell ref="Q36:T36"/>
    <mergeCell ref="U36:X36"/>
    <mergeCell ref="Y36:AB36"/>
    <mergeCell ref="E35:H35"/>
    <mergeCell ref="I35:L35"/>
    <mergeCell ref="M35:P35"/>
    <mergeCell ref="Q35:T35"/>
    <mergeCell ref="U35:X35"/>
    <mergeCell ref="Y35:AB35"/>
    <mergeCell ref="E40:H40"/>
    <mergeCell ref="I40:L40"/>
    <mergeCell ref="M40:P40"/>
    <mergeCell ref="Q40:T40"/>
    <mergeCell ref="U40:X40"/>
    <mergeCell ref="Y40:AB40"/>
    <mergeCell ref="E39:H39"/>
    <mergeCell ref="I39:L39"/>
    <mergeCell ref="M39:P39"/>
    <mergeCell ref="Q39:T39"/>
    <mergeCell ref="U39:X39"/>
    <mergeCell ref="Y39:AB39"/>
    <mergeCell ref="E38:H38"/>
    <mergeCell ref="I38:L38"/>
    <mergeCell ref="M38:P38"/>
    <mergeCell ref="Q38:T38"/>
    <mergeCell ref="U38:X38"/>
    <mergeCell ref="Y38:AB38"/>
    <mergeCell ref="E43:H43"/>
    <mergeCell ref="I43:L43"/>
    <mergeCell ref="M43:P43"/>
    <mergeCell ref="Q43:T43"/>
    <mergeCell ref="U43:X43"/>
    <mergeCell ref="Y43:AB43"/>
    <mergeCell ref="E42:H42"/>
    <mergeCell ref="I42:L42"/>
    <mergeCell ref="M42:P42"/>
    <mergeCell ref="Q42:T42"/>
    <mergeCell ref="U42:X42"/>
    <mergeCell ref="Y42:AB42"/>
    <mergeCell ref="E41:H41"/>
    <mergeCell ref="I41:L41"/>
    <mergeCell ref="M41:P41"/>
    <mergeCell ref="Q41:T41"/>
    <mergeCell ref="U41:X41"/>
    <mergeCell ref="Y41:AB41"/>
    <mergeCell ref="E46:H46"/>
    <mergeCell ref="I46:L46"/>
    <mergeCell ref="M46:P46"/>
    <mergeCell ref="Q46:T46"/>
    <mergeCell ref="U46:X46"/>
    <mergeCell ref="Y46:AB46"/>
    <mergeCell ref="E45:H45"/>
    <mergeCell ref="I45:L45"/>
    <mergeCell ref="M45:P45"/>
    <mergeCell ref="Q45:T45"/>
    <mergeCell ref="U45:X45"/>
    <mergeCell ref="Y45:AB45"/>
    <mergeCell ref="E44:H44"/>
    <mergeCell ref="I44:L44"/>
    <mergeCell ref="M44:P44"/>
    <mergeCell ref="Q44:T44"/>
    <mergeCell ref="U44:X44"/>
    <mergeCell ref="Y44:AB44"/>
    <mergeCell ref="E49:H49"/>
    <mergeCell ref="I49:L49"/>
    <mergeCell ref="M49:P49"/>
    <mergeCell ref="Q49:T49"/>
    <mergeCell ref="U49:X49"/>
    <mergeCell ref="Y49:AB49"/>
    <mergeCell ref="E48:H48"/>
    <mergeCell ref="I48:L48"/>
    <mergeCell ref="M48:P48"/>
    <mergeCell ref="Q48:T48"/>
    <mergeCell ref="U48:X48"/>
    <mergeCell ref="Y48:AB48"/>
    <mergeCell ref="E47:H47"/>
    <mergeCell ref="I47:L47"/>
    <mergeCell ref="M47:P47"/>
    <mergeCell ref="Q47:T47"/>
    <mergeCell ref="U47:X47"/>
    <mergeCell ref="Y47:AB47"/>
    <mergeCell ref="E52:H52"/>
    <mergeCell ref="I52:L52"/>
    <mergeCell ref="M52:P52"/>
    <mergeCell ref="Q52:T52"/>
    <mergeCell ref="U52:X52"/>
    <mergeCell ref="Y52:AB52"/>
    <mergeCell ref="E51:H51"/>
    <mergeCell ref="I51:L51"/>
    <mergeCell ref="M51:P51"/>
    <mergeCell ref="Q51:T51"/>
    <mergeCell ref="U51:X51"/>
    <mergeCell ref="Y51:AB51"/>
    <mergeCell ref="E50:H50"/>
    <mergeCell ref="I50:L50"/>
    <mergeCell ref="M50:P50"/>
    <mergeCell ref="Q50:T50"/>
    <mergeCell ref="U50:X50"/>
    <mergeCell ref="Y50:AB50"/>
    <mergeCell ref="E55:H55"/>
    <mergeCell ref="I55:L55"/>
    <mergeCell ref="M55:P55"/>
    <mergeCell ref="Q55:T55"/>
    <mergeCell ref="U55:X55"/>
    <mergeCell ref="Y55:AB55"/>
    <mergeCell ref="E54:H54"/>
    <mergeCell ref="I54:L54"/>
    <mergeCell ref="M54:P54"/>
    <mergeCell ref="Q54:T54"/>
    <mergeCell ref="U54:X54"/>
    <mergeCell ref="Y54:AB54"/>
    <mergeCell ref="E53:H53"/>
    <mergeCell ref="I53:L53"/>
    <mergeCell ref="M53:P53"/>
    <mergeCell ref="Q53:T53"/>
    <mergeCell ref="U53:X53"/>
    <mergeCell ref="Y53:AB53"/>
    <mergeCell ref="E58:H58"/>
    <mergeCell ref="I58:L58"/>
    <mergeCell ref="M58:P58"/>
    <mergeCell ref="Q58:T58"/>
    <mergeCell ref="U58:X58"/>
    <mergeCell ref="Y58:AB58"/>
    <mergeCell ref="E57:H57"/>
    <mergeCell ref="I57:L57"/>
    <mergeCell ref="M57:P57"/>
    <mergeCell ref="Q57:T57"/>
    <mergeCell ref="U57:X57"/>
    <mergeCell ref="Y57:AB57"/>
    <mergeCell ref="E56:H56"/>
    <mergeCell ref="I56:L56"/>
    <mergeCell ref="M56:P56"/>
    <mergeCell ref="Q56:T56"/>
    <mergeCell ref="U56:X56"/>
    <mergeCell ref="Y56:AB56"/>
    <mergeCell ref="E61:H61"/>
    <mergeCell ref="I61:L61"/>
    <mergeCell ref="M61:P61"/>
    <mergeCell ref="Q61:T61"/>
    <mergeCell ref="U61:X61"/>
    <mergeCell ref="Y61:AB61"/>
    <mergeCell ref="E60:H60"/>
    <mergeCell ref="I60:L60"/>
    <mergeCell ref="M60:P60"/>
    <mergeCell ref="Q60:T60"/>
    <mergeCell ref="U60:X60"/>
    <mergeCell ref="Y60:AB60"/>
    <mergeCell ref="E59:H59"/>
    <mergeCell ref="I59:L59"/>
    <mergeCell ref="M59:P59"/>
    <mergeCell ref="Q59:T59"/>
    <mergeCell ref="U59:X59"/>
    <mergeCell ref="Y59:AB59"/>
    <mergeCell ref="E64:H64"/>
    <mergeCell ref="I64:L64"/>
    <mergeCell ref="M64:P64"/>
    <mergeCell ref="Q64:T64"/>
    <mergeCell ref="U64:X64"/>
    <mergeCell ref="Y64:AB64"/>
    <mergeCell ref="E63:H63"/>
    <mergeCell ref="I63:L63"/>
    <mergeCell ref="M63:P63"/>
    <mergeCell ref="Q63:T63"/>
    <mergeCell ref="U63:X63"/>
    <mergeCell ref="Y63:AB63"/>
    <mergeCell ref="E62:H62"/>
    <mergeCell ref="I62:L62"/>
    <mergeCell ref="M62:P62"/>
    <mergeCell ref="Q62:T62"/>
    <mergeCell ref="U62:X62"/>
    <mergeCell ref="Y62:AB62"/>
    <mergeCell ref="E67:H67"/>
    <mergeCell ref="I67:L67"/>
    <mergeCell ref="M67:P67"/>
    <mergeCell ref="Q67:T67"/>
    <mergeCell ref="U67:X67"/>
    <mergeCell ref="Y67:AB67"/>
    <mergeCell ref="E66:H66"/>
    <mergeCell ref="I66:L66"/>
    <mergeCell ref="M66:P66"/>
    <mergeCell ref="Q66:T66"/>
    <mergeCell ref="U66:X66"/>
    <mergeCell ref="Y66:AB66"/>
    <mergeCell ref="E65:H65"/>
    <mergeCell ref="I65:L65"/>
    <mergeCell ref="M65:P65"/>
    <mergeCell ref="Q65:T65"/>
    <mergeCell ref="U65:X65"/>
    <mergeCell ref="Y65:AB65"/>
    <mergeCell ref="E70:H70"/>
    <mergeCell ref="I70:L70"/>
    <mergeCell ref="M70:P70"/>
    <mergeCell ref="Q70:T70"/>
    <mergeCell ref="U70:X70"/>
    <mergeCell ref="Y70:AB70"/>
    <mergeCell ref="E69:H69"/>
    <mergeCell ref="I69:L69"/>
    <mergeCell ref="M69:P69"/>
    <mergeCell ref="Q69:T69"/>
    <mergeCell ref="U69:X69"/>
    <mergeCell ref="Y69:AB69"/>
    <mergeCell ref="E68:H68"/>
    <mergeCell ref="I68:L68"/>
    <mergeCell ref="M68:P68"/>
    <mergeCell ref="Q68:T68"/>
    <mergeCell ref="U68:X68"/>
    <mergeCell ref="Y68:AB68"/>
    <mergeCell ref="E73:H73"/>
    <mergeCell ref="I73:L73"/>
    <mergeCell ref="M73:P73"/>
    <mergeCell ref="Q73:T73"/>
    <mergeCell ref="U73:X73"/>
    <mergeCell ref="Y73:AB73"/>
    <mergeCell ref="E72:H72"/>
    <mergeCell ref="I72:L72"/>
    <mergeCell ref="M72:P72"/>
    <mergeCell ref="Q72:T72"/>
    <mergeCell ref="U72:X72"/>
    <mergeCell ref="Y72:AB72"/>
    <mergeCell ref="E71:H71"/>
    <mergeCell ref="I71:L71"/>
    <mergeCell ref="M71:P71"/>
    <mergeCell ref="Q71:T71"/>
    <mergeCell ref="U71:X71"/>
    <mergeCell ref="Y71:AB71"/>
    <mergeCell ref="E76:H76"/>
    <mergeCell ref="I76:L76"/>
    <mergeCell ref="M76:P76"/>
    <mergeCell ref="Q76:T76"/>
    <mergeCell ref="U76:X76"/>
    <mergeCell ref="Y76:AB76"/>
    <mergeCell ref="E75:H75"/>
    <mergeCell ref="I75:L75"/>
    <mergeCell ref="M75:P75"/>
    <mergeCell ref="Q75:T75"/>
    <mergeCell ref="U75:X75"/>
    <mergeCell ref="Y75:AB75"/>
    <mergeCell ref="E74:H74"/>
    <mergeCell ref="I74:L74"/>
    <mergeCell ref="M74:P74"/>
    <mergeCell ref="Q74:T74"/>
    <mergeCell ref="U74:X74"/>
    <mergeCell ref="Y74:AB74"/>
    <mergeCell ref="E79:H79"/>
    <mergeCell ref="I79:L79"/>
    <mergeCell ref="M79:P79"/>
    <mergeCell ref="Q79:T79"/>
    <mergeCell ref="U79:X79"/>
    <mergeCell ref="Y79:AB79"/>
    <mergeCell ref="E78:H78"/>
    <mergeCell ref="I78:L78"/>
    <mergeCell ref="M78:P78"/>
    <mergeCell ref="Q78:T78"/>
    <mergeCell ref="U78:X78"/>
    <mergeCell ref="Y78:AB78"/>
    <mergeCell ref="E77:H77"/>
    <mergeCell ref="I77:L77"/>
    <mergeCell ref="M77:P77"/>
    <mergeCell ref="Q77:T77"/>
    <mergeCell ref="U77:X77"/>
    <mergeCell ref="Y77:AB77"/>
    <mergeCell ref="E82:H82"/>
    <mergeCell ref="I82:L82"/>
    <mergeCell ref="M82:P82"/>
    <mergeCell ref="Q82:T82"/>
    <mergeCell ref="U82:X82"/>
    <mergeCell ref="Y82:AB82"/>
    <mergeCell ref="E81:H81"/>
    <mergeCell ref="I81:L81"/>
    <mergeCell ref="M81:P81"/>
    <mergeCell ref="Q81:T81"/>
    <mergeCell ref="U81:X81"/>
    <mergeCell ref="Y81:AB81"/>
    <mergeCell ref="E80:H80"/>
    <mergeCell ref="I80:L80"/>
    <mergeCell ref="M80:P80"/>
    <mergeCell ref="Q80:T80"/>
    <mergeCell ref="U80:X80"/>
    <mergeCell ref="Y80:AB80"/>
    <mergeCell ref="E85:H85"/>
    <mergeCell ref="I85:L85"/>
    <mergeCell ref="M85:P85"/>
    <mergeCell ref="Q85:T85"/>
    <mergeCell ref="U85:X85"/>
    <mergeCell ref="Y85:AB85"/>
    <mergeCell ref="E84:H84"/>
    <mergeCell ref="I84:L84"/>
    <mergeCell ref="M84:P84"/>
    <mergeCell ref="Q84:T84"/>
    <mergeCell ref="U84:X84"/>
    <mergeCell ref="Y84:AB84"/>
    <mergeCell ref="E83:H83"/>
    <mergeCell ref="I83:L83"/>
    <mergeCell ref="M83:P83"/>
    <mergeCell ref="Q83:T83"/>
    <mergeCell ref="U83:X83"/>
    <mergeCell ref="Y83:AB83"/>
    <mergeCell ref="E88:H88"/>
    <mergeCell ref="I88:L88"/>
    <mergeCell ref="M88:P88"/>
    <mergeCell ref="Q88:T88"/>
    <mergeCell ref="U88:X88"/>
    <mergeCell ref="Y88:AB88"/>
    <mergeCell ref="E87:H87"/>
    <mergeCell ref="I87:L87"/>
    <mergeCell ref="M87:P87"/>
    <mergeCell ref="Q87:T87"/>
    <mergeCell ref="U87:X87"/>
    <mergeCell ref="Y87:AB87"/>
    <mergeCell ref="E86:H86"/>
    <mergeCell ref="I86:L86"/>
    <mergeCell ref="M86:P86"/>
    <mergeCell ref="Q86:T86"/>
    <mergeCell ref="U86:X86"/>
    <mergeCell ref="Y86:AB86"/>
    <mergeCell ref="E91:H91"/>
    <mergeCell ref="I91:L91"/>
    <mergeCell ref="M91:P91"/>
    <mergeCell ref="Q91:T91"/>
    <mergeCell ref="U91:X91"/>
    <mergeCell ref="Y91:AB91"/>
    <mergeCell ref="E90:H90"/>
    <mergeCell ref="I90:L90"/>
    <mergeCell ref="M90:P90"/>
    <mergeCell ref="Q90:T90"/>
    <mergeCell ref="U90:X90"/>
    <mergeCell ref="Y90:AB90"/>
    <mergeCell ref="E89:H89"/>
    <mergeCell ref="I89:L89"/>
    <mergeCell ref="M89:P89"/>
    <mergeCell ref="Q89:T89"/>
    <mergeCell ref="U89:X89"/>
    <mergeCell ref="Y89:AB89"/>
    <mergeCell ref="E94:H94"/>
    <mergeCell ref="I94:L94"/>
    <mergeCell ref="M94:P94"/>
    <mergeCell ref="Q94:T94"/>
    <mergeCell ref="U94:X94"/>
    <mergeCell ref="Y94:AB94"/>
    <mergeCell ref="E93:H93"/>
    <mergeCell ref="I93:L93"/>
    <mergeCell ref="M93:P93"/>
    <mergeCell ref="Q93:T93"/>
    <mergeCell ref="U93:X93"/>
    <mergeCell ref="Y93:AB93"/>
    <mergeCell ref="E92:H92"/>
    <mergeCell ref="I92:L92"/>
    <mergeCell ref="M92:P92"/>
    <mergeCell ref="Q92:T92"/>
    <mergeCell ref="U92:X92"/>
    <mergeCell ref="Y92:AB92"/>
    <mergeCell ref="E97:H97"/>
    <mergeCell ref="I97:L97"/>
    <mergeCell ref="M97:P97"/>
    <mergeCell ref="Q97:T97"/>
    <mergeCell ref="U97:X97"/>
    <mergeCell ref="Y97:AB97"/>
    <mergeCell ref="E96:H96"/>
    <mergeCell ref="I96:L96"/>
    <mergeCell ref="M96:P96"/>
    <mergeCell ref="Q96:T96"/>
    <mergeCell ref="U96:X96"/>
    <mergeCell ref="Y96:AB96"/>
    <mergeCell ref="E95:H95"/>
    <mergeCell ref="I95:L95"/>
    <mergeCell ref="M95:P95"/>
    <mergeCell ref="Q95:T95"/>
    <mergeCell ref="U95:X95"/>
    <mergeCell ref="Y95:AB95"/>
    <mergeCell ref="E100:H100"/>
    <mergeCell ref="I100:L100"/>
    <mergeCell ref="M100:P100"/>
    <mergeCell ref="Q100:T100"/>
    <mergeCell ref="U100:X100"/>
    <mergeCell ref="Y100:AB100"/>
    <mergeCell ref="E99:H99"/>
    <mergeCell ref="I99:L99"/>
    <mergeCell ref="M99:P99"/>
    <mergeCell ref="Q99:T99"/>
    <mergeCell ref="U99:X99"/>
    <mergeCell ref="Y99:AB99"/>
    <mergeCell ref="E98:H98"/>
    <mergeCell ref="I98:L98"/>
    <mergeCell ref="M98:P98"/>
    <mergeCell ref="Q98:T98"/>
    <mergeCell ref="U98:X98"/>
    <mergeCell ref="Y98:AB98"/>
    <mergeCell ref="E103:H103"/>
    <mergeCell ref="I103:L103"/>
    <mergeCell ref="M103:P103"/>
    <mergeCell ref="Q103:T103"/>
    <mergeCell ref="U103:X103"/>
    <mergeCell ref="Y103:AB103"/>
    <mergeCell ref="E102:H102"/>
    <mergeCell ref="I102:L102"/>
    <mergeCell ref="M102:P102"/>
    <mergeCell ref="Q102:T102"/>
    <mergeCell ref="U102:X102"/>
    <mergeCell ref="Y102:AB102"/>
    <mergeCell ref="E101:H101"/>
    <mergeCell ref="I101:L101"/>
    <mergeCell ref="M101:P101"/>
    <mergeCell ref="Q101:T101"/>
    <mergeCell ref="U101:X101"/>
    <mergeCell ref="Y101:AB101"/>
    <mergeCell ref="E106:H106"/>
    <mergeCell ref="I106:L106"/>
    <mergeCell ref="M106:P106"/>
    <mergeCell ref="Q106:T106"/>
    <mergeCell ref="U106:X106"/>
    <mergeCell ref="Y106:AB106"/>
    <mergeCell ref="E105:H105"/>
    <mergeCell ref="I105:L105"/>
    <mergeCell ref="M105:P105"/>
    <mergeCell ref="Q105:T105"/>
    <mergeCell ref="U105:X105"/>
    <mergeCell ref="Y105:AB105"/>
    <mergeCell ref="E104:H104"/>
    <mergeCell ref="I104:L104"/>
    <mergeCell ref="M104:P104"/>
    <mergeCell ref="Q104:T104"/>
    <mergeCell ref="U104:X104"/>
    <mergeCell ref="Y104:AB104"/>
    <mergeCell ref="E109:H109"/>
    <mergeCell ref="I109:L109"/>
    <mergeCell ref="M109:P109"/>
    <mergeCell ref="Q109:T109"/>
    <mergeCell ref="U109:X109"/>
    <mergeCell ref="Y109:AB109"/>
    <mergeCell ref="E108:H108"/>
    <mergeCell ref="I108:L108"/>
    <mergeCell ref="M108:P108"/>
    <mergeCell ref="Q108:T108"/>
    <mergeCell ref="U108:X108"/>
    <mergeCell ref="Y108:AB108"/>
    <mergeCell ref="E107:H107"/>
    <mergeCell ref="I107:L107"/>
    <mergeCell ref="M107:P107"/>
    <mergeCell ref="Q107:T107"/>
    <mergeCell ref="U107:X107"/>
    <mergeCell ref="Y107:AB107"/>
    <mergeCell ref="E112:H112"/>
    <mergeCell ref="I112:L112"/>
    <mergeCell ref="M112:P112"/>
    <mergeCell ref="Q112:T112"/>
    <mergeCell ref="U112:X112"/>
    <mergeCell ref="Y112:AB112"/>
    <mergeCell ref="E111:H111"/>
    <mergeCell ref="I111:L111"/>
    <mergeCell ref="M111:P111"/>
    <mergeCell ref="Q111:T111"/>
    <mergeCell ref="U111:X111"/>
    <mergeCell ref="Y111:AB111"/>
    <mergeCell ref="E110:H110"/>
    <mergeCell ref="I110:L110"/>
    <mergeCell ref="M110:P110"/>
    <mergeCell ref="Q110:T110"/>
    <mergeCell ref="U110:X110"/>
    <mergeCell ref="Y110:AB110"/>
    <mergeCell ref="E115:H115"/>
    <mergeCell ref="I115:L115"/>
    <mergeCell ref="M115:P115"/>
    <mergeCell ref="Q115:T115"/>
    <mergeCell ref="U115:X115"/>
    <mergeCell ref="Y115:AB115"/>
    <mergeCell ref="E114:H114"/>
    <mergeCell ref="I114:L114"/>
    <mergeCell ref="M114:P114"/>
    <mergeCell ref="Q114:T114"/>
    <mergeCell ref="U114:X114"/>
    <mergeCell ref="Y114:AB114"/>
    <mergeCell ref="E113:H113"/>
    <mergeCell ref="I113:L113"/>
    <mergeCell ref="M113:P113"/>
    <mergeCell ref="Q113:T113"/>
    <mergeCell ref="U113:X113"/>
    <mergeCell ref="Y113:AB113"/>
    <mergeCell ref="E118:H118"/>
    <mergeCell ref="I118:L118"/>
    <mergeCell ref="M118:P118"/>
    <mergeCell ref="Q118:T118"/>
    <mergeCell ref="U118:X118"/>
    <mergeCell ref="Y118:AB118"/>
    <mergeCell ref="E117:H117"/>
    <mergeCell ref="I117:L117"/>
    <mergeCell ref="M117:P117"/>
    <mergeCell ref="Q117:T117"/>
    <mergeCell ref="U117:X117"/>
    <mergeCell ref="Y117:AB117"/>
    <mergeCell ref="E116:H116"/>
    <mergeCell ref="I116:L116"/>
    <mergeCell ref="M116:P116"/>
    <mergeCell ref="Q116:T116"/>
    <mergeCell ref="U116:X116"/>
    <mergeCell ref="Y116:AB116"/>
    <mergeCell ref="E121:H121"/>
    <mergeCell ref="I121:L121"/>
    <mergeCell ref="M121:P121"/>
    <mergeCell ref="Q121:T121"/>
    <mergeCell ref="U121:X121"/>
    <mergeCell ref="Y121:AB121"/>
    <mergeCell ref="E120:H120"/>
    <mergeCell ref="I120:L120"/>
    <mergeCell ref="M120:P120"/>
    <mergeCell ref="Q120:T120"/>
    <mergeCell ref="U120:X120"/>
    <mergeCell ref="Y120:AB120"/>
    <mergeCell ref="E119:H119"/>
    <mergeCell ref="I119:L119"/>
    <mergeCell ref="M119:P119"/>
    <mergeCell ref="Q119:T119"/>
    <mergeCell ref="U119:X119"/>
    <mergeCell ref="Y119:AB119"/>
    <mergeCell ref="E124:H124"/>
    <mergeCell ref="I124:L124"/>
    <mergeCell ref="M124:P124"/>
    <mergeCell ref="Q124:T124"/>
    <mergeCell ref="U124:X124"/>
    <mergeCell ref="Y124:AB124"/>
    <mergeCell ref="E123:H123"/>
    <mergeCell ref="I123:L123"/>
    <mergeCell ref="M123:P123"/>
    <mergeCell ref="Q123:T123"/>
    <mergeCell ref="U123:X123"/>
    <mergeCell ref="Y123:AB123"/>
    <mergeCell ref="E122:H122"/>
    <mergeCell ref="I122:L122"/>
    <mergeCell ref="M122:P122"/>
    <mergeCell ref="Q122:T122"/>
    <mergeCell ref="U122:X122"/>
    <mergeCell ref="Y122:AB122"/>
    <mergeCell ref="E127:H127"/>
    <mergeCell ref="I127:L127"/>
    <mergeCell ref="M127:P127"/>
    <mergeCell ref="Q127:T127"/>
    <mergeCell ref="U127:X127"/>
    <mergeCell ref="Y127:AB127"/>
    <mergeCell ref="E126:H126"/>
    <mergeCell ref="I126:L126"/>
    <mergeCell ref="M126:P126"/>
    <mergeCell ref="Q126:T126"/>
    <mergeCell ref="U126:X126"/>
    <mergeCell ref="Y126:AB126"/>
    <mergeCell ref="E125:H125"/>
    <mergeCell ref="I125:L125"/>
    <mergeCell ref="M125:P125"/>
    <mergeCell ref="Q125:T125"/>
    <mergeCell ref="U125:X125"/>
    <mergeCell ref="Y125:AB125"/>
    <mergeCell ref="E130:H130"/>
    <mergeCell ref="I130:L130"/>
    <mergeCell ref="M130:P130"/>
    <mergeCell ref="Q130:T130"/>
    <mergeCell ref="U130:X130"/>
    <mergeCell ref="Y130:AB130"/>
    <mergeCell ref="E129:H129"/>
    <mergeCell ref="I129:L129"/>
    <mergeCell ref="M129:P129"/>
    <mergeCell ref="Q129:T129"/>
    <mergeCell ref="U129:X129"/>
    <mergeCell ref="Y129:AB129"/>
    <mergeCell ref="E128:H128"/>
    <mergeCell ref="I128:L128"/>
    <mergeCell ref="M128:P128"/>
    <mergeCell ref="Q128:T128"/>
    <mergeCell ref="U128:X128"/>
    <mergeCell ref="Y128:AB128"/>
    <mergeCell ref="E133:H133"/>
    <mergeCell ref="I133:L133"/>
    <mergeCell ref="M133:P133"/>
    <mergeCell ref="Q133:T133"/>
    <mergeCell ref="U133:X133"/>
    <mergeCell ref="Y133:AB133"/>
    <mergeCell ref="E132:H132"/>
    <mergeCell ref="I132:L132"/>
    <mergeCell ref="M132:P132"/>
    <mergeCell ref="Q132:T132"/>
    <mergeCell ref="U132:X132"/>
    <mergeCell ref="Y132:AB132"/>
    <mergeCell ref="E131:H131"/>
    <mergeCell ref="I131:L131"/>
    <mergeCell ref="M131:P131"/>
    <mergeCell ref="Q131:T131"/>
    <mergeCell ref="U131:X131"/>
    <mergeCell ref="Y131:AB131"/>
    <mergeCell ref="E136:H136"/>
    <mergeCell ref="I136:L136"/>
    <mergeCell ref="M136:P136"/>
    <mergeCell ref="Q136:T136"/>
    <mergeCell ref="U136:X136"/>
    <mergeCell ref="Y136:AB136"/>
    <mergeCell ref="E135:H135"/>
    <mergeCell ref="I135:L135"/>
    <mergeCell ref="M135:P135"/>
    <mergeCell ref="Q135:T135"/>
    <mergeCell ref="U135:X135"/>
    <mergeCell ref="Y135:AB135"/>
    <mergeCell ref="E134:H134"/>
    <mergeCell ref="I134:L134"/>
    <mergeCell ref="M134:P134"/>
    <mergeCell ref="Q134:T134"/>
    <mergeCell ref="U134:X134"/>
    <mergeCell ref="Y134:AB134"/>
    <mergeCell ref="E139:H139"/>
    <mergeCell ref="I139:L139"/>
    <mergeCell ref="M139:P139"/>
    <mergeCell ref="Q139:T139"/>
    <mergeCell ref="U139:X139"/>
    <mergeCell ref="Y139:AB139"/>
    <mergeCell ref="E138:H138"/>
    <mergeCell ref="I138:L138"/>
    <mergeCell ref="M138:P138"/>
    <mergeCell ref="Q138:T138"/>
    <mergeCell ref="U138:X138"/>
    <mergeCell ref="Y138:AB138"/>
    <mergeCell ref="E137:H137"/>
    <mergeCell ref="I137:L137"/>
    <mergeCell ref="M137:P137"/>
    <mergeCell ref="Q137:T137"/>
    <mergeCell ref="U137:X137"/>
    <mergeCell ref="Y137:AB137"/>
    <mergeCell ref="E142:H142"/>
    <mergeCell ref="I142:L142"/>
    <mergeCell ref="M142:P142"/>
    <mergeCell ref="Q142:T142"/>
    <mergeCell ref="U142:X142"/>
    <mergeCell ref="Y142:AB142"/>
    <mergeCell ref="E141:H141"/>
    <mergeCell ref="I141:L141"/>
    <mergeCell ref="M141:P141"/>
    <mergeCell ref="Q141:T141"/>
    <mergeCell ref="U141:X141"/>
    <mergeCell ref="Y141:AB141"/>
    <mergeCell ref="E140:H140"/>
    <mergeCell ref="I140:L140"/>
    <mergeCell ref="M140:P140"/>
    <mergeCell ref="Q140:T140"/>
    <mergeCell ref="U140:X140"/>
    <mergeCell ref="Y140:AB140"/>
    <mergeCell ref="E145:H145"/>
    <mergeCell ref="I145:L145"/>
    <mergeCell ref="M145:P145"/>
    <mergeCell ref="Q145:T145"/>
    <mergeCell ref="U145:X145"/>
    <mergeCell ref="Y145:AB145"/>
    <mergeCell ref="E144:H144"/>
    <mergeCell ref="I144:L144"/>
    <mergeCell ref="M144:P144"/>
    <mergeCell ref="Q144:T144"/>
    <mergeCell ref="U144:X144"/>
    <mergeCell ref="Y144:AB144"/>
    <mergeCell ref="E143:H143"/>
    <mergeCell ref="I143:L143"/>
    <mergeCell ref="M143:P143"/>
    <mergeCell ref="Q143:T143"/>
    <mergeCell ref="U143:X143"/>
    <mergeCell ref="Y143:AB143"/>
    <mergeCell ref="E148:H148"/>
    <mergeCell ref="I148:L148"/>
    <mergeCell ref="M148:P148"/>
    <mergeCell ref="Q148:T148"/>
    <mergeCell ref="U148:X148"/>
    <mergeCell ref="Y148:AB148"/>
    <mergeCell ref="E147:H147"/>
    <mergeCell ref="I147:L147"/>
    <mergeCell ref="M147:P147"/>
    <mergeCell ref="Q147:T147"/>
    <mergeCell ref="U147:X147"/>
    <mergeCell ref="Y147:AB147"/>
    <mergeCell ref="E146:H146"/>
    <mergeCell ref="I146:L146"/>
    <mergeCell ref="M146:P146"/>
    <mergeCell ref="Q146:T146"/>
    <mergeCell ref="U146:X146"/>
    <mergeCell ref="Y146:AB146"/>
    <mergeCell ref="E151:H151"/>
    <mergeCell ref="I151:L151"/>
    <mergeCell ref="M151:P151"/>
    <mergeCell ref="Q151:T151"/>
    <mergeCell ref="U151:X151"/>
    <mergeCell ref="Y151:AB151"/>
    <mergeCell ref="E150:H150"/>
    <mergeCell ref="I150:L150"/>
    <mergeCell ref="M150:P150"/>
    <mergeCell ref="Q150:T150"/>
    <mergeCell ref="U150:X150"/>
    <mergeCell ref="Y150:AB150"/>
    <mergeCell ref="E149:H149"/>
    <mergeCell ref="I149:L149"/>
    <mergeCell ref="M149:P149"/>
    <mergeCell ref="Q149:T149"/>
    <mergeCell ref="U149:X149"/>
    <mergeCell ref="Y149:AB149"/>
    <mergeCell ref="E154:H154"/>
    <mergeCell ref="I154:L154"/>
    <mergeCell ref="M154:P154"/>
    <mergeCell ref="Q154:T154"/>
    <mergeCell ref="U154:X154"/>
    <mergeCell ref="Y154:AB154"/>
    <mergeCell ref="E153:H153"/>
    <mergeCell ref="I153:L153"/>
    <mergeCell ref="M153:P153"/>
    <mergeCell ref="Q153:T153"/>
    <mergeCell ref="U153:X153"/>
    <mergeCell ref="Y153:AB153"/>
    <mergeCell ref="E152:H152"/>
    <mergeCell ref="I152:L152"/>
    <mergeCell ref="M152:P152"/>
    <mergeCell ref="Q152:T152"/>
    <mergeCell ref="U152:X152"/>
    <mergeCell ref="Y152:AB152"/>
    <mergeCell ref="E157:H157"/>
    <mergeCell ref="I157:L157"/>
    <mergeCell ref="M157:P157"/>
    <mergeCell ref="Q157:T157"/>
    <mergeCell ref="U157:X157"/>
    <mergeCell ref="Y157:AB157"/>
    <mergeCell ref="E156:H156"/>
    <mergeCell ref="I156:L156"/>
    <mergeCell ref="M156:P156"/>
    <mergeCell ref="Q156:T156"/>
    <mergeCell ref="U156:X156"/>
    <mergeCell ref="Y156:AB156"/>
    <mergeCell ref="E155:H155"/>
    <mergeCell ref="I155:L155"/>
    <mergeCell ref="M155:P155"/>
    <mergeCell ref="Q155:T155"/>
    <mergeCell ref="U155:X155"/>
    <mergeCell ref="Y155:AB155"/>
    <mergeCell ref="E160:H160"/>
    <mergeCell ref="I160:L160"/>
    <mergeCell ref="M160:P160"/>
    <mergeCell ref="Q160:T160"/>
    <mergeCell ref="U160:X160"/>
    <mergeCell ref="Y160:AB160"/>
    <mergeCell ref="E159:H159"/>
    <mergeCell ref="I159:L159"/>
    <mergeCell ref="M159:P159"/>
    <mergeCell ref="Q159:T159"/>
    <mergeCell ref="U159:X159"/>
    <mergeCell ref="Y159:AB159"/>
    <mergeCell ref="E158:H158"/>
    <mergeCell ref="I158:L158"/>
    <mergeCell ref="M158:P158"/>
    <mergeCell ref="Q158:T158"/>
    <mergeCell ref="U158:X158"/>
    <mergeCell ref="Y158:AB158"/>
    <mergeCell ref="E163:H163"/>
    <mergeCell ref="I163:L163"/>
    <mergeCell ref="M163:P163"/>
    <mergeCell ref="Q163:T163"/>
    <mergeCell ref="U163:X163"/>
    <mergeCell ref="Y163:AB163"/>
    <mergeCell ref="E162:H162"/>
    <mergeCell ref="I162:L162"/>
    <mergeCell ref="M162:P162"/>
    <mergeCell ref="Q162:T162"/>
    <mergeCell ref="U162:X162"/>
    <mergeCell ref="Y162:AB162"/>
    <mergeCell ref="E161:H161"/>
    <mergeCell ref="I161:L161"/>
    <mergeCell ref="M161:P161"/>
    <mergeCell ref="Q161:T161"/>
    <mergeCell ref="U161:X161"/>
    <mergeCell ref="Y161:AB161"/>
    <mergeCell ref="E166:H166"/>
    <mergeCell ref="I166:L166"/>
    <mergeCell ref="M166:P166"/>
    <mergeCell ref="Q166:T166"/>
    <mergeCell ref="U166:X166"/>
    <mergeCell ref="Y166:AB166"/>
    <mergeCell ref="E165:H165"/>
    <mergeCell ref="I165:L165"/>
    <mergeCell ref="M165:P165"/>
    <mergeCell ref="Q165:T165"/>
    <mergeCell ref="U165:X165"/>
    <mergeCell ref="Y165:AB165"/>
    <mergeCell ref="E164:H164"/>
    <mergeCell ref="I164:L164"/>
    <mergeCell ref="M164:P164"/>
    <mergeCell ref="Q164:T164"/>
    <mergeCell ref="U164:X164"/>
    <mergeCell ref="Y164:AB164"/>
    <mergeCell ref="E169:H169"/>
    <mergeCell ref="I169:L169"/>
    <mergeCell ref="M169:P169"/>
    <mergeCell ref="Q169:T169"/>
    <mergeCell ref="U169:X169"/>
    <mergeCell ref="Y169:AB169"/>
    <mergeCell ref="E168:H168"/>
    <mergeCell ref="I168:L168"/>
    <mergeCell ref="M168:P168"/>
    <mergeCell ref="Q168:T168"/>
    <mergeCell ref="U168:X168"/>
    <mergeCell ref="Y168:AB168"/>
    <mergeCell ref="E167:H167"/>
    <mergeCell ref="I167:L167"/>
    <mergeCell ref="M167:P167"/>
    <mergeCell ref="Q167:T167"/>
    <mergeCell ref="U167:X167"/>
    <mergeCell ref="Y167:AB167"/>
    <mergeCell ref="E172:H172"/>
    <mergeCell ref="I172:L172"/>
    <mergeCell ref="M172:P172"/>
    <mergeCell ref="Q172:T172"/>
    <mergeCell ref="U172:X172"/>
    <mergeCell ref="Y172:AB172"/>
    <mergeCell ref="E171:H171"/>
    <mergeCell ref="I171:L171"/>
    <mergeCell ref="M171:P171"/>
    <mergeCell ref="Q171:T171"/>
    <mergeCell ref="U171:X171"/>
    <mergeCell ref="Y171:AB171"/>
    <mergeCell ref="E170:H170"/>
    <mergeCell ref="I170:L170"/>
    <mergeCell ref="M170:P170"/>
    <mergeCell ref="Q170:T170"/>
    <mergeCell ref="U170:X170"/>
    <mergeCell ref="Y170:AB170"/>
    <mergeCell ref="E175:H175"/>
    <mergeCell ref="I175:L175"/>
    <mergeCell ref="M175:P175"/>
    <mergeCell ref="Q175:T175"/>
    <mergeCell ref="U175:X175"/>
    <mergeCell ref="Y175:AB175"/>
    <mergeCell ref="E174:H174"/>
    <mergeCell ref="I174:L174"/>
    <mergeCell ref="M174:P174"/>
    <mergeCell ref="Q174:T174"/>
    <mergeCell ref="U174:X174"/>
    <mergeCell ref="Y174:AB174"/>
    <mergeCell ref="E173:H173"/>
    <mergeCell ref="I173:L173"/>
    <mergeCell ref="M173:P173"/>
    <mergeCell ref="Q173:T173"/>
    <mergeCell ref="U173:X173"/>
    <mergeCell ref="Y173:AB173"/>
    <mergeCell ref="E178:H178"/>
    <mergeCell ref="I178:L178"/>
    <mergeCell ref="M178:P178"/>
    <mergeCell ref="Q178:T178"/>
    <mergeCell ref="U178:X178"/>
    <mergeCell ref="Y178:AB178"/>
    <mergeCell ref="E177:H177"/>
    <mergeCell ref="I177:L177"/>
    <mergeCell ref="M177:P177"/>
    <mergeCell ref="Q177:T177"/>
    <mergeCell ref="U177:X177"/>
    <mergeCell ref="Y177:AB177"/>
    <mergeCell ref="E176:H176"/>
    <mergeCell ref="I176:L176"/>
    <mergeCell ref="M176:P176"/>
    <mergeCell ref="Q176:T176"/>
    <mergeCell ref="U176:X176"/>
    <mergeCell ref="Y176:AB176"/>
    <mergeCell ref="E181:H181"/>
    <mergeCell ref="I181:L181"/>
    <mergeCell ref="M181:P181"/>
    <mergeCell ref="Q181:T181"/>
    <mergeCell ref="U181:X181"/>
    <mergeCell ref="Y181:AB181"/>
    <mergeCell ref="E180:H180"/>
    <mergeCell ref="I180:L180"/>
    <mergeCell ref="M180:P180"/>
    <mergeCell ref="Q180:T180"/>
    <mergeCell ref="U180:X180"/>
    <mergeCell ref="Y180:AB180"/>
    <mergeCell ref="E179:H179"/>
    <mergeCell ref="I179:L179"/>
    <mergeCell ref="M179:P179"/>
    <mergeCell ref="Q179:T179"/>
    <mergeCell ref="U179:X179"/>
    <mergeCell ref="Y179:AB179"/>
    <mergeCell ref="E184:H184"/>
    <mergeCell ref="I184:L184"/>
    <mergeCell ref="M184:P184"/>
    <mergeCell ref="Q184:T184"/>
    <mergeCell ref="U184:X184"/>
    <mergeCell ref="Y184:AB184"/>
    <mergeCell ref="E183:H183"/>
    <mergeCell ref="I183:L183"/>
    <mergeCell ref="M183:P183"/>
    <mergeCell ref="Q183:T183"/>
    <mergeCell ref="U183:X183"/>
    <mergeCell ref="Y183:AB183"/>
    <mergeCell ref="E182:H182"/>
    <mergeCell ref="I182:L182"/>
    <mergeCell ref="M182:P182"/>
    <mergeCell ref="Q182:T182"/>
    <mergeCell ref="U182:X182"/>
    <mergeCell ref="Y182:AB182"/>
    <mergeCell ref="E187:H187"/>
    <mergeCell ref="I187:L187"/>
    <mergeCell ref="M187:P187"/>
    <mergeCell ref="Q187:T187"/>
    <mergeCell ref="U187:X187"/>
    <mergeCell ref="Y187:AB187"/>
    <mergeCell ref="E186:H186"/>
    <mergeCell ref="I186:L186"/>
    <mergeCell ref="M186:P186"/>
    <mergeCell ref="Q186:T186"/>
    <mergeCell ref="U186:X186"/>
    <mergeCell ref="Y186:AB186"/>
    <mergeCell ref="E185:H185"/>
    <mergeCell ref="I185:L185"/>
    <mergeCell ref="M185:P185"/>
    <mergeCell ref="Q185:T185"/>
    <mergeCell ref="U185:X185"/>
    <mergeCell ref="Y185:AB185"/>
    <mergeCell ref="E190:H190"/>
    <mergeCell ref="I190:L190"/>
    <mergeCell ref="M190:P190"/>
    <mergeCell ref="Q190:T190"/>
    <mergeCell ref="U190:X190"/>
    <mergeCell ref="Y190:AB190"/>
    <mergeCell ref="E189:H189"/>
    <mergeCell ref="I189:L189"/>
    <mergeCell ref="M189:P189"/>
    <mergeCell ref="Q189:T189"/>
    <mergeCell ref="U189:X189"/>
    <mergeCell ref="Y189:AB189"/>
    <mergeCell ref="E188:H188"/>
    <mergeCell ref="I188:L188"/>
    <mergeCell ref="M188:P188"/>
    <mergeCell ref="Q188:T188"/>
    <mergeCell ref="U188:X188"/>
    <mergeCell ref="Y188:AB188"/>
    <mergeCell ref="E193:H193"/>
    <mergeCell ref="I193:L193"/>
    <mergeCell ref="M193:P193"/>
    <mergeCell ref="Q193:T193"/>
    <mergeCell ref="U193:X193"/>
    <mergeCell ref="Y193:AB193"/>
    <mergeCell ref="E192:H192"/>
    <mergeCell ref="I192:L192"/>
    <mergeCell ref="M192:P192"/>
    <mergeCell ref="Q192:T192"/>
    <mergeCell ref="U192:X192"/>
    <mergeCell ref="Y192:AB192"/>
    <mergeCell ref="E191:H191"/>
    <mergeCell ref="I191:L191"/>
    <mergeCell ref="M191:P191"/>
    <mergeCell ref="Q191:T191"/>
    <mergeCell ref="U191:X191"/>
    <mergeCell ref="Y191:AB191"/>
    <mergeCell ref="E196:H196"/>
    <mergeCell ref="I196:L196"/>
    <mergeCell ref="M196:P196"/>
    <mergeCell ref="Q196:T196"/>
    <mergeCell ref="U196:X196"/>
    <mergeCell ref="Y196:AB196"/>
    <mergeCell ref="E195:H195"/>
    <mergeCell ref="I195:L195"/>
    <mergeCell ref="M195:P195"/>
    <mergeCell ref="Q195:T195"/>
    <mergeCell ref="U195:X195"/>
    <mergeCell ref="Y195:AB195"/>
    <mergeCell ref="E194:H194"/>
    <mergeCell ref="I194:L194"/>
    <mergeCell ref="M194:P194"/>
    <mergeCell ref="Q194:T194"/>
    <mergeCell ref="U194:X194"/>
    <mergeCell ref="Y194:AB194"/>
    <mergeCell ref="E199:H199"/>
    <mergeCell ref="I199:L199"/>
    <mergeCell ref="M199:P199"/>
    <mergeCell ref="Q199:T199"/>
    <mergeCell ref="U199:X199"/>
    <mergeCell ref="Y199:AB199"/>
    <mergeCell ref="E198:H198"/>
    <mergeCell ref="I198:L198"/>
    <mergeCell ref="M198:P198"/>
    <mergeCell ref="Q198:T198"/>
    <mergeCell ref="U198:X198"/>
    <mergeCell ref="Y198:AB198"/>
    <mergeCell ref="E197:H197"/>
    <mergeCell ref="I197:L197"/>
    <mergeCell ref="M197:P197"/>
    <mergeCell ref="Q197:T197"/>
    <mergeCell ref="U197:X197"/>
    <mergeCell ref="Y197:AB197"/>
    <mergeCell ref="E202:H202"/>
    <mergeCell ref="I202:L202"/>
    <mergeCell ref="M202:P202"/>
    <mergeCell ref="Q202:T202"/>
    <mergeCell ref="U202:X202"/>
    <mergeCell ref="Y202:AB202"/>
    <mergeCell ref="E201:H201"/>
    <mergeCell ref="I201:L201"/>
    <mergeCell ref="M201:P201"/>
    <mergeCell ref="Q201:T201"/>
    <mergeCell ref="U201:X201"/>
    <mergeCell ref="Y201:AB201"/>
    <mergeCell ref="E200:H200"/>
    <mergeCell ref="I200:L200"/>
    <mergeCell ref="M200:P200"/>
    <mergeCell ref="Q200:T200"/>
    <mergeCell ref="U200:X200"/>
    <mergeCell ref="Y200:AB200"/>
    <mergeCell ref="E205:H205"/>
    <mergeCell ref="I205:L205"/>
    <mergeCell ref="M205:P205"/>
    <mergeCell ref="Q205:T205"/>
    <mergeCell ref="U205:X205"/>
    <mergeCell ref="Y205:AB205"/>
    <mergeCell ref="E204:H204"/>
    <mergeCell ref="I204:L204"/>
    <mergeCell ref="M204:P204"/>
    <mergeCell ref="Q204:T204"/>
    <mergeCell ref="U204:X204"/>
    <mergeCell ref="Y204:AB204"/>
    <mergeCell ref="E203:H203"/>
    <mergeCell ref="I203:L203"/>
    <mergeCell ref="M203:P203"/>
    <mergeCell ref="Q203:T203"/>
    <mergeCell ref="U203:X203"/>
    <mergeCell ref="Y203:AB203"/>
    <mergeCell ref="E208:H208"/>
    <mergeCell ref="I208:L208"/>
    <mergeCell ref="M208:P208"/>
    <mergeCell ref="Q208:T208"/>
    <mergeCell ref="U208:X208"/>
    <mergeCell ref="Y208:AB208"/>
    <mergeCell ref="E207:H207"/>
    <mergeCell ref="I207:L207"/>
    <mergeCell ref="M207:P207"/>
    <mergeCell ref="Q207:T207"/>
    <mergeCell ref="U207:X207"/>
    <mergeCell ref="Y207:AB207"/>
    <mergeCell ref="E206:H206"/>
    <mergeCell ref="I206:L206"/>
    <mergeCell ref="M206:P206"/>
    <mergeCell ref="Q206:T206"/>
    <mergeCell ref="U206:X206"/>
    <mergeCell ref="Y206:AB206"/>
    <mergeCell ref="E211:H211"/>
    <mergeCell ref="I211:L211"/>
    <mergeCell ref="M211:P211"/>
    <mergeCell ref="Q211:T211"/>
    <mergeCell ref="U211:X211"/>
    <mergeCell ref="Y211:AB211"/>
    <mergeCell ref="E210:H210"/>
    <mergeCell ref="I210:L210"/>
    <mergeCell ref="M210:P210"/>
    <mergeCell ref="Q210:T210"/>
    <mergeCell ref="U210:X210"/>
    <mergeCell ref="Y210:AB210"/>
    <mergeCell ref="E209:H209"/>
    <mergeCell ref="I209:L209"/>
    <mergeCell ref="M209:P209"/>
    <mergeCell ref="Q209:T209"/>
    <mergeCell ref="U209:X209"/>
    <mergeCell ref="Y209:AB209"/>
    <mergeCell ref="E214:H214"/>
    <mergeCell ref="I214:L214"/>
    <mergeCell ref="M214:P214"/>
    <mergeCell ref="Q214:T214"/>
    <mergeCell ref="U214:X214"/>
    <mergeCell ref="Y214:AB214"/>
    <mergeCell ref="E213:H213"/>
    <mergeCell ref="I213:L213"/>
    <mergeCell ref="M213:P213"/>
    <mergeCell ref="Q213:T213"/>
    <mergeCell ref="U213:X213"/>
    <mergeCell ref="Y213:AB213"/>
    <mergeCell ref="E212:H212"/>
    <mergeCell ref="I212:L212"/>
    <mergeCell ref="M212:P212"/>
    <mergeCell ref="Q212:T212"/>
    <mergeCell ref="U212:X212"/>
    <mergeCell ref="Y212:AB212"/>
    <mergeCell ref="E217:H217"/>
    <mergeCell ref="I217:L217"/>
    <mergeCell ref="M217:P217"/>
    <mergeCell ref="Q217:T217"/>
    <mergeCell ref="U217:X217"/>
    <mergeCell ref="Y217:AB217"/>
    <mergeCell ref="E216:H216"/>
    <mergeCell ref="I216:L216"/>
    <mergeCell ref="M216:P216"/>
    <mergeCell ref="Q216:T216"/>
    <mergeCell ref="U216:X216"/>
    <mergeCell ref="Y216:AB216"/>
    <mergeCell ref="E215:H215"/>
    <mergeCell ref="I215:L215"/>
    <mergeCell ref="M215:P215"/>
    <mergeCell ref="Q215:T215"/>
    <mergeCell ref="U215:X215"/>
    <mergeCell ref="Y215:AB215"/>
    <mergeCell ref="E220:H220"/>
    <mergeCell ref="I220:L220"/>
    <mergeCell ref="M220:P220"/>
    <mergeCell ref="Q220:T220"/>
    <mergeCell ref="U220:X220"/>
    <mergeCell ref="Y220:AB220"/>
    <mergeCell ref="E219:H219"/>
    <mergeCell ref="I219:L219"/>
    <mergeCell ref="M219:P219"/>
    <mergeCell ref="Q219:T219"/>
    <mergeCell ref="U219:X219"/>
    <mergeCell ref="Y219:AB219"/>
    <mergeCell ref="E218:H218"/>
    <mergeCell ref="I218:L218"/>
    <mergeCell ref="M218:P218"/>
    <mergeCell ref="Q218:T218"/>
    <mergeCell ref="U218:X218"/>
    <mergeCell ref="Y218:AB218"/>
    <mergeCell ref="E223:H223"/>
    <mergeCell ref="I223:L223"/>
    <mergeCell ref="M223:P223"/>
    <mergeCell ref="Q223:T223"/>
    <mergeCell ref="U223:X223"/>
    <mergeCell ref="Y223:AB223"/>
    <mergeCell ref="E222:H222"/>
    <mergeCell ref="I222:L222"/>
    <mergeCell ref="M222:P222"/>
    <mergeCell ref="Q222:T222"/>
    <mergeCell ref="U222:X222"/>
    <mergeCell ref="Y222:AB222"/>
    <mergeCell ref="E221:H221"/>
    <mergeCell ref="I221:L221"/>
    <mergeCell ref="M221:P221"/>
    <mergeCell ref="Q221:T221"/>
    <mergeCell ref="U221:X221"/>
    <mergeCell ref="Y221:AB221"/>
    <mergeCell ref="E226:H226"/>
    <mergeCell ref="I226:L226"/>
    <mergeCell ref="M226:P226"/>
    <mergeCell ref="Q226:T226"/>
    <mergeCell ref="U226:X226"/>
    <mergeCell ref="Y226:AB226"/>
    <mergeCell ref="E225:H225"/>
    <mergeCell ref="I225:L225"/>
    <mergeCell ref="M225:P225"/>
    <mergeCell ref="Q225:T225"/>
    <mergeCell ref="U225:X225"/>
    <mergeCell ref="Y225:AB225"/>
    <mergeCell ref="E224:H224"/>
    <mergeCell ref="I224:L224"/>
    <mergeCell ref="M224:P224"/>
    <mergeCell ref="Q224:T224"/>
    <mergeCell ref="U224:X224"/>
    <mergeCell ref="Y224:AB224"/>
    <mergeCell ref="E229:H229"/>
    <mergeCell ref="I229:L229"/>
    <mergeCell ref="M229:P229"/>
    <mergeCell ref="Q229:T229"/>
    <mergeCell ref="U229:X229"/>
    <mergeCell ref="Y229:AB229"/>
    <mergeCell ref="E228:H228"/>
    <mergeCell ref="I228:L228"/>
    <mergeCell ref="M228:P228"/>
    <mergeCell ref="Q228:T228"/>
    <mergeCell ref="U228:X228"/>
    <mergeCell ref="Y228:AB228"/>
    <mergeCell ref="E227:H227"/>
    <mergeCell ref="I227:L227"/>
    <mergeCell ref="M227:P227"/>
    <mergeCell ref="Q227:T227"/>
    <mergeCell ref="U227:X227"/>
    <mergeCell ref="Y227:AB227"/>
    <mergeCell ref="E232:H232"/>
    <mergeCell ref="I232:L232"/>
    <mergeCell ref="M232:P232"/>
    <mergeCell ref="Q232:T232"/>
    <mergeCell ref="U232:X232"/>
    <mergeCell ref="Y232:AB232"/>
    <mergeCell ref="E231:H231"/>
    <mergeCell ref="I231:L231"/>
    <mergeCell ref="M231:P231"/>
    <mergeCell ref="Q231:T231"/>
    <mergeCell ref="U231:X231"/>
    <mergeCell ref="Y231:AB231"/>
    <mergeCell ref="E230:H230"/>
    <mergeCell ref="I230:L230"/>
    <mergeCell ref="M230:P230"/>
    <mergeCell ref="Q230:T230"/>
    <mergeCell ref="U230:X230"/>
    <mergeCell ref="Y230:AB230"/>
    <mergeCell ref="E235:H235"/>
    <mergeCell ref="I235:L235"/>
    <mergeCell ref="M235:P235"/>
    <mergeCell ref="Q235:T235"/>
    <mergeCell ref="U235:X235"/>
    <mergeCell ref="Y235:AB235"/>
    <mergeCell ref="E234:H234"/>
    <mergeCell ref="I234:L234"/>
    <mergeCell ref="M234:P234"/>
    <mergeCell ref="Q234:T234"/>
    <mergeCell ref="U234:X234"/>
    <mergeCell ref="Y234:AB234"/>
    <mergeCell ref="E233:H233"/>
    <mergeCell ref="I233:L233"/>
    <mergeCell ref="M233:P233"/>
    <mergeCell ref="Q233:T233"/>
    <mergeCell ref="U233:X233"/>
    <mergeCell ref="Y233:AB233"/>
    <mergeCell ref="E238:H238"/>
    <mergeCell ref="I238:L238"/>
    <mergeCell ref="M238:P238"/>
    <mergeCell ref="Q238:T238"/>
    <mergeCell ref="U238:X238"/>
    <mergeCell ref="Y238:AB238"/>
    <mergeCell ref="E237:H237"/>
    <mergeCell ref="I237:L237"/>
    <mergeCell ref="M237:P237"/>
    <mergeCell ref="Q237:T237"/>
    <mergeCell ref="U237:X237"/>
    <mergeCell ref="Y237:AB237"/>
    <mergeCell ref="E236:H236"/>
    <mergeCell ref="I236:L236"/>
    <mergeCell ref="M236:P236"/>
    <mergeCell ref="Q236:T236"/>
    <mergeCell ref="U236:X236"/>
    <mergeCell ref="Y236:AB236"/>
    <mergeCell ref="E241:H241"/>
    <mergeCell ref="I241:L241"/>
    <mergeCell ref="M241:P241"/>
    <mergeCell ref="Q241:T241"/>
    <mergeCell ref="U241:X241"/>
    <mergeCell ref="Y241:AB241"/>
    <mergeCell ref="E240:H240"/>
    <mergeCell ref="I240:L240"/>
    <mergeCell ref="M240:P240"/>
    <mergeCell ref="Q240:T240"/>
    <mergeCell ref="U240:X240"/>
    <mergeCell ref="Y240:AB240"/>
    <mergeCell ref="E239:H239"/>
    <mergeCell ref="I239:L239"/>
    <mergeCell ref="M239:P239"/>
    <mergeCell ref="Q239:T239"/>
    <mergeCell ref="U239:X239"/>
    <mergeCell ref="Y239:AB239"/>
    <mergeCell ref="E244:H244"/>
    <mergeCell ref="I244:L244"/>
    <mergeCell ref="M244:P244"/>
    <mergeCell ref="Q244:T244"/>
    <mergeCell ref="U244:X244"/>
    <mergeCell ref="Y244:AB244"/>
    <mergeCell ref="E243:H243"/>
    <mergeCell ref="I243:L243"/>
    <mergeCell ref="M243:P243"/>
    <mergeCell ref="Q243:T243"/>
    <mergeCell ref="U243:X243"/>
    <mergeCell ref="Y243:AB243"/>
    <mergeCell ref="E242:H242"/>
    <mergeCell ref="I242:L242"/>
    <mergeCell ref="M242:P242"/>
    <mergeCell ref="Q242:T242"/>
    <mergeCell ref="U242:X242"/>
    <mergeCell ref="Y242:AB242"/>
    <mergeCell ref="E247:H247"/>
    <mergeCell ref="I247:L247"/>
    <mergeCell ref="M247:P247"/>
    <mergeCell ref="Q247:T247"/>
    <mergeCell ref="U247:X247"/>
    <mergeCell ref="Y247:AB247"/>
    <mergeCell ref="E246:H246"/>
    <mergeCell ref="I246:L246"/>
    <mergeCell ref="M246:P246"/>
    <mergeCell ref="Q246:T246"/>
    <mergeCell ref="U246:X246"/>
    <mergeCell ref="Y246:AB246"/>
    <mergeCell ref="E245:H245"/>
    <mergeCell ref="I245:L245"/>
    <mergeCell ref="M245:P245"/>
    <mergeCell ref="Q245:T245"/>
    <mergeCell ref="U245:X245"/>
    <mergeCell ref="Y245:AB245"/>
    <mergeCell ref="E250:H250"/>
    <mergeCell ref="I250:L250"/>
    <mergeCell ref="M250:P250"/>
    <mergeCell ref="Q250:T250"/>
    <mergeCell ref="U250:X250"/>
    <mergeCell ref="Y250:AB250"/>
    <mergeCell ref="E249:H249"/>
    <mergeCell ref="I249:L249"/>
    <mergeCell ref="M249:P249"/>
    <mergeCell ref="Q249:T249"/>
    <mergeCell ref="U249:X249"/>
    <mergeCell ref="Y249:AB249"/>
    <mergeCell ref="E248:H248"/>
    <mergeCell ref="I248:L248"/>
    <mergeCell ref="M248:P248"/>
    <mergeCell ref="Q248:T248"/>
    <mergeCell ref="U248:X248"/>
    <mergeCell ref="Y248:AB248"/>
    <mergeCell ref="E253:H253"/>
    <mergeCell ref="I253:L253"/>
    <mergeCell ref="M253:P253"/>
    <mergeCell ref="Q253:T253"/>
    <mergeCell ref="U253:X253"/>
    <mergeCell ref="Y253:AB253"/>
    <mergeCell ref="E252:H252"/>
    <mergeCell ref="I252:L252"/>
    <mergeCell ref="M252:P252"/>
    <mergeCell ref="Q252:T252"/>
    <mergeCell ref="U252:X252"/>
    <mergeCell ref="Y252:AB252"/>
    <mergeCell ref="E251:H251"/>
    <mergeCell ref="I251:L251"/>
    <mergeCell ref="M251:P251"/>
    <mergeCell ref="Q251:T251"/>
    <mergeCell ref="U251:X251"/>
    <mergeCell ref="Y251:AB251"/>
    <mergeCell ref="E256:H256"/>
    <mergeCell ref="I256:L256"/>
    <mergeCell ref="M256:P256"/>
    <mergeCell ref="Q256:T256"/>
    <mergeCell ref="U256:X256"/>
    <mergeCell ref="Y256:AB256"/>
    <mergeCell ref="E255:H255"/>
    <mergeCell ref="I255:L255"/>
    <mergeCell ref="M255:P255"/>
    <mergeCell ref="Q255:T255"/>
    <mergeCell ref="U255:X255"/>
    <mergeCell ref="Y255:AB255"/>
    <mergeCell ref="E254:H254"/>
    <mergeCell ref="I254:L254"/>
    <mergeCell ref="M254:P254"/>
    <mergeCell ref="Q254:T254"/>
    <mergeCell ref="U254:X254"/>
    <mergeCell ref="Y254:AB254"/>
    <mergeCell ref="E259:H259"/>
    <mergeCell ref="I259:L259"/>
    <mergeCell ref="M259:P259"/>
    <mergeCell ref="Q259:T259"/>
    <mergeCell ref="U259:X259"/>
    <mergeCell ref="Y259:AB259"/>
    <mergeCell ref="E258:H258"/>
    <mergeCell ref="I258:L258"/>
    <mergeCell ref="M258:P258"/>
    <mergeCell ref="Q258:T258"/>
    <mergeCell ref="U258:X258"/>
    <mergeCell ref="Y258:AB258"/>
    <mergeCell ref="E257:H257"/>
    <mergeCell ref="I257:L257"/>
    <mergeCell ref="M257:P257"/>
    <mergeCell ref="Q257:T257"/>
    <mergeCell ref="U257:X257"/>
    <mergeCell ref="Y257:AB257"/>
    <mergeCell ref="E262:H262"/>
    <mergeCell ref="I262:L262"/>
    <mergeCell ref="M262:P262"/>
    <mergeCell ref="Q262:T262"/>
    <mergeCell ref="U262:X262"/>
    <mergeCell ref="Y262:AB262"/>
    <mergeCell ref="E261:H261"/>
    <mergeCell ref="I261:L261"/>
    <mergeCell ref="M261:P261"/>
    <mergeCell ref="Q261:T261"/>
    <mergeCell ref="U261:X261"/>
    <mergeCell ref="Y261:AB261"/>
    <mergeCell ref="E260:H260"/>
    <mergeCell ref="I260:L260"/>
    <mergeCell ref="M260:P260"/>
    <mergeCell ref="Q260:T260"/>
    <mergeCell ref="U260:X260"/>
    <mergeCell ref="Y260:AB260"/>
    <mergeCell ref="E265:H265"/>
    <mergeCell ref="I265:L265"/>
    <mergeCell ref="M265:P265"/>
    <mergeCell ref="Q265:T265"/>
    <mergeCell ref="U265:X265"/>
    <mergeCell ref="Y265:AB265"/>
    <mergeCell ref="E264:H264"/>
    <mergeCell ref="I264:L264"/>
    <mergeCell ref="M264:P264"/>
    <mergeCell ref="Q264:T264"/>
    <mergeCell ref="U264:X264"/>
    <mergeCell ref="Y264:AB264"/>
    <mergeCell ref="E263:H263"/>
    <mergeCell ref="I263:L263"/>
    <mergeCell ref="M263:P263"/>
    <mergeCell ref="Q263:T263"/>
    <mergeCell ref="U263:X263"/>
    <mergeCell ref="Y263:AB263"/>
    <mergeCell ref="E268:H268"/>
    <mergeCell ref="I268:L268"/>
    <mergeCell ref="M268:P268"/>
    <mergeCell ref="Q268:T268"/>
    <mergeCell ref="U268:X268"/>
    <mergeCell ref="Y268:AB268"/>
    <mergeCell ref="E267:H267"/>
    <mergeCell ref="I267:L267"/>
    <mergeCell ref="M267:P267"/>
    <mergeCell ref="Q267:T267"/>
    <mergeCell ref="U267:X267"/>
    <mergeCell ref="Y267:AB267"/>
    <mergeCell ref="E266:H266"/>
    <mergeCell ref="I266:L266"/>
    <mergeCell ref="M266:P266"/>
    <mergeCell ref="Q266:T266"/>
    <mergeCell ref="U266:X266"/>
    <mergeCell ref="Y266:AB266"/>
    <mergeCell ref="E271:H271"/>
    <mergeCell ref="I271:L271"/>
    <mergeCell ref="M271:P271"/>
    <mergeCell ref="Q271:T271"/>
    <mergeCell ref="U271:X271"/>
    <mergeCell ref="Y271:AB271"/>
    <mergeCell ref="E270:H270"/>
    <mergeCell ref="I270:L270"/>
    <mergeCell ref="M270:P270"/>
    <mergeCell ref="Q270:T270"/>
    <mergeCell ref="U270:X270"/>
    <mergeCell ref="Y270:AB270"/>
    <mergeCell ref="E269:H269"/>
    <mergeCell ref="I269:L269"/>
    <mergeCell ref="M269:P269"/>
    <mergeCell ref="Q269:T269"/>
    <mergeCell ref="U269:X269"/>
    <mergeCell ref="Y269:AB269"/>
    <mergeCell ref="E274:H274"/>
    <mergeCell ref="I274:L274"/>
    <mergeCell ref="M274:P274"/>
    <mergeCell ref="Q274:T274"/>
    <mergeCell ref="U274:X274"/>
    <mergeCell ref="Y274:AB274"/>
    <mergeCell ref="E273:H273"/>
    <mergeCell ref="I273:L273"/>
    <mergeCell ref="M273:P273"/>
    <mergeCell ref="Q273:T273"/>
    <mergeCell ref="U273:X273"/>
    <mergeCell ref="Y273:AB273"/>
    <mergeCell ref="E272:H272"/>
    <mergeCell ref="I272:L272"/>
    <mergeCell ref="M272:P272"/>
    <mergeCell ref="Q272:T272"/>
    <mergeCell ref="U272:X272"/>
    <mergeCell ref="Y272:AB272"/>
    <mergeCell ref="E277:H277"/>
    <mergeCell ref="I277:L277"/>
    <mergeCell ref="M277:P277"/>
    <mergeCell ref="Q277:T277"/>
    <mergeCell ref="U277:X277"/>
    <mergeCell ref="Y277:AB277"/>
    <mergeCell ref="E276:H276"/>
    <mergeCell ref="I276:L276"/>
    <mergeCell ref="M276:P276"/>
    <mergeCell ref="Q276:T276"/>
    <mergeCell ref="U276:X276"/>
    <mergeCell ref="Y276:AB276"/>
    <mergeCell ref="E275:H275"/>
    <mergeCell ref="I275:L275"/>
    <mergeCell ref="M275:P275"/>
    <mergeCell ref="Q275:T275"/>
    <mergeCell ref="U275:X275"/>
    <mergeCell ref="Y275:AB275"/>
    <mergeCell ref="E280:H280"/>
    <mergeCell ref="I280:L280"/>
    <mergeCell ref="M280:P280"/>
    <mergeCell ref="Q280:T280"/>
    <mergeCell ref="U280:X280"/>
    <mergeCell ref="Y280:AB280"/>
    <mergeCell ref="E279:H279"/>
    <mergeCell ref="I279:L279"/>
    <mergeCell ref="M279:P279"/>
    <mergeCell ref="Q279:T279"/>
    <mergeCell ref="U279:X279"/>
    <mergeCell ref="Y279:AB279"/>
    <mergeCell ref="E278:H278"/>
    <mergeCell ref="I278:L278"/>
    <mergeCell ref="M278:P278"/>
    <mergeCell ref="Q278:T278"/>
    <mergeCell ref="U278:X278"/>
    <mergeCell ref="Y278:AB278"/>
    <mergeCell ref="E283:H283"/>
    <mergeCell ref="I283:L283"/>
    <mergeCell ref="M283:P283"/>
    <mergeCell ref="Q283:T283"/>
    <mergeCell ref="U283:X283"/>
    <mergeCell ref="Y283:AB283"/>
    <mergeCell ref="E282:H282"/>
    <mergeCell ref="I282:L282"/>
    <mergeCell ref="M282:P282"/>
    <mergeCell ref="Q282:T282"/>
    <mergeCell ref="U282:X282"/>
    <mergeCell ref="Y282:AB282"/>
    <mergeCell ref="E281:H281"/>
    <mergeCell ref="I281:L281"/>
    <mergeCell ref="M281:P281"/>
    <mergeCell ref="Q281:T281"/>
    <mergeCell ref="U281:X281"/>
    <mergeCell ref="Y281:AB281"/>
    <mergeCell ref="E286:H286"/>
    <mergeCell ref="I286:L286"/>
    <mergeCell ref="M286:P286"/>
    <mergeCell ref="Q286:T286"/>
    <mergeCell ref="U286:X286"/>
    <mergeCell ref="Y286:AB286"/>
    <mergeCell ref="E285:H285"/>
    <mergeCell ref="I285:L285"/>
    <mergeCell ref="M285:P285"/>
    <mergeCell ref="Q285:T285"/>
    <mergeCell ref="U285:X285"/>
    <mergeCell ref="Y285:AB285"/>
    <mergeCell ref="E284:H284"/>
    <mergeCell ref="I284:L284"/>
    <mergeCell ref="M284:P284"/>
    <mergeCell ref="Q284:T284"/>
    <mergeCell ref="U284:X284"/>
    <mergeCell ref="Y284:AB284"/>
    <mergeCell ref="E289:H289"/>
    <mergeCell ref="I289:L289"/>
    <mergeCell ref="M289:P289"/>
    <mergeCell ref="Q289:T289"/>
    <mergeCell ref="U289:X289"/>
    <mergeCell ref="Y289:AB289"/>
    <mergeCell ref="E288:H288"/>
    <mergeCell ref="I288:L288"/>
    <mergeCell ref="M288:P288"/>
    <mergeCell ref="Q288:T288"/>
    <mergeCell ref="U288:X288"/>
    <mergeCell ref="Y288:AB288"/>
    <mergeCell ref="E287:H287"/>
    <mergeCell ref="I287:L287"/>
    <mergeCell ref="M287:P287"/>
    <mergeCell ref="Q287:T287"/>
    <mergeCell ref="U287:X287"/>
    <mergeCell ref="Y287:AB287"/>
    <mergeCell ref="E292:H292"/>
    <mergeCell ref="I292:L292"/>
    <mergeCell ref="M292:P292"/>
    <mergeCell ref="Q292:T292"/>
    <mergeCell ref="U292:X292"/>
    <mergeCell ref="Y292:AB292"/>
    <mergeCell ref="E291:H291"/>
    <mergeCell ref="I291:L291"/>
    <mergeCell ref="M291:P291"/>
    <mergeCell ref="Q291:T291"/>
    <mergeCell ref="U291:X291"/>
    <mergeCell ref="Y291:AB291"/>
    <mergeCell ref="E290:H290"/>
    <mergeCell ref="I290:L290"/>
    <mergeCell ref="M290:P290"/>
    <mergeCell ref="Q290:T290"/>
    <mergeCell ref="U290:X290"/>
    <mergeCell ref="Y290:AB290"/>
    <mergeCell ref="E295:H295"/>
    <mergeCell ref="I295:L295"/>
    <mergeCell ref="M295:P295"/>
    <mergeCell ref="Q295:T295"/>
    <mergeCell ref="U295:X295"/>
    <mergeCell ref="Y295:AB295"/>
    <mergeCell ref="E294:H294"/>
    <mergeCell ref="I294:L294"/>
    <mergeCell ref="M294:P294"/>
    <mergeCell ref="Q294:T294"/>
    <mergeCell ref="U294:X294"/>
    <mergeCell ref="Y294:AB294"/>
    <mergeCell ref="E293:H293"/>
    <mergeCell ref="I293:L293"/>
    <mergeCell ref="M293:P293"/>
    <mergeCell ref="Q293:T293"/>
    <mergeCell ref="U293:X293"/>
    <mergeCell ref="Y293:AB293"/>
    <mergeCell ref="E298:H298"/>
    <mergeCell ref="I298:L298"/>
    <mergeCell ref="M298:P298"/>
    <mergeCell ref="Q298:T298"/>
    <mergeCell ref="U298:X298"/>
    <mergeCell ref="Y298:AB298"/>
    <mergeCell ref="E297:H297"/>
    <mergeCell ref="I297:L297"/>
    <mergeCell ref="M297:P297"/>
    <mergeCell ref="Q297:T297"/>
    <mergeCell ref="U297:X297"/>
    <mergeCell ref="Y297:AB297"/>
    <mergeCell ref="E296:H296"/>
    <mergeCell ref="I296:L296"/>
    <mergeCell ref="M296:P296"/>
    <mergeCell ref="Q296:T296"/>
    <mergeCell ref="U296:X296"/>
    <mergeCell ref="Y296:AB296"/>
    <mergeCell ref="E301:H301"/>
    <mergeCell ref="I301:L301"/>
    <mergeCell ref="M301:P301"/>
    <mergeCell ref="Q301:T301"/>
    <mergeCell ref="U301:X301"/>
    <mergeCell ref="Y301:AB301"/>
    <mergeCell ref="E300:H300"/>
    <mergeCell ref="I300:L300"/>
    <mergeCell ref="M300:P300"/>
    <mergeCell ref="Q300:T300"/>
    <mergeCell ref="U300:X300"/>
    <mergeCell ref="Y300:AB300"/>
    <mergeCell ref="E299:H299"/>
    <mergeCell ref="I299:L299"/>
    <mergeCell ref="M299:P299"/>
    <mergeCell ref="Q299:T299"/>
    <mergeCell ref="U299:X299"/>
    <mergeCell ref="Y299:AB299"/>
    <mergeCell ref="E304:H304"/>
    <mergeCell ref="I304:L304"/>
    <mergeCell ref="M304:P304"/>
    <mergeCell ref="Q304:T304"/>
    <mergeCell ref="U304:X304"/>
    <mergeCell ref="Y304:AB304"/>
    <mergeCell ref="E303:H303"/>
    <mergeCell ref="I303:L303"/>
    <mergeCell ref="M303:P303"/>
    <mergeCell ref="Q303:T303"/>
    <mergeCell ref="U303:X303"/>
    <mergeCell ref="Y303:AB303"/>
    <mergeCell ref="E302:H302"/>
    <mergeCell ref="I302:L302"/>
    <mergeCell ref="M302:P302"/>
    <mergeCell ref="Q302:T302"/>
    <mergeCell ref="U302:X302"/>
    <mergeCell ref="Y302:AB302"/>
    <mergeCell ref="E307:H307"/>
    <mergeCell ref="I307:L307"/>
    <mergeCell ref="M307:P307"/>
    <mergeCell ref="Q307:T307"/>
    <mergeCell ref="U307:X307"/>
    <mergeCell ref="Y307:AB307"/>
    <mergeCell ref="E306:H306"/>
    <mergeCell ref="I306:L306"/>
    <mergeCell ref="M306:P306"/>
    <mergeCell ref="Q306:T306"/>
    <mergeCell ref="U306:X306"/>
    <mergeCell ref="Y306:AB306"/>
    <mergeCell ref="E305:H305"/>
    <mergeCell ref="I305:L305"/>
    <mergeCell ref="M305:P305"/>
    <mergeCell ref="Q305:T305"/>
    <mergeCell ref="U305:X305"/>
    <mergeCell ref="Y305:AB305"/>
    <mergeCell ref="Y312:AB312"/>
    <mergeCell ref="A313:D313"/>
    <mergeCell ref="E313:H313"/>
    <mergeCell ref="I313:L313"/>
    <mergeCell ref="M313:P313"/>
    <mergeCell ref="Q313:T313"/>
    <mergeCell ref="U313:X313"/>
    <mergeCell ref="Y313:AB313"/>
    <mergeCell ref="A312:D312"/>
    <mergeCell ref="E312:H312"/>
    <mergeCell ref="I312:L312"/>
    <mergeCell ref="M312:P312"/>
    <mergeCell ref="Q312:T312"/>
    <mergeCell ref="U312:X312"/>
    <mergeCell ref="Y310:AB310"/>
    <mergeCell ref="A311:D311"/>
    <mergeCell ref="E311:H311"/>
    <mergeCell ref="I311:L311"/>
    <mergeCell ref="M311:P311"/>
    <mergeCell ref="Q311:T311"/>
    <mergeCell ref="U311:X311"/>
    <mergeCell ref="Y311:AB311"/>
    <mergeCell ref="A310:D310"/>
    <mergeCell ref="E310:H310"/>
    <mergeCell ref="I310:L310"/>
    <mergeCell ref="M310:P310"/>
    <mergeCell ref="Q310:T310"/>
    <mergeCell ref="U310:X310"/>
    <mergeCell ref="AV317:AZ317"/>
    <mergeCell ref="A321:AZ322"/>
    <mergeCell ref="A323:AZ324"/>
    <mergeCell ref="Y314:AB314"/>
    <mergeCell ref="A315:D315"/>
    <mergeCell ref="E315:H315"/>
    <mergeCell ref="I315:L315"/>
    <mergeCell ref="M315:P315"/>
    <mergeCell ref="Q315:T315"/>
    <mergeCell ref="U315:X315"/>
    <mergeCell ref="Y315:AB315"/>
    <mergeCell ref="A314:D314"/>
    <mergeCell ref="E314:H314"/>
    <mergeCell ref="I314:L314"/>
    <mergeCell ref="M314:P314"/>
    <mergeCell ref="Q314:T314"/>
    <mergeCell ref="U314:X314"/>
  </mergeCells>
  <printOptions horizontalCentered="1"/>
  <pageMargins left="0.31" right="0.25" top="0.98425196850393704" bottom="0.98425196850393704" header="0.51181102362204722" footer="0.51181102362204722"/>
  <headerFooter alignWithMargins="0"/>
  <rowBreaks count="5" manualBreakCount="5">
    <brk id="67" max="51" man="1"/>
    <brk id="127" max="51" man="1"/>
    <brk id="187" max="51" man="1"/>
    <brk id="247" max="51" man="1"/>
    <brk id="297" max="51" man="1"/>
  </rowBreak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rgb="FFFC0006"/>
  </sheetPr>
  <dimension ref="A1:F23"/>
  <sheetViews>
    <sheetView workbookViewId="0">
      <selection activeCell="D5" sqref="D5"/>
    </sheetView>
  </sheetViews>
  <sheetFormatPr baseColWidth="10" defaultColWidth="10.83203125" defaultRowHeight="12" x14ac:dyDescent="0"/>
  <cols>
    <col min="1" max="1" width="11.33203125" customWidth="1"/>
    <col min="2" max="2" width="12.83203125" customWidth="1"/>
    <col min="3" max="3" width="41.6640625" customWidth="1"/>
    <col min="4" max="4" width="46.5" customWidth="1"/>
  </cols>
  <sheetData>
    <row r="1" spans="1:6" ht="21">
      <c r="A1" s="304"/>
      <c r="B1" s="304"/>
      <c r="C1" s="307" t="s">
        <v>502</v>
      </c>
      <c r="D1" s="304"/>
    </row>
    <row r="2" spans="1:6">
      <c r="A2" s="305" t="s">
        <v>452</v>
      </c>
      <c r="B2" s="305" t="s">
        <v>453</v>
      </c>
      <c r="C2" s="305" t="s">
        <v>454</v>
      </c>
      <c r="D2" s="305" t="s">
        <v>455</v>
      </c>
    </row>
    <row r="3" spans="1:6" ht="15">
      <c r="A3" s="310" t="s">
        <v>456</v>
      </c>
      <c r="B3" s="309" t="s">
        <v>497</v>
      </c>
      <c r="C3" s="309" t="s">
        <v>458</v>
      </c>
      <c r="D3" s="309">
        <v>35</v>
      </c>
      <c r="E3" s="309" t="s">
        <v>517</v>
      </c>
    </row>
    <row r="4" spans="1:6" ht="15">
      <c r="A4" s="310" t="s">
        <v>457</v>
      </c>
      <c r="B4" s="309" t="s">
        <v>496</v>
      </c>
      <c r="C4" s="309" t="s">
        <v>459</v>
      </c>
      <c r="D4" s="309">
        <v>3.5</v>
      </c>
      <c r="E4" s="309" t="s">
        <v>517</v>
      </c>
    </row>
    <row r="5" spans="1:6" ht="15">
      <c r="A5" s="310" t="s">
        <v>460</v>
      </c>
      <c r="B5" s="309" t="s">
        <v>495</v>
      </c>
      <c r="C5" s="309" t="s">
        <v>461</v>
      </c>
      <c r="D5" s="309" t="s">
        <v>462</v>
      </c>
      <c r="E5" s="309" t="s">
        <v>517</v>
      </c>
    </row>
    <row r="6" spans="1:6" ht="15">
      <c r="A6" s="309" t="s">
        <v>491</v>
      </c>
      <c r="B6" s="309" t="s">
        <v>492</v>
      </c>
      <c r="C6" s="309" t="s">
        <v>493</v>
      </c>
      <c r="D6" s="309" t="s">
        <v>494</v>
      </c>
      <c r="E6" s="309" t="s">
        <v>517</v>
      </c>
    </row>
    <row r="7" spans="1:6" ht="15">
      <c r="A7" s="313" t="s">
        <v>449</v>
      </c>
      <c r="B7" s="314"/>
      <c r="C7" s="314"/>
      <c r="D7" s="314"/>
      <c r="E7" s="309"/>
    </row>
    <row r="8" spans="1:6" ht="15">
      <c r="A8" s="313" t="s">
        <v>450</v>
      </c>
      <c r="B8" s="314"/>
      <c r="C8" s="314"/>
      <c r="D8" s="314"/>
      <c r="E8" s="309"/>
    </row>
    <row r="9" spans="1:6" ht="15">
      <c r="A9" s="310"/>
      <c r="B9" s="309"/>
      <c r="C9" s="309"/>
      <c r="D9" s="309"/>
      <c r="E9" s="309"/>
    </row>
    <row r="10" spans="1:6" ht="15">
      <c r="A10" s="311" t="s">
        <v>451</v>
      </c>
      <c r="B10" s="309"/>
      <c r="C10" s="309"/>
      <c r="D10" s="309"/>
      <c r="E10" s="309"/>
    </row>
    <row r="11" spans="1:6" ht="15">
      <c r="A11" s="310" t="s">
        <v>463</v>
      </c>
      <c r="B11" s="309" t="s">
        <v>470</v>
      </c>
      <c r="C11" s="309" t="s">
        <v>464</v>
      </c>
      <c r="D11" s="309" t="s">
        <v>499</v>
      </c>
      <c r="E11" s="312" t="s">
        <v>498</v>
      </c>
    </row>
    <row r="12" spans="1:6" ht="15">
      <c r="A12" s="310" t="s">
        <v>465</v>
      </c>
      <c r="B12" s="309" t="s">
        <v>466</v>
      </c>
      <c r="C12" s="309" t="s">
        <v>467</v>
      </c>
      <c r="D12" s="309">
        <v>1.5</v>
      </c>
      <c r="E12" s="309" t="s">
        <v>498</v>
      </c>
    </row>
    <row r="13" spans="1:6" ht="15">
      <c r="A13" s="310" t="s">
        <v>468</v>
      </c>
      <c r="B13" s="309" t="s">
        <v>469</v>
      </c>
      <c r="C13" s="309" t="s">
        <v>471</v>
      </c>
      <c r="D13" s="309">
        <v>2</v>
      </c>
      <c r="E13" s="309" t="s">
        <v>498</v>
      </c>
      <c r="F13" s="309" t="s">
        <v>472</v>
      </c>
    </row>
    <row r="14" spans="1:6" ht="15">
      <c r="A14" s="310" t="s">
        <v>473</v>
      </c>
      <c r="B14" s="309" t="s">
        <v>474</v>
      </c>
      <c r="C14" s="309" t="s">
        <v>475</v>
      </c>
      <c r="D14" s="309">
        <v>35</v>
      </c>
      <c r="E14" s="309" t="s">
        <v>498</v>
      </c>
      <c r="F14" s="309" t="s">
        <v>476</v>
      </c>
    </row>
    <row r="15" spans="1:6" ht="15">
      <c r="A15" s="310" t="s">
        <v>477</v>
      </c>
      <c r="B15" s="309" t="s">
        <v>478</v>
      </c>
      <c r="C15" s="309" t="s">
        <v>479</v>
      </c>
      <c r="D15" s="309" t="s">
        <v>500</v>
      </c>
      <c r="E15" s="312" t="s">
        <v>501</v>
      </c>
    </row>
    <row r="16" spans="1:6" ht="15">
      <c r="A16" s="310" t="s">
        <v>480</v>
      </c>
      <c r="B16" s="309" t="s">
        <v>481</v>
      </c>
      <c r="C16" s="309" t="s">
        <v>482</v>
      </c>
      <c r="D16" s="309">
        <v>35</v>
      </c>
      <c r="E16" s="309" t="s">
        <v>501</v>
      </c>
    </row>
    <row r="17" spans="1:5" ht="15">
      <c r="A17" s="309"/>
      <c r="B17" s="309"/>
      <c r="C17" s="309"/>
      <c r="D17" s="309"/>
      <c r="E17" s="309"/>
    </row>
    <row r="18" spans="1:5" ht="15">
      <c r="A18" s="315" t="s">
        <v>503</v>
      </c>
      <c r="B18" s="314"/>
      <c r="C18" s="314"/>
      <c r="D18" s="314"/>
      <c r="E18" s="309"/>
    </row>
    <row r="19" spans="1:5" ht="15">
      <c r="A19" s="309"/>
      <c r="B19" s="309"/>
      <c r="C19" s="309"/>
      <c r="D19" s="309"/>
      <c r="E19" s="309"/>
    </row>
    <row r="20" spans="1:5" ht="15">
      <c r="A20" s="310" t="s">
        <v>483</v>
      </c>
      <c r="B20" s="309" t="s">
        <v>487</v>
      </c>
      <c r="C20" s="309" t="s">
        <v>484</v>
      </c>
      <c r="D20" s="309">
        <v>5</v>
      </c>
      <c r="E20" s="312" t="s">
        <v>498</v>
      </c>
    </row>
    <row r="21" spans="1:5" ht="15">
      <c r="A21" s="310" t="s">
        <v>485</v>
      </c>
      <c r="B21" s="309" t="s">
        <v>486</v>
      </c>
      <c r="C21" s="309" t="s">
        <v>488</v>
      </c>
      <c r="D21" s="309">
        <v>35</v>
      </c>
      <c r="E21" s="312" t="s">
        <v>498</v>
      </c>
    </row>
    <row r="23" spans="1:5">
      <c r="A23" s="306" t="s">
        <v>489</v>
      </c>
    </row>
  </sheetData>
  <pageMargins left="0.75" right="0.75" top="1" bottom="1" header="0.5" footer="0.5"/>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0000FF"/>
  </sheetPr>
  <dimension ref="A1:E6"/>
  <sheetViews>
    <sheetView topLeftCell="B1" workbookViewId="0">
      <selection activeCell="D3" sqref="D3:D6"/>
    </sheetView>
  </sheetViews>
  <sheetFormatPr baseColWidth="10" defaultColWidth="11.5" defaultRowHeight="12" x14ac:dyDescent="0"/>
  <cols>
    <col min="2" max="2" width="13.6640625" customWidth="1"/>
    <col min="3" max="3" width="63.5" customWidth="1"/>
  </cols>
  <sheetData>
    <row r="1" spans="1:5" ht="21">
      <c r="A1" s="304"/>
      <c r="B1" s="304"/>
      <c r="C1" s="307" t="s">
        <v>516</v>
      </c>
      <c r="D1" s="304"/>
    </row>
    <row r="2" spans="1:5">
      <c r="A2" s="305" t="s">
        <v>452</v>
      </c>
      <c r="B2" s="305" t="s">
        <v>453</v>
      </c>
      <c r="C2" s="305" t="s">
        <v>454</v>
      </c>
      <c r="D2" s="305" t="s">
        <v>455</v>
      </c>
    </row>
    <row r="3" spans="1:5" ht="15">
      <c r="A3" s="316" t="s">
        <v>504</v>
      </c>
      <c r="B3" s="316" t="s">
        <v>505</v>
      </c>
      <c r="C3" s="316" t="s">
        <v>506</v>
      </c>
      <c r="D3" s="316">
        <v>30</v>
      </c>
      <c r="E3" s="316" t="s">
        <v>517</v>
      </c>
    </row>
    <row r="4" spans="1:5" ht="15">
      <c r="A4" s="316" t="s">
        <v>507</v>
      </c>
      <c r="B4" s="316" t="s">
        <v>508</v>
      </c>
      <c r="C4" s="316" t="s">
        <v>509</v>
      </c>
      <c r="D4" s="316">
        <v>78</v>
      </c>
      <c r="E4" s="316" t="s">
        <v>517</v>
      </c>
    </row>
    <row r="5" spans="1:5" ht="15">
      <c r="A5" s="316" t="s">
        <v>510</v>
      </c>
      <c r="B5" s="316" t="s">
        <v>511</v>
      </c>
      <c r="C5" s="316" t="s">
        <v>512</v>
      </c>
      <c r="D5" s="316">
        <v>42</v>
      </c>
      <c r="E5" s="316" t="s">
        <v>517</v>
      </c>
    </row>
    <row r="6" spans="1:5" ht="15">
      <c r="A6" s="316" t="s">
        <v>513</v>
      </c>
      <c r="B6" s="316" t="s">
        <v>514</v>
      </c>
      <c r="C6" s="316" t="s">
        <v>515</v>
      </c>
      <c r="D6" s="316">
        <v>68</v>
      </c>
      <c r="E6" s="316" t="s">
        <v>517</v>
      </c>
    </row>
  </sheetData>
  <pageMargins left="0.75" right="0.75" top="1" bottom="1" header="0.5" footer="0.5"/>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theme="1"/>
  </sheetPr>
  <dimension ref="A1:H34"/>
  <sheetViews>
    <sheetView showGridLines="0" zoomScale="145" zoomScaleNormal="145" zoomScalePageLayoutView="145" workbookViewId="0">
      <selection activeCell="B16" sqref="B16:C16"/>
    </sheetView>
  </sheetViews>
  <sheetFormatPr baseColWidth="10" defaultColWidth="9.1640625" defaultRowHeight="12" x14ac:dyDescent="0"/>
  <cols>
    <col min="1" max="1" width="3.5" style="304" customWidth="1"/>
    <col min="2" max="2" width="11.83203125" style="304" customWidth="1"/>
    <col min="3" max="3" width="29.1640625" style="304" customWidth="1"/>
    <col min="4" max="4" width="9.83203125" style="304" customWidth="1"/>
    <col min="5" max="5" width="15" style="304" customWidth="1"/>
    <col min="6" max="6" width="3.5" style="304" customWidth="1"/>
    <col min="7" max="16384" width="9.1640625" style="359"/>
  </cols>
  <sheetData>
    <row r="1" spans="1:8" ht="15" customHeight="1">
      <c r="A1" s="317"/>
      <c r="B1" s="317"/>
      <c r="C1" s="377" t="s">
        <v>566</v>
      </c>
      <c r="D1" s="317"/>
      <c r="E1" s="318"/>
      <c r="F1" s="317"/>
    </row>
    <row r="2" spans="1:8" s="360" customFormat="1" ht="13" customHeight="1">
      <c r="A2" s="366"/>
      <c r="B2" s="598" t="s">
        <v>563</v>
      </c>
      <c r="C2" s="598"/>
      <c r="D2" s="598"/>
      <c r="E2" s="598"/>
      <c r="F2" s="366"/>
    </row>
    <row r="3" spans="1:8" ht="5" customHeight="1">
      <c r="A3" s="367"/>
      <c r="B3" s="598"/>
      <c r="C3" s="598"/>
      <c r="D3" s="598"/>
      <c r="E3" s="598"/>
      <c r="F3" s="367"/>
    </row>
    <row r="4" spans="1:8" ht="4" hidden="1" customHeight="1">
      <c r="A4" s="367"/>
      <c r="B4" s="598"/>
      <c r="C4" s="598"/>
      <c r="D4" s="598"/>
      <c r="E4" s="598"/>
      <c r="F4" s="367"/>
    </row>
    <row r="5" spans="1:8" ht="15" hidden="1">
      <c r="A5" s="367"/>
      <c r="B5" s="367"/>
      <c r="C5" s="367"/>
      <c r="D5" s="367"/>
      <c r="E5" s="367"/>
      <c r="F5" s="367"/>
    </row>
    <row r="6" spans="1:8" ht="15" hidden="1">
      <c r="A6" s="319"/>
      <c r="B6" s="319"/>
      <c r="C6" s="319"/>
      <c r="D6" s="319"/>
      <c r="E6" s="319"/>
      <c r="F6" s="319"/>
    </row>
    <row r="7" spans="1:8" ht="15" hidden="1">
      <c r="A7" s="319"/>
      <c r="B7" s="319"/>
      <c r="C7" s="319"/>
      <c r="D7" s="319"/>
      <c r="E7" s="319"/>
      <c r="F7" s="319"/>
    </row>
    <row r="8" spans="1:8" ht="15">
      <c r="A8" s="319"/>
      <c r="B8" s="381" t="s">
        <v>525</v>
      </c>
      <c r="C8" s="381"/>
      <c r="D8" s="382"/>
      <c r="E8" s="445">
        <v>1000</v>
      </c>
      <c r="F8" s="319"/>
    </row>
    <row r="9" spans="1:8" ht="15">
      <c r="A9" s="319"/>
      <c r="B9" s="381"/>
      <c r="C9" s="381"/>
      <c r="D9" s="382"/>
      <c r="E9" s="382"/>
      <c r="F9" s="319"/>
    </row>
    <row r="10" spans="1:8" ht="15">
      <c r="A10" s="319"/>
      <c r="B10" s="381"/>
      <c r="C10" s="381"/>
      <c r="D10" s="382"/>
      <c r="E10" s="382"/>
      <c r="F10" s="319"/>
    </row>
    <row r="11" spans="1:8" ht="15">
      <c r="A11" s="320"/>
      <c r="B11" s="383" t="s">
        <v>519</v>
      </c>
      <c r="C11" s="384"/>
      <c r="D11" s="385"/>
      <c r="E11" s="385"/>
      <c r="F11" s="320"/>
      <c r="H11" s="359" t="s">
        <v>521</v>
      </c>
    </row>
    <row r="12" spans="1:8" ht="15">
      <c r="A12" s="319"/>
      <c r="B12" s="397" t="s">
        <v>518</v>
      </c>
      <c r="C12" s="381"/>
      <c r="D12" s="386">
        <f>'Duty Calculator v2'!E8</f>
        <v>2414.16</v>
      </c>
      <c r="E12" s="382"/>
      <c r="F12" s="322"/>
      <c r="H12" s="359" t="s">
        <v>54</v>
      </c>
    </row>
    <row r="13" spans="1:8" ht="15">
      <c r="A13" s="319"/>
      <c r="B13" s="397" t="s">
        <v>492</v>
      </c>
      <c r="C13" s="381"/>
      <c r="D13" s="387">
        <f>'Duty Calculator v2'!E10</f>
        <v>482.83199999999999</v>
      </c>
      <c r="E13" s="382"/>
      <c r="F13" s="322"/>
      <c r="H13" s="359" t="s">
        <v>55</v>
      </c>
    </row>
    <row r="14" spans="1:8" ht="15">
      <c r="A14" s="319"/>
      <c r="B14" s="381"/>
      <c r="C14" s="381"/>
      <c r="D14" s="388" t="s">
        <v>536</v>
      </c>
      <c r="E14" s="389">
        <f>+D12+D13</f>
        <v>2896.9919999999997</v>
      </c>
      <c r="F14" s="319"/>
      <c r="H14" s="359" t="s">
        <v>56</v>
      </c>
    </row>
    <row r="15" spans="1:8" ht="15">
      <c r="A15" s="320"/>
      <c r="B15" s="390" t="s">
        <v>520</v>
      </c>
      <c r="C15" s="391"/>
      <c r="D15" s="385"/>
      <c r="E15" s="385"/>
      <c r="F15" s="320"/>
      <c r="H15" s="359" t="s">
        <v>538</v>
      </c>
    </row>
    <row r="16" spans="1:8" ht="15">
      <c r="A16" s="319"/>
      <c r="B16" s="597" t="s">
        <v>538</v>
      </c>
      <c r="C16" s="597"/>
      <c r="D16" s="392"/>
      <c r="E16" s="389">
        <f>IFERROR(VLOOKUP(B16,'Shipping Calculator'!$B$18:$E$20,2,FALSE), 0)</f>
        <v>0</v>
      </c>
      <c r="F16" s="319"/>
    </row>
    <row r="17" spans="1:6" ht="15">
      <c r="A17" s="319"/>
      <c r="B17" s="381"/>
      <c r="C17" s="381"/>
      <c r="D17" s="382"/>
      <c r="E17" s="382"/>
      <c r="F17" s="319"/>
    </row>
    <row r="18" spans="1:6" ht="15">
      <c r="A18" s="320"/>
      <c r="B18" s="383" t="s">
        <v>522</v>
      </c>
      <c r="C18" s="384"/>
      <c r="D18" s="385"/>
      <c r="E18" s="385"/>
      <c r="F18" s="320"/>
    </row>
    <row r="19" spans="1:6" ht="15">
      <c r="A19" s="319"/>
      <c r="B19" s="397" t="str">
        <f>IF('Import Calculator'!D2="Outside", "From Outside EU", "Inside EU")</f>
        <v>Inside EU</v>
      </c>
      <c r="C19" s="381"/>
      <c r="D19" s="382"/>
      <c r="E19" s="389">
        <f>IF('Import Calculator'!D2="Outside", 'Import Calculator'!E44, IF('Import Calculator'!D2="Select an option", 0,'Import Calculator'!E20))</f>
        <v>0</v>
      </c>
      <c r="F19" s="319"/>
    </row>
    <row r="20" spans="1:6" ht="10" customHeight="1">
      <c r="A20" s="319"/>
      <c r="B20" s="397"/>
      <c r="C20" s="381"/>
      <c r="D20" s="382"/>
      <c r="E20" s="382"/>
      <c r="F20" s="319"/>
    </row>
    <row r="21" spans="1:6" ht="1" customHeight="1">
      <c r="A21" s="319"/>
      <c r="B21" s="397"/>
      <c r="C21" s="381"/>
      <c r="D21" s="381"/>
      <c r="E21" s="381"/>
      <c r="F21" s="319"/>
    </row>
    <row r="22" spans="1:6" ht="15">
      <c r="A22" s="323"/>
      <c r="B22" s="599" t="s">
        <v>536</v>
      </c>
      <c r="C22" s="599"/>
      <c r="D22" s="600">
        <f>+E19+E16+E14+E8</f>
        <v>3896.9919999999997</v>
      </c>
      <c r="E22" s="601"/>
      <c r="F22" s="319"/>
    </row>
    <row r="23" spans="1:6" ht="9" customHeight="1">
      <c r="A23" s="323"/>
      <c r="B23" s="599"/>
      <c r="C23" s="599"/>
      <c r="D23" s="601"/>
      <c r="E23" s="601"/>
      <c r="F23" s="319"/>
    </row>
    <row r="24" spans="1:6" ht="15">
      <c r="A24" s="319"/>
      <c r="B24" s="321"/>
      <c r="C24" s="319"/>
      <c r="D24" s="324"/>
      <c r="E24" s="322"/>
      <c r="F24" s="319"/>
    </row>
    <row r="25" spans="1:6" ht="15" customHeight="1">
      <c r="A25" s="319"/>
      <c r="B25" s="321"/>
      <c r="C25" s="319"/>
      <c r="D25" s="324"/>
      <c r="E25" s="322"/>
      <c r="F25" s="319"/>
    </row>
    <row r="26" spans="1:6" ht="13">
      <c r="B26" s="361"/>
      <c r="D26" s="362"/>
      <c r="E26" s="380" t="s">
        <v>568</v>
      </c>
    </row>
    <row r="27" spans="1:6">
      <c r="B27" s="361"/>
      <c r="D27" s="362"/>
      <c r="E27" s="363"/>
    </row>
    <row r="28" spans="1:6">
      <c r="B28" s="361"/>
      <c r="D28" s="362"/>
    </row>
    <row r="30" spans="1:6">
      <c r="B30" s="364"/>
    </row>
    <row r="31" spans="1:6">
      <c r="B31" s="364"/>
    </row>
    <row r="32" spans="1:6">
      <c r="B32" s="361"/>
      <c r="D32" s="362"/>
      <c r="E32" s="363"/>
    </row>
    <row r="33" spans="2:5">
      <c r="B33" s="361"/>
      <c r="D33" s="362"/>
      <c r="E33" s="363"/>
    </row>
    <row r="34" spans="2:5">
      <c r="E34" s="363"/>
    </row>
  </sheetData>
  <sheetProtection password="F2BC" sheet="1" objects="1" scenarios="1" selectLockedCells="1"/>
  <mergeCells count="4">
    <mergeCell ref="B16:C16"/>
    <mergeCell ref="B2:E4"/>
    <mergeCell ref="B22:C23"/>
    <mergeCell ref="D22:E23"/>
  </mergeCells>
  <dataValidations count="3">
    <dataValidation type="custom" allowBlank="1" showInputMessage="1" showErrorMessage="1" sqref="E16 E8">
      <formula1>ISNUMBER(E8)</formula1>
    </dataValidation>
    <dataValidation type="list" allowBlank="1" showInputMessage="1" showErrorMessage="1" sqref="D32:D33 D24:D28">
      <formula1>"No, Yes"</formula1>
    </dataValidation>
    <dataValidation type="list" allowBlank="1" showInputMessage="1" showErrorMessage="1" sqref="B16:C16">
      <formula1>$H$11:$H$15</formula1>
    </dataValidation>
  </dataValidations>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4F1CA6"/>
  </sheetPr>
  <dimension ref="A1:T18"/>
  <sheetViews>
    <sheetView workbookViewId="0">
      <selection activeCell="E5" sqref="E5"/>
    </sheetView>
  </sheetViews>
  <sheetFormatPr baseColWidth="10" defaultRowHeight="12" x14ac:dyDescent="0"/>
  <cols>
    <col min="1" max="1" width="28" style="453" customWidth="1"/>
    <col min="2" max="6" width="10.83203125" style="453"/>
    <col min="7" max="7" width="6.83203125" style="453" customWidth="1"/>
    <col min="8" max="8" width="7.83203125" style="453" customWidth="1"/>
    <col min="9" max="9" width="9.1640625" style="453" customWidth="1"/>
    <col min="10" max="10" width="10.83203125" style="453"/>
    <col min="11" max="11" width="11.6640625" style="453" customWidth="1"/>
    <col min="12" max="14" width="10.83203125" style="453"/>
    <col min="15" max="15" width="6.6640625" style="453" customWidth="1"/>
    <col min="16" max="18" width="10.83203125" style="453"/>
    <col min="19" max="19" width="9.1640625" style="453" customWidth="1"/>
    <col min="20" max="16384" width="10.83203125" style="453"/>
  </cols>
  <sheetData>
    <row r="1" spans="1:20" ht="25">
      <c r="A1" s="484" t="s">
        <v>621</v>
      </c>
      <c r="B1" s="485"/>
      <c r="C1" s="485"/>
      <c r="D1" s="485"/>
      <c r="E1" s="485"/>
      <c r="F1" s="485"/>
      <c r="G1" s="485"/>
      <c r="H1" s="485"/>
      <c r="I1" s="485"/>
      <c r="J1" s="485"/>
      <c r="K1" s="485"/>
      <c r="L1" s="485"/>
      <c r="M1" s="485"/>
      <c r="N1" s="485"/>
      <c r="O1" s="485"/>
      <c r="P1" s="485"/>
      <c r="Q1" s="485"/>
      <c r="R1" s="485"/>
      <c r="S1" s="485"/>
      <c r="T1" s="485"/>
    </row>
    <row r="2" spans="1:20" ht="15">
      <c r="A2" s="485"/>
      <c r="B2" s="486"/>
      <c r="C2" s="487"/>
      <c r="D2" s="487"/>
      <c r="E2" s="487"/>
      <c r="F2" s="488" t="s">
        <v>572</v>
      </c>
      <c r="G2" s="487"/>
      <c r="H2" s="487"/>
      <c r="I2" s="489"/>
      <c r="J2" s="489" t="s">
        <v>573</v>
      </c>
      <c r="K2" s="490"/>
      <c r="L2" s="489" t="s">
        <v>514</v>
      </c>
      <c r="M2" s="491" t="s">
        <v>574</v>
      </c>
      <c r="N2" s="489" t="s">
        <v>536</v>
      </c>
      <c r="O2" s="489"/>
      <c r="P2" s="489" t="s">
        <v>575</v>
      </c>
      <c r="Q2" s="490"/>
      <c r="R2" s="490"/>
      <c r="S2" s="489" t="s">
        <v>576</v>
      </c>
      <c r="T2" s="489" t="s">
        <v>576</v>
      </c>
    </row>
    <row r="3" spans="1:20" ht="15">
      <c r="A3" s="485"/>
      <c r="B3" s="492" t="s">
        <v>577</v>
      </c>
      <c r="C3" s="489" t="s">
        <v>578</v>
      </c>
      <c r="D3" s="489" t="s">
        <v>579</v>
      </c>
      <c r="E3" s="491" t="s">
        <v>580</v>
      </c>
      <c r="F3" s="491" t="s">
        <v>581</v>
      </c>
      <c r="G3" s="493" t="s">
        <v>582</v>
      </c>
      <c r="H3" s="491" t="s">
        <v>583</v>
      </c>
      <c r="I3" s="489" t="s">
        <v>584</v>
      </c>
      <c r="J3" s="493" t="s">
        <v>585</v>
      </c>
      <c r="K3" s="489" t="s">
        <v>586</v>
      </c>
      <c r="L3" s="489" t="s">
        <v>513</v>
      </c>
      <c r="M3" s="491" t="s">
        <v>587</v>
      </c>
      <c r="N3" s="489" t="s">
        <v>455</v>
      </c>
      <c r="O3" s="489" t="s">
        <v>588</v>
      </c>
      <c r="P3" s="489" t="s">
        <v>589</v>
      </c>
      <c r="Q3" s="489" t="s">
        <v>572</v>
      </c>
      <c r="R3" s="489" t="s">
        <v>572</v>
      </c>
      <c r="S3" s="489" t="s">
        <v>590</v>
      </c>
      <c r="T3" s="489" t="s">
        <v>591</v>
      </c>
    </row>
    <row r="4" spans="1:20" ht="15">
      <c r="A4" s="494" t="s">
        <v>592</v>
      </c>
      <c r="B4" s="494" t="s">
        <v>593</v>
      </c>
      <c r="C4" s="489" t="s">
        <v>9</v>
      </c>
      <c r="D4" s="489" t="s">
        <v>594</v>
      </c>
      <c r="E4" s="491" t="s">
        <v>595</v>
      </c>
      <c r="F4" s="491" t="s">
        <v>595</v>
      </c>
      <c r="G4" s="493" t="s">
        <v>596</v>
      </c>
      <c r="H4" s="489" t="s">
        <v>597</v>
      </c>
      <c r="I4" s="489" t="s">
        <v>598</v>
      </c>
      <c r="J4" s="493" t="s">
        <v>536</v>
      </c>
      <c r="K4" s="489" t="s">
        <v>633</v>
      </c>
      <c r="L4" s="489" t="s">
        <v>599</v>
      </c>
      <c r="M4" s="491" t="s">
        <v>600</v>
      </c>
      <c r="N4" s="489" t="s">
        <v>601</v>
      </c>
      <c r="O4" s="489" t="s">
        <v>602</v>
      </c>
      <c r="P4" s="489" t="s">
        <v>603</v>
      </c>
      <c r="Q4" s="489" t="s">
        <v>604</v>
      </c>
      <c r="R4" s="489" t="s">
        <v>605</v>
      </c>
      <c r="S4" s="489" t="s">
        <v>606</v>
      </c>
      <c r="T4" s="489" t="s">
        <v>607</v>
      </c>
    </row>
    <row r="5" spans="1:20" ht="15">
      <c r="A5" s="455" t="s">
        <v>608</v>
      </c>
      <c r="B5" s="460" t="s">
        <v>4</v>
      </c>
      <c r="C5" s="459">
        <v>0.25</v>
      </c>
      <c r="D5" s="460">
        <v>700</v>
      </c>
      <c r="E5" s="448">
        <v>15.5</v>
      </c>
      <c r="F5" s="475">
        <v>29</v>
      </c>
      <c r="G5" s="520">
        <v>12</v>
      </c>
      <c r="H5" s="521">
        <v>4</v>
      </c>
      <c r="I5" s="460">
        <f>G5*H5</f>
        <v>48</v>
      </c>
      <c r="J5" s="461">
        <v>241.42</v>
      </c>
      <c r="K5" s="450">
        <v>100</v>
      </c>
      <c r="L5" s="461">
        <v>68.5</v>
      </c>
      <c r="M5" s="462">
        <v>5</v>
      </c>
      <c r="N5" s="463">
        <f>SUM(J5+K5+L5)/I5+E5+M5</f>
        <v>29.04</v>
      </c>
      <c r="O5" s="465">
        <v>0.25</v>
      </c>
      <c r="P5" s="464">
        <f>(N5*1.3)+N5</f>
        <v>66.792000000000002</v>
      </c>
      <c r="Q5" s="461">
        <v>66</v>
      </c>
      <c r="R5" s="461">
        <f>Q5-P5</f>
        <v>-0.79200000000000159</v>
      </c>
      <c r="S5" s="466">
        <v>0</v>
      </c>
      <c r="T5" s="454">
        <f>SUM(P5-N5)-(N5*0.25)</f>
        <v>30.492000000000004</v>
      </c>
    </row>
    <row r="6" spans="1:20" ht="15">
      <c r="A6" s="455" t="s">
        <v>609</v>
      </c>
      <c r="B6" s="460" t="s">
        <v>4</v>
      </c>
      <c r="C6" s="459">
        <v>0.25</v>
      </c>
      <c r="D6" s="460">
        <v>700</v>
      </c>
      <c r="E6" s="448">
        <v>15.5</v>
      </c>
      <c r="F6" s="475">
        <v>29</v>
      </c>
      <c r="G6" s="520">
        <v>12</v>
      </c>
      <c r="H6" s="521">
        <v>4</v>
      </c>
      <c r="I6" s="460">
        <f t="shared" ref="I6:I11" si="0">G6*H6</f>
        <v>48</v>
      </c>
      <c r="J6" s="461">
        <v>241.42</v>
      </c>
      <c r="K6" s="450">
        <v>100</v>
      </c>
      <c r="L6" s="461">
        <v>68.5</v>
      </c>
      <c r="M6" s="462">
        <v>5</v>
      </c>
      <c r="N6" s="463">
        <f t="shared" ref="N6:N11" si="1">SUM(J6+K6+L6)/I6+E6+M6</f>
        <v>29.04</v>
      </c>
      <c r="O6" s="465">
        <v>0.25</v>
      </c>
      <c r="P6" s="464">
        <f t="shared" ref="P6:P11" si="2">(N6*1.3)+N6</f>
        <v>66.792000000000002</v>
      </c>
      <c r="Q6" s="461">
        <v>66</v>
      </c>
      <c r="R6" s="461">
        <f t="shared" ref="R6:R11" si="3">Q6-P6</f>
        <v>-0.79200000000000159</v>
      </c>
      <c r="S6" s="466">
        <v>0</v>
      </c>
      <c r="T6" s="454">
        <f t="shared" ref="T6:T11" si="4">SUM(P6-N6)-(N6*0.25)</f>
        <v>30.492000000000004</v>
      </c>
    </row>
    <row r="7" spans="1:20" ht="15">
      <c r="A7" s="456" t="s">
        <v>610</v>
      </c>
      <c r="B7" s="460" t="s">
        <v>4</v>
      </c>
      <c r="C7" s="459">
        <v>0.25</v>
      </c>
      <c r="D7" s="460">
        <v>700</v>
      </c>
      <c r="E7" s="448">
        <v>15.5</v>
      </c>
      <c r="F7" s="475">
        <v>29</v>
      </c>
      <c r="G7" s="520">
        <v>12</v>
      </c>
      <c r="H7" s="521">
        <v>4</v>
      </c>
      <c r="I7" s="460">
        <f t="shared" si="0"/>
        <v>48</v>
      </c>
      <c r="J7" s="461">
        <v>241.42</v>
      </c>
      <c r="K7" s="450">
        <v>100</v>
      </c>
      <c r="L7" s="461">
        <v>68.5</v>
      </c>
      <c r="M7" s="462">
        <v>5</v>
      </c>
      <c r="N7" s="463">
        <f t="shared" si="1"/>
        <v>29.04</v>
      </c>
      <c r="O7" s="465">
        <v>0.25</v>
      </c>
      <c r="P7" s="464">
        <f t="shared" si="2"/>
        <v>66.792000000000002</v>
      </c>
      <c r="Q7" s="461">
        <v>66</v>
      </c>
      <c r="R7" s="461">
        <f t="shared" si="3"/>
        <v>-0.79200000000000159</v>
      </c>
      <c r="S7" s="466">
        <v>0</v>
      </c>
      <c r="T7" s="454">
        <f t="shared" si="4"/>
        <v>30.492000000000004</v>
      </c>
    </row>
    <row r="8" spans="1:20" ht="15">
      <c r="A8" s="456" t="s">
        <v>611</v>
      </c>
      <c r="B8" s="460" t="s">
        <v>4</v>
      </c>
      <c r="C8" s="459">
        <v>0.25</v>
      </c>
      <c r="D8" s="460">
        <v>700</v>
      </c>
      <c r="E8" s="448">
        <v>15.5</v>
      </c>
      <c r="F8" s="475">
        <v>29</v>
      </c>
      <c r="G8" s="520">
        <v>12</v>
      </c>
      <c r="H8" s="521">
        <v>4</v>
      </c>
      <c r="I8" s="460">
        <f t="shared" si="0"/>
        <v>48</v>
      </c>
      <c r="J8" s="461">
        <v>241.42</v>
      </c>
      <c r="K8" s="450">
        <v>100</v>
      </c>
      <c r="L8" s="461">
        <v>68.5</v>
      </c>
      <c r="M8" s="462">
        <v>5</v>
      </c>
      <c r="N8" s="463">
        <f t="shared" si="1"/>
        <v>29.04</v>
      </c>
      <c r="O8" s="465">
        <v>0.25</v>
      </c>
      <c r="P8" s="464">
        <f t="shared" si="2"/>
        <v>66.792000000000002</v>
      </c>
      <c r="Q8" s="461">
        <v>66</v>
      </c>
      <c r="R8" s="461">
        <f t="shared" si="3"/>
        <v>-0.79200000000000159</v>
      </c>
      <c r="S8" s="466">
        <v>0</v>
      </c>
      <c r="T8" s="454">
        <f t="shared" si="4"/>
        <v>30.492000000000004</v>
      </c>
    </row>
    <row r="9" spans="1:20" ht="15">
      <c r="A9" s="456" t="s">
        <v>612</v>
      </c>
      <c r="B9" s="460" t="s">
        <v>4</v>
      </c>
      <c r="C9" s="459">
        <v>0.25</v>
      </c>
      <c r="D9" s="460">
        <v>700</v>
      </c>
      <c r="E9" s="448">
        <v>15.5</v>
      </c>
      <c r="F9" s="475">
        <v>29</v>
      </c>
      <c r="G9" s="520">
        <v>12</v>
      </c>
      <c r="H9" s="521">
        <v>4</v>
      </c>
      <c r="I9" s="460">
        <f t="shared" si="0"/>
        <v>48</v>
      </c>
      <c r="J9" s="461">
        <v>241.42</v>
      </c>
      <c r="K9" s="450">
        <v>100</v>
      </c>
      <c r="L9" s="461">
        <v>68.5</v>
      </c>
      <c r="M9" s="462">
        <v>5</v>
      </c>
      <c r="N9" s="463">
        <f t="shared" si="1"/>
        <v>29.04</v>
      </c>
      <c r="O9" s="465">
        <v>0.25</v>
      </c>
      <c r="P9" s="464">
        <f t="shared" si="2"/>
        <v>66.792000000000002</v>
      </c>
      <c r="Q9" s="461">
        <v>66</v>
      </c>
      <c r="R9" s="461">
        <f t="shared" si="3"/>
        <v>-0.79200000000000159</v>
      </c>
      <c r="S9" s="466">
        <v>0</v>
      </c>
      <c r="T9" s="454">
        <f t="shared" si="4"/>
        <v>30.492000000000004</v>
      </c>
    </row>
    <row r="10" spans="1:20" ht="15">
      <c r="A10" s="457" t="s">
        <v>613</v>
      </c>
      <c r="B10" s="460" t="s">
        <v>4</v>
      </c>
      <c r="C10" s="459">
        <v>0.25</v>
      </c>
      <c r="D10" s="460">
        <v>700</v>
      </c>
      <c r="E10" s="448">
        <v>15.5</v>
      </c>
      <c r="F10" s="475">
        <v>29</v>
      </c>
      <c r="G10" s="520">
        <v>12</v>
      </c>
      <c r="H10" s="521">
        <v>4</v>
      </c>
      <c r="I10" s="460">
        <f t="shared" si="0"/>
        <v>48</v>
      </c>
      <c r="J10" s="461">
        <v>241.42</v>
      </c>
      <c r="K10" s="450">
        <v>100</v>
      </c>
      <c r="L10" s="461">
        <v>68.5</v>
      </c>
      <c r="M10" s="462">
        <v>5</v>
      </c>
      <c r="N10" s="463">
        <f t="shared" si="1"/>
        <v>29.04</v>
      </c>
      <c r="O10" s="465">
        <v>0.25</v>
      </c>
      <c r="P10" s="464">
        <f t="shared" si="2"/>
        <v>66.792000000000002</v>
      </c>
      <c r="Q10" s="461">
        <v>66</v>
      </c>
      <c r="R10" s="461">
        <f t="shared" si="3"/>
        <v>-0.79200000000000159</v>
      </c>
      <c r="S10" s="466">
        <v>0</v>
      </c>
      <c r="T10" s="454">
        <f t="shared" si="4"/>
        <v>30.492000000000004</v>
      </c>
    </row>
    <row r="11" spans="1:20" ht="15">
      <c r="A11" s="457" t="s">
        <v>614</v>
      </c>
      <c r="B11" s="460" t="s">
        <v>4</v>
      </c>
      <c r="C11" s="459">
        <v>0.25</v>
      </c>
      <c r="D11" s="460">
        <v>700</v>
      </c>
      <c r="E11" s="448">
        <v>15.5</v>
      </c>
      <c r="F11" s="475">
        <v>29</v>
      </c>
      <c r="G11" s="520">
        <v>12</v>
      </c>
      <c r="H11" s="521">
        <v>4</v>
      </c>
      <c r="I11" s="460">
        <f t="shared" si="0"/>
        <v>48</v>
      </c>
      <c r="J11" s="461">
        <v>241.42</v>
      </c>
      <c r="K11" s="450">
        <v>100</v>
      </c>
      <c r="L11" s="461">
        <v>68.5</v>
      </c>
      <c r="M11" s="462">
        <v>5</v>
      </c>
      <c r="N11" s="463">
        <f t="shared" si="1"/>
        <v>29.04</v>
      </c>
      <c r="O11" s="465">
        <v>0.25</v>
      </c>
      <c r="P11" s="464">
        <f t="shared" si="2"/>
        <v>66.792000000000002</v>
      </c>
      <c r="Q11" s="461">
        <v>66</v>
      </c>
      <c r="R11" s="461">
        <f t="shared" si="3"/>
        <v>-0.79200000000000159</v>
      </c>
      <c r="S11" s="466">
        <v>0</v>
      </c>
      <c r="T11" s="454">
        <f t="shared" si="4"/>
        <v>30.492000000000004</v>
      </c>
    </row>
    <row r="12" spans="1:20" ht="15">
      <c r="A12" s="457" t="s">
        <v>615</v>
      </c>
      <c r="B12" s="460" t="s">
        <v>4</v>
      </c>
      <c r="C12" s="459">
        <v>0.4</v>
      </c>
      <c r="D12" s="460">
        <v>700</v>
      </c>
      <c r="E12" s="448">
        <v>0</v>
      </c>
      <c r="F12" s="475">
        <v>0</v>
      </c>
      <c r="G12" s="520">
        <v>0</v>
      </c>
      <c r="H12" s="521">
        <v>0</v>
      </c>
      <c r="I12" s="460">
        <f t="shared" ref="I12:I17" si="5">G12*H12</f>
        <v>0</v>
      </c>
      <c r="J12" s="461">
        <v>0</v>
      </c>
      <c r="K12" s="450">
        <v>0</v>
      </c>
      <c r="L12" s="461">
        <v>68.5</v>
      </c>
      <c r="M12" s="462">
        <v>0</v>
      </c>
      <c r="N12" s="463" t="e">
        <f t="shared" ref="N12:N17" si="6">SUM(J12+K12+L12)/I12+E12+M12</f>
        <v>#DIV/0!</v>
      </c>
      <c r="O12" s="465">
        <v>0.25</v>
      </c>
      <c r="P12" s="464" t="e">
        <f t="shared" ref="P12:P14" si="7">(N12*0.625)+N12</f>
        <v>#DIV/0!</v>
      </c>
      <c r="Q12" s="450">
        <v>0</v>
      </c>
      <c r="R12" s="454" t="e">
        <f t="shared" ref="R12:R17" si="8">Q12-P12</f>
        <v>#DIV/0!</v>
      </c>
      <c r="S12" s="466">
        <v>0</v>
      </c>
      <c r="T12" s="454" t="e">
        <f t="shared" ref="T12:T17" si="9">SUM(P12-N12)-(N12*0.25)</f>
        <v>#DIV/0!</v>
      </c>
    </row>
    <row r="13" spans="1:20" ht="15">
      <c r="A13" s="457" t="s">
        <v>616</v>
      </c>
      <c r="B13" s="460" t="s">
        <v>4</v>
      </c>
      <c r="C13" s="459">
        <v>0.4</v>
      </c>
      <c r="D13" s="460">
        <v>700</v>
      </c>
      <c r="E13" s="448">
        <v>0</v>
      </c>
      <c r="F13" s="475">
        <v>0</v>
      </c>
      <c r="G13" s="520">
        <v>0</v>
      </c>
      <c r="H13" s="521">
        <v>0</v>
      </c>
      <c r="I13" s="460">
        <f t="shared" si="5"/>
        <v>0</v>
      </c>
      <c r="J13" s="461">
        <v>0</v>
      </c>
      <c r="K13" s="450">
        <v>0</v>
      </c>
      <c r="L13" s="461">
        <v>68.5</v>
      </c>
      <c r="M13" s="462">
        <v>0</v>
      </c>
      <c r="N13" s="463" t="e">
        <f t="shared" si="6"/>
        <v>#DIV/0!</v>
      </c>
      <c r="O13" s="465">
        <v>0.25</v>
      </c>
      <c r="P13" s="464" t="e">
        <f t="shared" si="7"/>
        <v>#DIV/0!</v>
      </c>
      <c r="Q13" s="450">
        <v>0</v>
      </c>
      <c r="R13" s="454" t="e">
        <f t="shared" si="8"/>
        <v>#DIV/0!</v>
      </c>
      <c r="S13" s="466">
        <v>0</v>
      </c>
      <c r="T13" s="454" t="e">
        <f t="shared" si="9"/>
        <v>#DIV/0!</v>
      </c>
    </row>
    <row r="14" spans="1:20" ht="15">
      <c r="A14" s="457" t="s">
        <v>617</v>
      </c>
      <c r="B14" s="460" t="s">
        <v>4</v>
      </c>
      <c r="C14" s="459">
        <v>0.4</v>
      </c>
      <c r="D14" s="460">
        <v>700</v>
      </c>
      <c r="E14" s="448">
        <v>0</v>
      </c>
      <c r="F14" s="475">
        <v>0</v>
      </c>
      <c r="G14" s="520">
        <v>0</v>
      </c>
      <c r="H14" s="521">
        <v>0</v>
      </c>
      <c r="I14" s="460">
        <f t="shared" si="5"/>
        <v>0</v>
      </c>
      <c r="J14" s="461">
        <v>0</v>
      </c>
      <c r="K14" s="450">
        <v>0</v>
      </c>
      <c r="L14" s="461">
        <v>68.5</v>
      </c>
      <c r="M14" s="462">
        <v>0</v>
      </c>
      <c r="N14" s="463" t="e">
        <f t="shared" si="6"/>
        <v>#DIV/0!</v>
      </c>
      <c r="O14" s="465">
        <v>0.25</v>
      </c>
      <c r="P14" s="464" t="e">
        <f t="shared" si="7"/>
        <v>#DIV/0!</v>
      </c>
      <c r="Q14" s="450">
        <v>0</v>
      </c>
      <c r="R14" s="454" t="e">
        <f t="shared" si="8"/>
        <v>#DIV/0!</v>
      </c>
      <c r="S14" s="466">
        <v>0</v>
      </c>
      <c r="T14" s="454" t="e">
        <f t="shared" si="9"/>
        <v>#DIV/0!</v>
      </c>
    </row>
    <row r="15" spans="1:20" ht="15">
      <c r="A15" s="457" t="s">
        <v>618</v>
      </c>
      <c r="B15" s="460" t="s">
        <v>4</v>
      </c>
      <c r="C15" s="459">
        <v>0.4</v>
      </c>
      <c r="D15" s="460">
        <v>700</v>
      </c>
      <c r="E15" s="448">
        <v>0</v>
      </c>
      <c r="F15" s="475">
        <v>0</v>
      </c>
      <c r="G15" s="520">
        <v>0</v>
      </c>
      <c r="H15" s="521">
        <v>0</v>
      </c>
      <c r="I15" s="460">
        <f t="shared" si="5"/>
        <v>0</v>
      </c>
      <c r="J15" s="461">
        <v>0</v>
      </c>
      <c r="K15" s="450">
        <v>0</v>
      </c>
      <c r="L15" s="461">
        <v>68.5</v>
      </c>
      <c r="M15" s="462">
        <v>0</v>
      </c>
      <c r="N15" s="463" t="e">
        <f t="shared" si="6"/>
        <v>#DIV/0!</v>
      </c>
      <c r="O15" s="465">
        <v>0.25</v>
      </c>
      <c r="P15" s="464" t="e">
        <f t="shared" ref="P15" si="10">(N15*0.47)+N15</f>
        <v>#DIV/0!</v>
      </c>
      <c r="Q15" s="450">
        <v>0</v>
      </c>
      <c r="R15" s="454" t="e">
        <f t="shared" si="8"/>
        <v>#DIV/0!</v>
      </c>
      <c r="S15" s="466">
        <v>0</v>
      </c>
      <c r="T15" s="454" t="e">
        <f t="shared" si="9"/>
        <v>#DIV/0!</v>
      </c>
    </row>
    <row r="16" spans="1:20" ht="15">
      <c r="A16" s="457" t="s">
        <v>619</v>
      </c>
      <c r="B16" s="460" t="s">
        <v>4</v>
      </c>
      <c r="C16" s="459">
        <v>0.4</v>
      </c>
      <c r="D16" s="460">
        <v>700</v>
      </c>
      <c r="E16" s="448">
        <v>0</v>
      </c>
      <c r="F16" s="475">
        <v>0</v>
      </c>
      <c r="G16" s="520">
        <v>0</v>
      </c>
      <c r="H16" s="521">
        <v>0</v>
      </c>
      <c r="I16" s="460">
        <f t="shared" si="5"/>
        <v>0</v>
      </c>
      <c r="J16" s="461">
        <v>0</v>
      </c>
      <c r="K16" s="450">
        <v>0</v>
      </c>
      <c r="L16" s="461">
        <v>68.5</v>
      </c>
      <c r="M16" s="462">
        <v>0</v>
      </c>
      <c r="N16" s="463" t="e">
        <f t="shared" si="6"/>
        <v>#DIV/0!</v>
      </c>
      <c r="O16" s="465">
        <v>0.25</v>
      </c>
      <c r="P16" s="464" t="e">
        <f t="shared" ref="P16:P17" si="11">(N16*0.625)+N16</f>
        <v>#DIV/0!</v>
      </c>
      <c r="Q16" s="450">
        <v>0</v>
      </c>
      <c r="R16" s="454" t="e">
        <f t="shared" si="8"/>
        <v>#DIV/0!</v>
      </c>
      <c r="S16" s="466">
        <v>0</v>
      </c>
      <c r="T16" s="454" t="e">
        <f t="shared" si="9"/>
        <v>#DIV/0!</v>
      </c>
    </row>
    <row r="17" spans="1:20" ht="15">
      <c r="A17" s="457" t="s">
        <v>620</v>
      </c>
      <c r="B17" s="460" t="s">
        <v>4</v>
      </c>
      <c r="C17" s="459">
        <v>0.4</v>
      </c>
      <c r="D17" s="460">
        <v>700</v>
      </c>
      <c r="E17" s="448">
        <v>0</v>
      </c>
      <c r="F17" s="475">
        <v>0</v>
      </c>
      <c r="G17" s="520">
        <v>0</v>
      </c>
      <c r="H17" s="521">
        <v>0</v>
      </c>
      <c r="I17" s="460">
        <f t="shared" si="5"/>
        <v>0</v>
      </c>
      <c r="J17" s="461">
        <v>0</v>
      </c>
      <c r="K17" s="450">
        <v>0</v>
      </c>
      <c r="L17" s="461">
        <v>68.5</v>
      </c>
      <c r="M17" s="462">
        <v>0</v>
      </c>
      <c r="N17" s="463" t="e">
        <f t="shared" si="6"/>
        <v>#DIV/0!</v>
      </c>
      <c r="O17" s="465">
        <v>0.25</v>
      </c>
      <c r="P17" s="464" t="e">
        <f t="shared" si="11"/>
        <v>#DIV/0!</v>
      </c>
      <c r="Q17" s="450">
        <v>0</v>
      </c>
      <c r="R17" s="454" t="e">
        <f t="shared" si="8"/>
        <v>#DIV/0!</v>
      </c>
      <c r="S17" s="466">
        <v>0</v>
      </c>
      <c r="T17" s="454" t="e">
        <f t="shared" si="9"/>
        <v>#DIV/0!</v>
      </c>
    </row>
    <row r="18" spans="1:20" ht="15">
      <c r="A18" s="451"/>
      <c r="B18" s="451"/>
      <c r="C18" s="451"/>
      <c r="D18" s="451"/>
      <c r="E18" s="451"/>
      <c r="F18" s="451"/>
      <c r="G18" s="451"/>
      <c r="H18" s="451"/>
      <c r="I18" s="451"/>
      <c r="J18" s="451"/>
      <c r="K18" s="452"/>
      <c r="L18" s="446"/>
      <c r="M18" s="446"/>
      <c r="N18" s="447"/>
      <c r="O18" s="447"/>
      <c r="P18" s="451"/>
      <c r="Q18" s="446"/>
      <c r="R18" s="446"/>
      <c r="S18" s="446"/>
      <c r="T18" s="447"/>
    </row>
  </sheetData>
  <sheetProtection password="F2BC" sheet="1" objects="1" scenarios="1" selectLockedCells="1"/>
  <conditionalFormatting sqref="R5:R17">
    <cfRule type="colorScale" priority="5">
      <colorScale>
        <cfvo type="num" val="0"/>
        <cfvo type="num" val="0.01"/>
        <color rgb="FFFF0000"/>
        <color rgb="FF23CC08"/>
      </colorScale>
    </cfRule>
  </conditionalFormatting>
  <conditionalFormatting sqref="T5:T17">
    <cfRule type="colorScale" priority="4">
      <colorScale>
        <cfvo type="num" val="4.6900000000000004"/>
        <cfvo type="num" val="4.7"/>
        <color rgb="FFFF0000"/>
        <color rgb="FF23CC08"/>
      </colorScale>
    </cfRule>
  </conditionalFormatting>
  <conditionalFormatting sqref="T13 T16">
    <cfRule type="colorScale" priority="3">
      <colorScale>
        <cfvo type="num" val="7.99"/>
        <cfvo type="num" val="8"/>
        <color rgb="FFFF0000"/>
        <color rgb="FF23CC08"/>
      </colorScale>
    </cfRule>
  </conditionalFormatting>
  <conditionalFormatting sqref="T17 T12 T14">
    <cfRule type="colorScale" priority="2">
      <colorScale>
        <cfvo type="num" val="7.99"/>
        <cfvo type="num" val="8"/>
        <color rgb="FFFF0000"/>
        <color rgb="FF23CC08"/>
      </colorScale>
    </cfRule>
  </conditionalFormatting>
  <conditionalFormatting sqref="T5:T17">
    <cfRule type="colorScale" priority="1">
      <colorScale>
        <cfvo type="num" val="$F$5-1"/>
        <cfvo type="num" val="$F$5+1"/>
        <color rgb="FFFF0000"/>
        <color rgb="FF23CC08"/>
      </colorScale>
    </cfRule>
  </conditionalFormatting>
  <pageMargins left="0.75" right="0.75" top="1" bottom="1" header="0.5" footer="0.5"/>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FEC309"/>
  </sheetPr>
  <dimension ref="A1:U17"/>
  <sheetViews>
    <sheetView workbookViewId="0">
      <selection activeCell="K6" sqref="K6"/>
    </sheetView>
  </sheetViews>
  <sheetFormatPr baseColWidth="10" defaultRowHeight="12" x14ac:dyDescent="0"/>
  <cols>
    <col min="1" max="1" width="38.33203125" style="304" customWidth="1"/>
    <col min="2" max="7" width="10.83203125" style="304"/>
    <col min="8" max="8" width="8.6640625" style="304" customWidth="1"/>
    <col min="9" max="9" width="8.5" style="304" customWidth="1"/>
    <col min="10" max="10" width="9.6640625" style="304" customWidth="1"/>
    <col min="11" max="11" width="11.33203125" style="304" customWidth="1"/>
    <col min="12" max="12" width="9.6640625" style="304" customWidth="1"/>
    <col min="13" max="13" width="10.83203125" style="304"/>
    <col min="14" max="14" width="10" style="304" customWidth="1"/>
    <col min="15" max="16" width="10.83203125" style="304"/>
    <col min="17" max="17" width="10.83203125" style="304" customWidth="1"/>
    <col min="18" max="18" width="0" style="304" hidden="1" customWidth="1"/>
    <col min="19" max="19" width="11.1640625" style="304" customWidth="1"/>
    <col min="20" max="21" width="0" style="304" hidden="1" customWidth="1"/>
    <col min="22" max="16384" width="10.83203125" style="304"/>
  </cols>
  <sheetData>
    <row r="1" spans="1:21" ht="25">
      <c r="A1" s="473" t="s">
        <v>630</v>
      </c>
      <c r="B1" s="474"/>
      <c r="C1" s="474"/>
      <c r="D1" s="474"/>
      <c r="E1" s="474"/>
      <c r="F1" s="474"/>
      <c r="G1" s="474"/>
      <c r="H1" s="474"/>
      <c r="I1" s="474"/>
      <c r="J1" s="474"/>
      <c r="K1" s="474"/>
      <c r="L1" s="474"/>
      <c r="M1" s="474"/>
      <c r="N1" s="474"/>
      <c r="O1" s="474"/>
      <c r="P1" s="474"/>
      <c r="Q1" s="474"/>
      <c r="R1" s="474"/>
      <c r="S1" s="474"/>
    </row>
    <row r="2" spans="1:21" ht="15">
      <c r="A2" s="477"/>
      <c r="B2" s="481"/>
      <c r="C2" s="481"/>
      <c r="D2" s="481"/>
      <c r="E2" s="478"/>
      <c r="F2" s="523"/>
      <c r="G2" s="478"/>
      <c r="H2" s="479"/>
      <c r="I2" s="504" t="s">
        <v>573</v>
      </c>
      <c r="J2" s="507"/>
      <c r="K2" s="504" t="s">
        <v>514</v>
      </c>
      <c r="L2" s="512" t="s">
        <v>536</v>
      </c>
      <c r="M2" s="512"/>
      <c r="N2" s="512" t="s">
        <v>575</v>
      </c>
      <c r="O2" s="514"/>
      <c r="P2" s="514"/>
      <c r="Q2" s="512" t="s">
        <v>576</v>
      </c>
      <c r="R2" s="502" t="s">
        <v>576</v>
      </c>
      <c r="S2" s="503"/>
      <c r="T2" s="481"/>
    </row>
    <row r="3" spans="1:21" ht="14">
      <c r="A3" s="519"/>
      <c r="B3" s="526" t="s">
        <v>577</v>
      </c>
      <c r="C3" s="512" t="s">
        <v>578</v>
      </c>
      <c r="D3" s="512" t="s">
        <v>579</v>
      </c>
      <c r="E3" s="517" t="s">
        <v>582</v>
      </c>
      <c r="F3" s="524" t="s">
        <v>632</v>
      </c>
      <c r="G3" s="524" t="s">
        <v>572</v>
      </c>
      <c r="H3" s="515" t="s">
        <v>583</v>
      </c>
      <c r="I3" s="505" t="s">
        <v>584</v>
      </c>
      <c r="J3" s="508" t="s">
        <v>585</v>
      </c>
      <c r="K3" s="510" t="s">
        <v>586</v>
      </c>
      <c r="L3" s="500" t="s">
        <v>513</v>
      </c>
      <c r="M3" s="500" t="s">
        <v>622</v>
      </c>
      <c r="N3" s="500" t="s">
        <v>588</v>
      </c>
      <c r="O3" s="500" t="s">
        <v>623</v>
      </c>
      <c r="P3" s="500" t="s">
        <v>572</v>
      </c>
      <c r="Q3" s="500" t="s">
        <v>572</v>
      </c>
      <c r="R3" s="498" t="s">
        <v>590</v>
      </c>
      <c r="S3" s="500" t="s">
        <v>591</v>
      </c>
      <c r="T3" s="482" t="s">
        <v>624</v>
      </c>
      <c r="U3" s="480" t="s">
        <v>625</v>
      </c>
    </row>
    <row r="4" spans="1:21" ht="15">
      <c r="A4" s="513" t="s">
        <v>592</v>
      </c>
      <c r="B4" s="511" t="s">
        <v>593</v>
      </c>
      <c r="C4" s="501" t="s">
        <v>9</v>
      </c>
      <c r="D4" s="501" t="s">
        <v>594</v>
      </c>
      <c r="E4" s="518" t="s">
        <v>596</v>
      </c>
      <c r="F4" s="525" t="s">
        <v>629</v>
      </c>
      <c r="G4" s="525" t="s">
        <v>631</v>
      </c>
      <c r="H4" s="516" t="s">
        <v>597</v>
      </c>
      <c r="I4" s="506" t="s">
        <v>598</v>
      </c>
      <c r="J4" s="509" t="s">
        <v>536</v>
      </c>
      <c r="K4" s="511" t="s">
        <v>626</v>
      </c>
      <c r="L4" s="501" t="s">
        <v>599</v>
      </c>
      <c r="M4" s="501" t="s">
        <v>627</v>
      </c>
      <c r="N4" s="501" t="s">
        <v>602</v>
      </c>
      <c r="O4" s="501" t="s">
        <v>603</v>
      </c>
      <c r="P4" s="501" t="s">
        <v>604</v>
      </c>
      <c r="Q4" s="501" t="s">
        <v>605</v>
      </c>
      <c r="R4" s="499" t="s">
        <v>606</v>
      </c>
      <c r="S4" s="501" t="s">
        <v>607</v>
      </c>
      <c r="T4" s="483" t="s">
        <v>628</v>
      </c>
      <c r="U4" s="480" t="s">
        <v>629</v>
      </c>
    </row>
    <row r="5" spans="1:21" ht="15">
      <c r="A5" s="455" t="s">
        <v>608</v>
      </c>
      <c r="B5" s="458" t="s">
        <v>4</v>
      </c>
      <c r="C5" s="459">
        <v>0.25</v>
      </c>
      <c r="D5" s="460">
        <v>700</v>
      </c>
      <c r="E5" s="470">
        <v>24</v>
      </c>
      <c r="F5" s="522">
        <f>'PRICING SELLER CENTRAL'!E5*I5</f>
        <v>372</v>
      </c>
      <c r="G5" s="522">
        <f>'PRICING SELLER CENTRAL'!E5+'PRICING VENDOR CENTRAL'!E5*'PRICING VENDOR CENTRAL'!I5</f>
        <v>591.5</v>
      </c>
      <c r="H5" s="495">
        <v>1</v>
      </c>
      <c r="I5" s="476">
        <f t="shared" ref="I5:I17" si="0">E5*H5</f>
        <v>24</v>
      </c>
      <c r="J5" s="461">
        <v>120.71</v>
      </c>
      <c r="K5" s="496">
        <v>100</v>
      </c>
      <c r="L5" s="471">
        <v>65</v>
      </c>
      <c r="M5" s="472">
        <f>'PRICING SELLER CENTRAL'!N5+'PRICING VENDOR CENTRAL'!N5*'PRICING VENDOR CENTRAL'!I50</f>
        <v>29.04</v>
      </c>
      <c r="N5" s="527">
        <v>0.25</v>
      </c>
      <c r="O5" s="497">
        <f>(M5*0.47)+M5</f>
        <v>42.688800000000001</v>
      </c>
      <c r="P5" s="461">
        <v>66</v>
      </c>
      <c r="Q5" s="449">
        <f>P5-O5</f>
        <v>23.311199999999999</v>
      </c>
      <c r="R5" s="467">
        <v>0</v>
      </c>
      <c r="S5" s="468">
        <f>SUM(O5-M5)-(M5*0.25)</f>
        <v>6.3888000000000016</v>
      </c>
      <c r="T5" s="469">
        <v>0.47</v>
      </c>
      <c r="U5" s="468">
        <f>M5*0.25</f>
        <v>7.26</v>
      </c>
    </row>
    <row r="6" spans="1:21" ht="15">
      <c r="A6" s="455" t="s">
        <v>609</v>
      </c>
      <c r="B6" s="458" t="s">
        <v>4</v>
      </c>
      <c r="C6" s="459">
        <v>0.25</v>
      </c>
      <c r="D6" s="460">
        <v>700</v>
      </c>
      <c r="E6" s="470">
        <v>24</v>
      </c>
      <c r="F6" s="522">
        <f>'PRICING SELLER CENTRAL'!E6*I6</f>
        <v>372</v>
      </c>
      <c r="G6" s="522">
        <f>'PRICING SELLER CENTRAL'!E6+'PRICING VENDOR CENTRAL'!E6*'PRICING VENDOR CENTRAL'!I6</f>
        <v>591.5</v>
      </c>
      <c r="H6" s="495">
        <v>1</v>
      </c>
      <c r="I6" s="476">
        <f t="shared" si="0"/>
        <v>24</v>
      </c>
      <c r="J6" s="461">
        <v>120.71</v>
      </c>
      <c r="K6" s="496">
        <v>100</v>
      </c>
      <c r="L6" s="471">
        <v>65</v>
      </c>
      <c r="M6" s="472">
        <f>IFERROR('PRICING SELLER CENTRAL'!N6+'PRICING VENDOR CENTRAL'!N6*'PRICING VENDOR CENTRAL'!I51,0)</f>
        <v>29.04</v>
      </c>
      <c r="N6" s="527">
        <v>0.25</v>
      </c>
      <c r="O6" s="497">
        <f>(M6*0.625)+M6</f>
        <v>47.19</v>
      </c>
      <c r="P6" s="461">
        <v>66</v>
      </c>
      <c r="Q6" s="449">
        <f t="shared" ref="Q6:Q10" si="1">P6-O6</f>
        <v>18.810000000000002</v>
      </c>
      <c r="R6" s="467">
        <v>0</v>
      </c>
      <c r="S6" s="468">
        <f t="shared" ref="S6:S7" si="2">SUM(O6-M6)-(M6*0.25)</f>
        <v>10.889999999999999</v>
      </c>
      <c r="T6" s="469">
        <v>0.625</v>
      </c>
      <c r="U6" s="468">
        <f t="shared" ref="U6:U10" si="3">M6*0.25</f>
        <v>7.26</v>
      </c>
    </row>
    <row r="7" spans="1:21" ht="15">
      <c r="A7" s="456" t="s">
        <v>610</v>
      </c>
      <c r="B7" s="458" t="s">
        <v>4</v>
      </c>
      <c r="C7" s="459">
        <v>0.25</v>
      </c>
      <c r="D7" s="460">
        <v>700</v>
      </c>
      <c r="E7" s="470">
        <v>24</v>
      </c>
      <c r="F7" s="522">
        <f>'PRICING SELLER CENTRAL'!E7*I7</f>
        <v>372</v>
      </c>
      <c r="G7" s="522">
        <f>'PRICING SELLER CENTRAL'!E7+'PRICING VENDOR CENTRAL'!E7*'PRICING VENDOR CENTRAL'!I7</f>
        <v>591.5</v>
      </c>
      <c r="H7" s="495">
        <v>1</v>
      </c>
      <c r="I7" s="476">
        <f t="shared" si="0"/>
        <v>24</v>
      </c>
      <c r="J7" s="461">
        <v>120.71</v>
      </c>
      <c r="K7" s="496">
        <v>100</v>
      </c>
      <c r="L7" s="471">
        <v>65</v>
      </c>
      <c r="M7" s="472">
        <f>IFERROR('PRICING SELLER CENTRAL'!N7+'PRICING VENDOR CENTRAL'!N7*'PRICING VENDOR CENTRAL'!I52,0)</f>
        <v>29.04</v>
      </c>
      <c r="N7" s="527">
        <v>0.25</v>
      </c>
      <c r="O7" s="497">
        <f t="shared" ref="O7" si="4">(M7*0.47)+M7</f>
        <v>42.688800000000001</v>
      </c>
      <c r="P7" s="461">
        <v>66</v>
      </c>
      <c r="Q7" s="449">
        <f t="shared" si="1"/>
        <v>23.311199999999999</v>
      </c>
      <c r="R7" s="467">
        <v>0</v>
      </c>
      <c r="S7" s="468">
        <f t="shared" si="2"/>
        <v>6.3888000000000016</v>
      </c>
      <c r="T7" s="469">
        <v>0.78</v>
      </c>
      <c r="U7" s="468">
        <f t="shared" si="3"/>
        <v>7.26</v>
      </c>
    </row>
    <row r="8" spans="1:21" ht="15">
      <c r="A8" s="456" t="s">
        <v>611</v>
      </c>
      <c r="B8" s="458" t="s">
        <v>4</v>
      </c>
      <c r="C8" s="459">
        <v>0.25</v>
      </c>
      <c r="D8" s="460">
        <v>700</v>
      </c>
      <c r="E8" s="470">
        <v>24</v>
      </c>
      <c r="F8" s="522">
        <f>'PRICING SELLER CENTRAL'!E8*I8</f>
        <v>372</v>
      </c>
      <c r="G8" s="522">
        <f>'PRICING SELLER CENTRAL'!E8+'PRICING VENDOR CENTRAL'!E8*'PRICING VENDOR CENTRAL'!I8</f>
        <v>591.5</v>
      </c>
      <c r="H8" s="495">
        <v>1</v>
      </c>
      <c r="I8" s="476">
        <f t="shared" si="0"/>
        <v>24</v>
      </c>
      <c r="J8" s="461">
        <v>120.71</v>
      </c>
      <c r="K8" s="496">
        <v>100</v>
      </c>
      <c r="L8" s="471">
        <v>65</v>
      </c>
      <c r="M8" s="472">
        <f>IFERROR('PRICING SELLER CENTRAL'!N8+'PRICING VENDOR CENTRAL'!N8*'PRICING VENDOR CENTRAL'!I53,0)</f>
        <v>29.04</v>
      </c>
      <c r="N8" s="527">
        <v>0.25</v>
      </c>
      <c r="O8" s="497">
        <f t="shared" ref="O8" si="5">(M8*0.625)+M8</f>
        <v>47.19</v>
      </c>
      <c r="P8" s="461">
        <v>66</v>
      </c>
      <c r="Q8" s="449">
        <f t="shared" si="1"/>
        <v>18.810000000000002</v>
      </c>
      <c r="R8" s="467">
        <v>0</v>
      </c>
      <c r="S8" s="468">
        <f t="shared" ref="S8:S10" si="6">SUM(O8-M8)-(M8*0.25)</f>
        <v>10.889999999999999</v>
      </c>
      <c r="T8" s="469">
        <v>0</v>
      </c>
      <c r="U8" s="468">
        <f t="shared" si="3"/>
        <v>7.26</v>
      </c>
    </row>
    <row r="9" spans="1:21" ht="15">
      <c r="A9" s="456" t="s">
        <v>612</v>
      </c>
      <c r="B9" s="458" t="s">
        <v>4</v>
      </c>
      <c r="C9" s="459">
        <v>0.25</v>
      </c>
      <c r="D9" s="460">
        <v>700</v>
      </c>
      <c r="E9" s="470">
        <v>24</v>
      </c>
      <c r="F9" s="522">
        <f>'PRICING SELLER CENTRAL'!E9*I9</f>
        <v>372</v>
      </c>
      <c r="G9" s="522">
        <f>'PRICING SELLER CENTRAL'!E9+'PRICING VENDOR CENTRAL'!E9*'PRICING VENDOR CENTRAL'!I9</f>
        <v>591.5</v>
      </c>
      <c r="H9" s="495">
        <v>1</v>
      </c>
      <c r="I9" s="476">
        <f t="shared" si="0"/>
        <v>24</v>
      </c>
      <c r="J9" s="461">
        <v>120.71</v>
      </c>
      <c r="K9" s="496">
        <v>100</v>
      </c>
      <c r="L9" s="471">
        <v>65</v>
      </c>
      <c r="M9" s="472">
        <f>IFERROR('PRICING SELLER CENTRAL'!N9+'PRICING VENDOR CENTRAL'!N9*'PRICING VENDOR CENTRAL'!I54,0)</f>
        <v>29.04</v>
      </c>
      <c r="N9" s="527">
        <v>0.25</v>
      </c>
      <c r="O9" s="497">
        <f t="shared" ref="O9:O10" si="7">(M9*0.47)+M9</f>
        <v>42.688800000000001</v>
      </c>
      <c r="P9" s="461">
        <v>66</v>
      </c>
      <c r="Q9" s="449">
        <f t="shared" si="1"/>
        <v>23.311199999999999</v>
      </c>
      <c r="R9" s="467">
        <v>0</v>
      </c>
      <c r="S9" s="468">
        <f t="shared" si="6"/>
        <v>6.3888000000000016</v>
      </c>
      <c r="T9" s="469">
        <v>0</v>
      </c>
      <c r="U9" s="468">
        <f t="shared" si="3"/>
        <v>7.26</v>
      </c>
    </row>
    <row r="10" spans="1:21" ht="15">
      <c r="A10" s="457" t="s">
        <v>613</v>
      </c>
      <c r="B10" s="458" t="s">
        <v>4</v>
      </c>
      <c r="C10" s="459">
        <v>0.25</v>
      </c>
      <c r="D10" s="460">
        <v>700</v>
      </c>
      <c r="E10" s="470">
        <v>24</v>
      </c>
      <c r="F10" s="522">
        <f>'PRICING SELLER CENTRAL'!E10*I10</f>
        <v>372</v>
      </c>
      <c r="G10" s="522">
        <f>'PRICING SELLER CENTRAL'!E10+'PRICING VENDOR CENTRAL'!E10*'PRICING VENDOR CENTRAL'!I10</f>
        <v>591.5</v>
      </c>
      <c r="H10" s="495">
        <v>1</v>
      </c>
      <c r="I10" s="476">
        <f t="shared" si="0"/>
        <v>24</v>
      </c>
      <c r="J10" s="461">
        <v>120.71</v>
      </c>
      <c r="K10" s="496">
        <v>100</v>
      </c>
      <c r="L10" s="471">
        <v>65</v>
      </c>
      <c r="M10" s="472">
        <f>IFERROR('PRICING SELLER CENTRAL'!N10+'PRICING VENDOR CENTRAL'!N10*'PRICING VENDOR CENTRAL'!I55,0)</f>
        <v>29.04</v>
      </c>
      <c r="N10" s="527">
        <v>0.25</v>
      </c>
      <c r="O10" s="497">
        <f t="shared" si="7"/>
        <v>42.688800000000001</v>
      </c>
      <c r="P10" s="461">
        <v>66</v>
      </c>
      <c r="Q10" s="449">
        <f t="shared" si="1"/>
        <v>23.311199999999999</v>
      </c>
      <c r="R10" s="467">
        <v>0</v>
      </c>
      <c r="S10" s="468">
        <f t="shared" si="6"/>
        <v>6.3888000000000016</v>
      </c>
      <c r="T10" s="469">
        <v>0</v>
      </c>
      <c r="U10" s="468">
        <f t="shared" si="3"/>
        <v>7.26</v>
      </c>
    </row>
    <row r="11" spans="1:21" ht="15">
      <c r="A11" s="457" t="s">
        <v>614</v>
      </c>
      <c r="B11" s="458" t="s">
        <v>4</v>
      </c>
      <c r="C11" s="459">
        <v>0.25</v>
      </c>
      <c r="D11" s="460">
        <v>700</v>
      </c>
      <c r="E11" s="470">
        <v>24</v>
      </c>
      <c r="F11" s="522">
        <f>'PRICING SELLER CENTRAL'!E11*I11</f>
        <v>372</v>
      </c>
      <c r="G11" s="522">
        <f>'PRICING SELLER CENTRAL'!E11+'PRICING VENDOR CENTRAL'!E11*'PRICING VENDOR CENTRAL'!I11</f>
        <v>591.5</v>
      </c>
      <c r="H11" s="495">
        <v>1</v>
      </c>
      <c r="I11" s="476">
        <f t="shared" si="0"/>
        <v>24</v>
      </c>
      <c r="J11" s="461">
        <v>120.71</v>
      </c>
      <c r="K11" s="496">
        <v>100</v>
      </c>
      <c r="L11" s="471">
        <v>65</v>
      </c>
      <c r="M11" s="472">
        <f>IFERROR('PRICING SELLER CENTRAL'!N11+'PRICING VENDOR CENTRAL'!N11*'PRICING VENDOR CENTRAL'!I56,0)</f>
        <v>29.04</v>
      </c>
      <c r="N11" s="527">
        <v>0.25</v>
      </c>
      <c r="O11" s="497">
        <f t="shared" ref="O11" si="8">(M11*0.625)+M11</f>
        <v>47.19</v>
      </c>
      <c r="P11" s="461">
        <v>66</v>
      </c>
      <c r="Q11" s="449">
        <f t="shared" ref="Q11:Q17" si="9">P11-O11</f>
        <v>18.810000000000002</v>
      </c>
      <c r="R11" s="467">
        <v>0</v>
      </c>
      <c r="S11" s="468">
        <f t="shared" ref="S11:S12" si="10">SUM(O11-M11)-(M11*0.25)</f>
        <v>10.889999999999999</v>
      </c>
      <c r="T11" s="469">
        <v>0</v>
      </c>
      <c r="U11" s="468">
        <f t="shared" ref="U11:U17" si="11">M11*0.25</f>
        <v>7.26</v>
      </c>
    </row>
    <row r="12" spans="1:21" ht="15">
      <c r="A12" s="457" t="s">
        <v>615</v>
      </c>
      <c r="B12" s="458" t="s">
        <v>4</v>
      </c>
      <c r="C12" s="459">
        <v>0.4</v>
      </c>
      <c r="D12" s="460">
        <v>700</v>
      </c>
      <c r="E12" s="470">
        <v>24</v>
      </c>
      <c r="F12" s="522">
        <f>'PRICING SELLER CENTRAL'!E12*I12</f>
        <v>0</v>
      </c>
      <c r="G12" s="522">
        <v>0</v>
      </c>
      <c r="H12" s="495">
        <v>1</v>
      </c>
      <c r="I12" s="476">
        <f t="shared" si="0"/>
        <v>24</v>
      </c>
      <c r="J12" s="461">
        <v>0</v>
      </c>
      <c r="K12" s="496">
        <v>0</v>
      </c>
      <c r="L12" s="471">
        <v>65</v>
      </c>
      <c r="M12" s="472">
        <f>IFERROR('PRICING SELLER CENTRAL'!N12+'PRICING VENDOR CENTRAL'!N12*'PRICING VENDOR CENTRAL'!I57,0)</f>
        <v>0</v>
      </c>
      <c r="N12" s="527">
        <v>0.25</v>
      </c>
      <c r="O12" s="497">
        <f t="shared" ref="O12" si="12">(M12*0.47)+M12</f>
        <v>0</v>
      </c>
      <c r="P12" s="461">
        <v>0</v>
      </c>
      <c r="Q12" s="449">
        <f t="shared" si="9"/>
        <v>0</v>
      </c>
      <c r="R12" s="467">
        <v>0</v>
      </c>
      <c r="S12" s="468">
        <f t="shared" si="10"/>
        <v>0</v>
      </c>
      <c r="T12" s="469">
        <v>0</v>
      </c>
      <c r="U12" s="468">
        <f t="shared" si="11"/>
        <v>0</v>
      </c>
    </row>
    <row r="13" spans="1:21" ht="15">
      <c r="A13" s="457" t="s">
        <v>616</v>
      </c>
      <c r="B13" s="458" t="s">
        <v>4</v>
      </c>
      <c r="C13" s="459">
        <v>0.4</v>
      </c>
      <c r="D13" s="460">
        <v>700</v>
      </c>
      <c r="E13" s="470">
        <v>24</v>
      </c>
      <c r="F13" s="522">
        <f>'PRICING SELLER CENTRAL'!E13*I13</f>
        <v>0</v>
      </c>
      <c r="G13" s="522">
        <v>0</v>
      </c>
      <c r="H13" s="495">
        <v>1</v>
      </c>
      <c r="I13" s="476">
        <f t="shared" si="0"/>
        <v>24</v>
      </c>
      <c r="J13" s="461">
        <v>0</v>
      </c>
      <c r="K13" s="496">
        <v>0</v>
      </c>
      <c r="L13" s="471">
        <v>65</v>
      </c>
      <c r="M13" s="472">
        <f>IFERROR('PRICING SELLER CENTRAL'!N13+'PRICING VENDOR CENTRAL'!N13*'PRICING VENDOR CENTRAL'!I58,0)</f>
        <v>0</v>
      </c>
      <c r="N13" s="527">
        <v>0.25</v>
      </c>
      <c r="O13" s="497">
        <f t="shared" ref="O13" si="13">(M13*0.625)+M13</f>
        <v>0</v>
      </c>
      <c r="P13" s="461">
        <v>0</v>
      </c>
      <c r="Q13" s="449">
        <f t="shared" si="9"/>
        <v>0</v>
      </c>
      <c r="R13" s="467">
        <v>0</v>
      </c>
      <c r="S13" s="468">
        <f t="shared" ref="S13:S15" si="14">SUM(O13-M13)-(M13*0.25)</f>
        <v>0</v>
      </c>
      <c r="T13" s="469">
        <v>0</v>
      </c>
      <c r="U13" s="468">
        <f t="shared" si="11"/>
        <v>0</v>
      </c>
    </row>
    <row r="14" spans="1:21" ht="15">
      <c r="A14" s="457" t="s">
        <v>617</v>
      </c>
      <c r="B14" s="458" t="s">
        <v>4</v>
      </c>
      <c r="C14" s="459">
        <v>0.4</v>
      </c>
      <c r="D14" s="460">
        <v>700</v>
      </c>
      <c r="E14" s="470">
        <v>24</v>
      </c>
      <c r="F14" s="522">
        <f>'PRICING SELLER CENTRAL'!E14*I14</f>
        <v>0</v>
      </c>
      <c r="G14" s="522">
        <v>0</v>
      </c>
      <c r="H14" s="495">
        <v>1</v>
      </c>
      <c r="I14" s="476">
        <f t="shared" si="0"/>
        <v>24</v>
      </c>
      <c r="J14" s="461">
        <v>0</v>
      </c>
      <c r="K14" s="496">
        <v>0</v>
      </c>
      <c r="L14" s="471">
        <v>65</v>
      </c>
      <c r="M14" s="472">
        <f>IFERROR('PRICING SELLER CENTRAL'!N14+'PRICING VENDOR CENTRAL'!N14*'PRICING VENDOR CENTRAL'!I59,0)</f>
        <v>0</v>
      </c>
      <c r="N14" s="527">
        <v>0.25</v>
      </c>
      <c r="O14" s="497">
        <f t="shared" ref="O14:O15" si="15">(M14*0.47)+M14</f>
        <v>0</v>
      </c>
      <c r="P14" s="461">
        <v>0</v>
      </c>
      <c r="Q14" s="449">
        <f t="shared" si="9"/>
        <v>0</v>
      </c>
      <c r="R14" s="467">
        <v>0</v>
      </c>
      <c r="S14" s="468">
        <f t="shared" si="14"/>
        <v>0</v>
      </c>
      <c r="T14" s="469">
        <v>0</v>
      </c>
      <c r="U14" s="468">
        <f t="shared" si="11"/>
        <v>0</v>
      </c>
    </row>
    <row r="15" spans="1:21" ht="15">
      <c r="A15" s="457" t="s">
        <v>618</v>
      </c>
      <c r="B15" s="458" t="s">
        <v>4</v>
      </c>
      <c r="C15" s="459">
        <v>0.4</v>
      </c>
      <c r="D15" s="460">
        <v>700</v>
      </c>
      <c r="E15" s="470">
        <v>24</v>
      </c>
      <c r="F15" s="522">
        <f>'PRICING SELLER CENTRAL'!E15*I15</f>
        <v>0</v>
      </c>
      <c r="G15" s="522">
        <v>0</v>
      </c>
      <c r="H15" s="495">
        <v>1</v>
      </c>
      <c r="I15" s="476">
        <f t="shared" si="0"/>
        <v>24</v>
      </c>
      <c r="J15" s="461">
        <v>0</v>
      </c>
      <c r="K15" s="496">
        <v>0</v>
      </c>
      <c r="L15" s="471">
        <v>65</v>
      </c>
      <c r="M15" s="472">
        <f>IFERROR('PRICING SELLER CENTRAL'!N15+'PRICING VENDOR CENTRAL'!N15*'PRICING VENDOR CENTRAL'!I60,0)</f>
        <v>0</v>
      </c>
      <c r="N15" s="527">
        <v>0.25</v>
      </c>
      <c r="O15" s="497">
        <f t="shared" si="15"/>
        <v>0</v>
      </c>
      <c r="P15" s="461">
        <v>0</v>
      </c>
      <c r="Q15" s="449">
        <f t="shared" si="9"/>
        <v>0</v>
      </c>
      <c r="R15" s="467">
        <v>0</v>
      </c>
      <c r="S15" s="468">
        <f t="shared" si="14"/>
        <v>0</v>
      </c>
      <c r="T15" s="469">
        <v>0</v>
      </c>
      <c r="U15" s="468">
        <f t="shared" si="11"/>
        <v>0</v>
      </c>
    </row>
    <row r="16" spans="1:21" ht="15">
      <c r="A16" s="457" t="s">
        <v>619</v>
      </c>
      <c r="B16" s="458" t="s">
        <v>4</v>
      </c>
      <c r="C16" s="459">
        <v>0.4</v>
      </c>
      <c r="D16" s="460">
        <v>700</v>
      </c>
      <c r="E16" s="470">
        <v>24</v>
      </c>
      <c r="F16" s="522">
        <f>'PRICING SELLER CENTRAL'!E16*I16</f>
        <v>0</v>
      </c>
      <c r="G16" s="522">
        <v>0</v>
      </c>
      <c r="H16" s="495">
        <v>1</v>
      </c>
      <c r="I16" s="476">
        <f t="shared" si="0"/>
        <v>24</v>
      </c>
      <c r="J16" s="461">
        <v>0</v>
      </c>
      <c r="K16" s="496">
        <v>0</v>
      </c>
      <c r="L16" s="471">
        <v>65</v>
      </c>
      <c r="M16" s="472">
        <f>IFERROR('PRICING SELLER CENTRAL'!N16+'PRICING VENDOR CENTRAL'!N16*'PRICING VENDOR CENTRAL'!I61,0)</f>
        <v>0</v>
      </c>
      <c r="N16" s="527">
        <v>0.25</v>
      </c>
      <c r="O16" s="497">
        <f t="shared" ref="O16" si="16">(M16*0.625)+M16</f>
        <v>0</v>
      </c>
      <c r="P16" s="461">
        <v>0</v>
      </c>
      <c r="Q16" s="449">
        <f t="shared" si="9"/>
        <v>0</v>
      </c>
      <c r="R16" s="467">
        <v>0</v>
      </c>
      <c r="S16" s="468">
        <f t="shared" ref="S16:S17" si="17">SUM(O16-M16)-(M16*0.25)</f>
        <v>0</v>
      </c>
      <c r="T16" s="469">
        <v>0</v>
      </c>
      <c r="U16" s="468">
        <f t="shared" si="11"/>
        <v>0</v>
      </c>
    </row>
    <row r="17" spans="1:21" ht="15">
      <c r="A17" s="457" t="s">
        <v>620</v>
      </c>
      <c r="B17" s="458" t="s">
        <v>4</v>
      </c>
      <c r="C17" s="459">
        <v>0.4</v>
      </c>
      <c r="D17" s="460">
        <v>700</v>
      </c>
      <c r="E17" s="470">
        <v>24</v>
      </c>
      <c r="F17" s="522">
        <f>'PRICING SELLER CENTRAL'!E17*I17</f>
        <v>0</v>
      </c>
      <c r="G17" s="522">
        <v>0</v>
      </c>
      <c r="H17" s="495">
        <v>1</v>
      </c>
      <c r="I17" s="476">
        <f t="shared" si="0"/>
        <v>24</v>
      </c>
      <c r="J17" s="461">
        <v>0</v>
      </c>
      <c r="K17" s="496">
        <v>0</v>
      </c>
      <c r="L17" s="471">
        <v>65</v>
      </c>
      <c r="M17" s="472">
        <f>IFERROR('PRICING SELLER CENTRAL'!N17+'PRICING VENDOR CENTRAL'!N17*'PRICING VENDOR CENTRAL'!I62,0)</f>
        <v>0</v>
      </c>
      <c r="N17" s="527">
        <v>0.25</v>
      </c>
      <c r="O17" s="497">
        <f t="shared" ref="O17" si="18">(M17*0.47)+M17</f>
        <v>0</v>
      </c>
      <c r="P17" s="461">
        <v>0</v>
      </c>
      <c r="Q17" s="449">
        <f t="shared" si="9"/>
        <v>0</v>
      </c>
      <c r="R17" s="467">
        <v>0</v>
      </c>
      <c r="S17" s="468">
        <f t="shared" si="17"/>
        <v>0</v>
      </c>
      <c r="T17" s="469">
        <v>0</v>
      </c>
      <c r="U17" s="468">
        <f t="shared" si="11"/>
        <v>0</v>
      </c>
    </row>
  </sheetData>
  <sheetProtection password="F2BC" sheet="1" objects="1" scenarios="1" selectLockedCells="1"/>
  <conditionalFormatting sqref="Q5:Q17">
    <cfRule type="colorScale" priority="5">
      <colorScale>
        <cfvo type="num" val="0"/>
        <cfvo type="num" val="0.01"/>
        <color rgb="FFFF0000"/>
        <color rgb="FF23CC08"/>
      </colorScale>
    </cfRule>
  </conditionalFormatting>
  <conditionalFormatting sqref="S5:S17">
    <cfRule type="colorScale" priority="2">
      <colorScale>
        <cfvo type="num" val="$G$5-1"/>
        <cfvo type="num" val="$G$5+1"/>
        <color rgb="FFFF0000"/>
        <color rgb="FF23CC08"/>
      </colorScale>
    </cfRule>
    <cfRule type="colorScale" priority="4">
      <colorScale>
        <cfvo type="num" val="4.6900000000000004"/>
        <cfvo type="num" val="4.7"/>
        <color rgb="FFFF0000"/>
        <color rgb="FF23CC08"/>
      </colorScale>
    </cfRule>
  </conditionalFormatting>
  <conditionalFormatting sqref="S6 S8 S11 S16 S13">
    <cfRule type="colorScale" priority="3">
      <colorScale>
        <cfvo type="num" val="7.99"/>
        <cfvo type="num" val="8"/>
        <color rgb="FFFF0000"/>
        <color rgb="FF23CC08"/>
      </colorScale>
    </cfRule>
  </conditionalFormatting>
  <pageMargins left="0.75" right="0.75" top="1" bottom="1" header="0.5" footer="0.5"/>
  <extLst>
    <ext xmlns:x14="http://schemas.microsoft.com/office/spreadsheetml/2009/9/main" uri="{78C0D931-6437-407d-A8EE-F0AAD7539E65}">
      <x14:conditionalFormattings>
        <x14:conditionalFormatting xmlns:xm="http://schemas.microsoft.com/office/excel/2006/main">
          <x14:cfRule type="colorScale" priority="1" id="{E725A1C4-5E38-EC4B-8871-927C783D6563}">
            <x14:colorScale>
              <x14:cfvo type="num">
                <xm:f>'PRICING SELLER CENTRAL'!$F$5-1</xm:f>
              </x14:cfvo>
              <x14:cfvo type="num">
                <xm:f>'PRICING SELLER CENTRAL'!$F$5+1</xm:f>
              </x14:cfvo>
              <x14:color rgb="FFFF0000"/>
              <x14:color rgb="FF23CC08"/>
            </x14:colorScale>
          </x14:cfRule>
          <xm:sqref>S5:S17</xm:sqref>
        </x14:conditionalFormatting>
      </x14:conditionalFormattings>
    </ex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13</vt:i4>
      </vt:variant>
    </vt:vector>
  </HeadingPairs>
  <TitlesOfParts>
    <vt:vector size="13" baseType="lpstr">
      <vt:lpstr>Duty Calculator v2</vt:lpstr>
      <vt:lpstr>Calculating duty + VAT</vt:lpstr>
      <vt:lpstr>Params</vt:lpstr>
      <vt:lpstr>Shipping Calculator</vt:lpstr>
      <vt:lpstr>Import Calculator</vt:lpstr>
      <vt:lpstr>Country Tables</vt:lpstr>
      <vt:lpstr>IB COB</vt:lpstr>
      <vt:lpstr>IB DDI</vt:lpstr>
      <vt:lpstr>UK IMPORT SERVICES 1</vt:lpstr>
      <vt:lpstr>UK IMPORT SERVICES 2</vt:lpstr>
      <vt:lpstr>Summary</vt:lpstr>
      <vt:lpstr>PRICING SELLER CENTRAL</vt:lpstr>
      <vt:lpstr>PRICING VENDOR CENTRAL</vt:lpstr>
    </vt:vector>
  </TitlesOfParts>
  <Company>Fujitsu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Vasant Chari</dc:creator>
  <cp:lastModifiedBy>Tadii Tendayi</cp:lastModifiedBy>
  <dcterms:created xsi:type="dcterms:W3CDTF">2011-07-20T11:00:55Z</dcterms:created>
  <dcterms:modified xsi:type="dcterms:W3CDTF">2018-10-30T04:35:53Z</dcterms:modified>
</cp:coreProperties>
</file>